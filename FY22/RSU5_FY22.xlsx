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-BudgetData" sheetId="2" state="visible" r:id="rId2"/>
    <sheet xmlns:r="http://schemas.openxmlformats.org/officeDocument/2006/relationships" name="I-Enrollment" sheetId="3" state="visible" r:id="rId3"/>
    <sheet xmlns:r="http://schemas.openxmlformats.org/officeDocument/2006/relationships" name="I-DOEStaffing" sheetId="4" state="visible" r:id="rId4"/>
    <sheet xmlns:r="http://schemas.openxmlformats.org/officeDocument/2006/relationships" name="I-CostGrowth" sheetId="5" state="visible" r:id="rId5"/>
    <sheet xmlns:r="http://schemas.openxmlformats.org/officeDocument/2006/relationships" name="C-GrowthTrends" sheetId="6" state="visible" r:id="rId6"/>
    <sheet xmlns:r="http://schemas.openxmlformats.org/officeDocument/2006/relationships" name="C-CostPerStudent" sheetId="7" state="visible" r:id="rId7"/>
    <sheet xmlns:r="http://schemas.openxmlformats.org/officeDocument/2006/relationships" name="Art 1" sheetId="8" state="visible" r:id="rId8"/>
    <sheet xmlns:r="http://schemas.openxmlformats.org/officeDocument/2006/relationships" name="Art 2" sheetId="9" state="visible" r:id="rId9"/>
    <sheet xmlns:r="http://schemas.openxmlformats.org/officeDocument/2006/relationships" name="Art 3" sheetId="10" state="visible" r:id="rId10"/>
    <sheet xmlns:r="http://schemas.openxmlformats.org/officeDocument/2006/relationships" name="Art 4" sheetId="11" state="visible" r:id="rId11"/>
    <sheet xmlns:r="http://schemas.openxmlformats.org/officeDocument/2006/relationships" name="Art 5" sheetId="12" state="visible" r:id="rId12"/>
    <sheet xmlns:r="http://schemas.openxmlformats.org/officeDocument/2006/relationships" name="Art 6" sheetId="13" state="visible" r:id="rId13"/>
    <sheet xmlns:r="http://schemas.openxmlformats.org/officeDocument/2006/relationships" name="Art 7" sheetId="14" state="visible" r:id="rId14"/>
    <sheet xmlns:r="http://schemas.openxmlformats.org/officeDocument/2006/relationships" name="Art 8" sheetId="15" state="visible" r:id="rId15"/>
    <sheet xmlns:r="http://schemas.openxmlformats.org/officeDocument/2006/relationships" name="Art 9" sheetId="16" state="visible" r:id="rId16"/>
    <sheet xmlns:r="http://schemas.openxmlformats.org/officeDocument/2006/relationships" name="Art 10" sheetId="17" state="visible" r:id="rId17"/>
    <sheet xmlns:r="http://schemas.openxmlformats.org/officeDocument/2006/relationships" name="Art 11" sheetId="18" state="visible" r:id="rId18"/>
    <sheet xmlns:r="http://schemas.openxmlformats.org/officeDocument/2006/relationships" name="C-Verifica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1F4E79"/>
      <sz val="12"/>
    </font>
    <font>
      <b val="1"/>
      <color rgb="00FF6600"/>
      <sz val="11"/>
    </font>
    <font>
      <b val="1"/>
      <sz val="11"/>
    </font>
    <font>
      <b val="1"/>
      <color rgb="00C00000"/>
      <sz val="11"/>
    </font>
    <font>
      <i val="1"/>
      <color rgb="000070C0"/>
      <sz val="10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DAEEF3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0" fillId="3" borderId="1" pivotButton="0" quotePrefix="0" xfId="0"/>
    <xf numFmtId="3" fontId="0" fillId="3" borderId="1" pivotButton="0" quotePrefix="0" xfId="0"/>
    <xf numFmtId="0" fontId="5" fillId="4" borderId="1" applyAlignment="1" pivotButton="0" quotePrefix="0" xfId="0">
      <alignment wrapText="1"/>
    </xf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5" fillId="5" borderId="1" pivotButton="0" quotePrefix="0" xfId="0"/>
    <xf numFmtId="0" fontId="0" fillId="5" borderId="1" pivotButton="0" quotePrefix="0" xfId="0"/>
    <xf numFmtId="3" fontId="6" fillId="5" borderId="1" pivotButton="0" quotePrefix="0" xfId="0"/>
    <xf numFmtId="10" fontId="0" fillId="5" borderId="1" pivotButton="0" quotePrefix="0" xfId="0"/>
    <xf numFmtId="0" fontId="7" fillId="6" borderId="0" applyAlignment="1" pivotButton="0" quotePrefix="0" xfId="0">
      <alignment wrapText="1"/>
    </xf>
    <xf numFmtId="0" fontId="0" fillId="0" borderId="2" pivotButton="0" quotePrefix="0" xfId="0"/>
    <xf numFmtId="3" fontId="0" fillId="7" borderId="1" pivotButton="0" quotePrefix="0" xfId="0"/>
    <xf numFmtId="3" fontId="5" fillId="3" borderId="2" pivotButton="0" quotePrefix="0" xfId="0"/>
    <xf numFmtId="0" fontId="6" fillId="5" borderId="2" pivotButton="0" quotePrefix="0" xfId="0"/>
    <xf numFmtId="3" fontId="6" fillId="5" borderId="2" pivotButton="0" quotePrefix="0" xfId="0"/>
    <xf numFmtId="0" fontId="5" fillId="0" borderId="2" pivotButton="0" quotePrefix="0" xfId="0"/>
    <xf numFmtId="3" fontId="0" fillId="3" borderId="2" pivotButton="0" quotePrefix="0" xfId="0"/>
    <xf numFmtId="0" fontId="0" fillId="7" borderId="1" pivotButton="0" quotePrefix="0" xfId="0"/>
    <xf numFmtId="4" fontId="0" fillId="7" borderId="1" pivotButton="0" quotePrefix="0" xfId="0"/>
    <xf numFmtId="4" fontId="5" fillId="5" borderId="1" pivotButton="0" quotePrefix="0" xfId="0"/>
    <xf numFmtId="4" fontId="0" fillId="0" borderId="1" pivotButton="0" quotePrefix="0" xfId="0"/>
    <xf numFmtId="10" fontId="0" fillId="7" borderId="1" pivotButton="0" quotePrefix="0" xfId="0"/>
    <xf numFmtId="10" fontId="0" fillId="0" borderId="2" pivotButton="0" quotePrefix="0" xfId="0"/>
    <xf numFmtId="10" fontId="6" fillId="5" borderId="2" pivotButton="0" quotePrefix="0" xfId="0"/>
    <xf numFmtId="0" fontId="5" fillId="8" borderId="2" pivotButton="0" quotePrefix="0" xfId="0"/>
    <xf numFmtId="4" fontId="5" fillId="8" borderId="2" pivotButton="0" quotePrefix="0" xfId="0"/>
    <xf numFmtId="0" fontId="5" fillId="3" borderId="2" pivotButton="0" quotePrefix="0" xfId="0"/>
    <xf numFmtId="4" fontId="5" fillId="3" borderId="2" pivotButton="0" quotePrefix="0" xfId="0"/>
    <xf numFmtId="4" fontId="6" fillId="5" borderId="2" pivotButton="0" quotePrefix="0" xfId="0"/>
    <xf numFmtId="0" fontId="6" fillId="4" borderId="2" pivotButton="0" quotePrefix="0" xfId="0"/>
    <xf numFmtId="4" fontId="6" fillId="4" borderId="2" pivotButton="0" quotePrefix="0" xfId="0"/>
    <xf numFmtId="3" fontId="0" fillId="2" borderId="1" pivotButton="0" quotePrefix="0" xfId="0"/>
    <xf numFmtId="0" fontId="5" fillId="2" borderId="1" pivotButton="0" quotePrefix="0" xfId="0"/>
    <xf numFmtId="3" fontId="5" fillId="5" borderId="1" pivotButton="0" quotePrefix="0" xfId="0"/>
    <xf numFmtId="3" fontId="5" fillId="2" borderId="1" pivotButton="0" quotePrefix="0" xfId="0"/>
    <xf numFmtId="0" fontId="6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RSU 5 Budget Analysis -- FY22</t>
        </is>
      </c>
    </row>
    <row r="3">
      <c r="A3" s="2" t="inlineStr">
        <is>
          <t>Fiscal Year 2021-2022</t>
        </is>
      </c>
    </row>
    <row r="4">
      <c r="A4" s="2" t="inlineStr">
        <is>
          <t>Prior year adopted: $34,984,700</t>
        </is>
      </c>
    </row>
    <row r="5">
      <c r="A5" s="2" t="inlineStr">
        <is>
          <t>This year proposed/adopted: $35,714,864</t>
        </is>
      </c>
    </row>
    <row r="6">
      <c r="A6" s="2" t="inlineStr">
        <is>
          <t>Year-over-year change: +2.09%</t>
        </is>
      </c>
    </row>
    <row r="8">
      <c r="A8" s="3" t="inlineStr">
        <is>
          <t>Verification Status</t>
        </is>
      </c>
    </row>
    <row r="9">
      <c r="A9" s="4" t="inlineStr">
        <is>
          <t>UNVERIFIED</t>
        </is>
      </c>
      <c r="B9" s="5" t="inlineStr">
        <is>
          <t>Variance: $-1,858,750 (-5.063%)</t>
        </is>
      </c>
    </row>
    <row r="10">
      <c r="A10" s="6" t="inlineStr">
        <is>
          <t>Parsed total</t>
        </is>
      </c>
      <c r="B10" s="7" t="n">
        <v>34856114</v>
      </c>
    </row>
    <row r="11">
      <c r="A11" s="6" t="inlineStr">
        <is>
          <t>RSU stated total</t>
        </is>
      </c>
      <c r="B11" s="7" t="n">
        <v>36714864</v>
      </c>
    </row>
    <row r="13">
      <c r="A13" s="3" t="inlineStr">
        <is>
          <t>Article Breakdown</t>
        </is>
      </c>
    </row>
    <row r="14">
      <c r="A14" s="8" t="inlineStr">
        <is>
          <t>Article</t>
        </is>
      </c>
      <c r="B14" s="8" t="inlineStr">
        <is>
          <t>Name</t>
        </is>
      </c>
      <c r="C14" s="8" t="inlineStr">
        <is>
          <t>Total</t>
        </is>
      </c>
      <c r="D14" s="8" t="inlineStr">
        <is>
          <t>% of Budget</t>
        </is>
      </c>
    </row>
    <row r="15">
      <c r="A15" s="9" t="inlineStr">
        <is>
          <t>Art 1</t>
        </is>
      </c>
      <c r="B15" s="9" t="inlineStr">
        <is>
          <t>Regular Instruction</t>
        </is>
      </c>
      <c r="C15" s="10" t="n">
        <v>15107880</v>
      </c>
      <c r="D15" s="11" t="n">
        <v>0.4334355803403673</v>
      </c>
    </row>
    <row r="16">
      <c r="A16" s="9" t="inlineStr">
        <is>
          <t>Art 2</t>
        </is>
      </c>
      <c r="B16" s="9" t="inlineStr">
        <is>
          <t>Special Education</t>
        </is>
      </c>
      <c r="C16" s="10" t="n">
        <v>4688560</v>
      </c>
      <c r="D16" s="11" t="n">
        <v>0.1345118391568263</v>
      </c>
    </row>
    <row r="17">
      <c r="A17" s="9" t="inlineStr">
        <is>
          <t>Art 3</t>
        </is>
      </c>
      <c r="B17" s="9" t="inlineStr">
        <is>
          <t>Career &amp; Technical Education</t>
        </is>
      </c>
      <c r="C17" s="10" t="n">
        <v>101706</v>
      </c>
      <c r="D17" s="11" t="n">
        <v>0.002917881207296947</v>
      </c>
    </row>
    <row r="18">
      <c r="A18" s="9" t="inlineStr">
        <is>
          <t>Art 4</t>
        </is>
      </c>
      <c r="B18" s="9" t="inlineStr">
        <is>
          <t>Other Instruction</t>
        </is>
      </c>
      <c r="C18" s="10" t="n">
        <v>832340</v>
      </c>
      <c r="D18" s="11" t="n">
        <v>0.02387931138852713</v>
      </c>
    </row>
    <row r="19">
      <c r="A19" s="9" t="inlineStr">
        <is>
          <t>Art 5</t>
        </is>
      </c>
      <c r="B19" s="9" t="inlineStr">
        <is>
          <t>Student &amp; Staff Support</t>
        </is>
      </c>
      <c r="C19" s="10" t="n">
        <v>3160872</v>
      </c>
      <c r="D19" s="11" t="n">
        <v>0.09068343074618129</v>
      </c>
    </row>
    <row r="20">
      <c r="A20" s="9" t="inlineStr">
        <is>
          <t>Art 6</t>
        </is>
      </c>
      <c r="B20" s="9" t="inlineStr">
        <is>
          <t>System Administration</t>
        </is>
      </c>
      <c r="C20" s="10" t="n">
        <v>1013211</v>
      </c>
      <c r="D20" s="11" t="n">
        <v>0.02906838668246265</v>
      </c>
    </row>
    <row r="21">
      <c r="A21" s="9" t="inlineStr">
        <is>
          <t>Art 7</t>
        </is>
      </c>
      <c r="B21" s="9" t="inlineStr">
        <is>
          <t>School Administration</t>
        </is>
      </c>
      <c r="C21" s="10" t="n">
        <v>1727711</v>
      </c>
      <c r="D21" s="11" t="n">
        <v>0.04956694254557464</v>
      </c>
    </row>
    <row r="22">
      <c r="A22" s="9" t="inlineStr">
        <is>
          <t>Art 8</t>
        </is>
      </c>
      <c r="B22" s="9" t="inlineStr">
        <is>
          <t>Transportation &amp; Buses</t>
        </is>
      </c>
      <c r="C22" s="10" t="n">
        <v>1473419</v>
      </c>
      <c r="D22" s="11" t="n">
        <v>0.04227146491430456</v>
      </c>
    </row>
    <row r="23">
      <c r="A23" s="9" t="inlineStr">
        <is>
          <t>Art 9</t>
        </is>
      </c>
      <c r="B23" s="9" t="inlineStr">
        <is>
          <t>Facilities &amp; Maintenance</t>
        </is>
      </c>
      <c r="C23" s="10" t="n">
        <v>5028523</v>
      </c>
      <c r="D23" s="11" t="n">
        <v>0.1442651639250434</v>
      </c>
    </row>
    <row r="24">
      <c r="A24" s="9" t="inlineStr">
        <is>
          <t>Art 10</t>
        </is>
      </c>
      <c r="B24" s="9" t="inlineStr">
        <is>
          <t>Debt Service</t>
        </is>
      </c>
      <c r="C24" s="10" t="n">
        <v>1427247</v>
      </c>
      <c r="D24" s="11" t="n">
        <v>0.04094681925816515</v>
      </c>
    </row>
    <row r="25">
      <c r="A25" s="9" t="inlineStr">
        <is>
          <t>Art 11</t>
        </is>
      </c>
      <c r="B25" s="9" t="inlineStr">
        <is>
          <t>All Other Expenses</t>
        </is>
      </c>
      <c r="C25" s="10" t="n">
        <v>294645</v>
      </c>
      <c r="D25" s="11" t="n">
        <v>0.008453179835250711</v>
      </c>
    </row>
    <row r="26">
      <c r="A26" s="12" t="inlineStr">
        <is>
          <t>TOTAL</t>
        </is>
      </c>
      <c r="B26" s="13" t="inlineStr"/>
      <c r="C26" s="14" t="n">
        <v>34856114</v>
      </c>
      <c r="D26" s="15" t="n">
        <v>1</v>
      </c>
    </row>
    <row r="28">
      <c r="A28" s="16" t="inlineStr">
        <is>
          <t>Data parsed from RSU 5 budget documents (rsu5.org/budget).</t>
        </is>
      </c>
    </row>
    <row r="29">
      <c r="A29" s="16" t="inlineStr">
        <is>
          <t>All totals independently computed from line-item data.</t>
        </is>
      </c>
    </row>
    <row r="30">
      <c r="A30" s="16" t="inlineStr">
        <is>
          <t>See C-Verification sheet for detailed tie-out.</t>
        </is>
      </c>
    </row>
  </sheetData>
  <mergeCells count="3">
    <mergeCell ref="A30:F30"/>
    <mergeCell ref="A29:F29"/>
    <mergeCell ref="A28:F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</cols>
  <sheetData>
    <row r="1">
      <c r="A1" s="1" t="inlineStr">
        <is>
          <t>INPUT: FY22 Budget by Article x Cost Center</t>
        </is>
      </c>
    </row>
    <row r="2">
      <c r="A2" s="16" t="inlineStr">
        <is>
          <t>Source: Parsed from budget documents (doc_type=citizens)</t>
        </is>
      </c>
    </row>
    <row r="3">
      <c r="A3" s="16" t="inlineStr">
        <is>
          <t>Baseline status: UNRECONCILED</t>
        </is>
      </c>
    </row>
    <row r="4">
      <c r="A4" s="16" t="inlineStr">
        <is>
          <t>Column shown: FY22 Adopted</t>
        </is>
      </c>
    </row>
    <row r="6">
      <c r="A6" s="8" t="inlineStr">
        <is>
          <t>Article</t>
        </is>
      </c>
      <c r="B6" s="8" t="inlineStr">
        <is>
          <t>DCS</t>
        </is>
      </c>
      <c r="C6" s="8" t="inlineStr">
        <is>
          <t>MSS</t>
        </is>
      </c>
      <c r="D6" s="8" t="inlineStr">
        <is>
          <t>PES</t>
        </is>
      </c>
      <c r="E6" s="8" t="inlineStr">
        <is>
          <t>MLS</t>
        </is>
      </c>
      <c r="F6" s="8" t="inlineStr">
        <is>
          <t>FMS</t>
        </is>
      </c>
      <c r="G6" s="8" t="inlineStr">
        <is>
          <t>FHS</t>
        </is>
      </c>
      <c r="H6" s="8" t="inlineStr">
        <is>
          <t>SYS</t>
        </is>
      </c>
      <c r="I6" s="8" t="inlineStr">
        <is>
          <t>K8</t>
        </is>
      </c>
      <c r="J6" s="8" t="inlineStr">
        <is>
          <t>912</t>
        </is>
      </c>
      <c r="K6" s="8" t="inlineStr">
        <is>
          <t>CTRL</t>
        </is>
      </c>
      <c r="L6" s="8" t="inlineStr">
        <is>
          <t>Total</t>
        </is>
      </c>
    </row>
    <row r="7">
      <c r="A7" s="17" t="inlineStr">
        <is>
          <t>Art 1 - Regular Instruction</t>
        </is>
      </c>
      <c r="B7" s="18" t="n">
        <v>3313254</v>
      </c>
      <c r="C7" s="18" t="n">
        <v>2093308</v>
      </c>
      <c r="D7" s="18" t="n">
        <v>848434</v>
      </c>
      <c r="E7" s="18" t="n">
        <v>1726348</v>
      </c>
      <c r="F7" s="18" t="n">
        <v>2438655</v>
      </c>
      <c r="G7" s="18" t="n">
        <v>4198785</v>
      </c>
      <c r="H7" s="17" t="n">
        <v>0</v>
      </c>
      <c r="I7" s="18" t="n">
        <v>437892</v>
      </c>
      <c r="J7" s="18" t="n">
        <v>51204</v>
      </c>
      <c r="K7" s="17" t="n">
        <v>0</v>
      </c>
      <c r="L7" s="19">
        <f>SUM(B7:K7)</f>
        <v/>
      </c>
    </row>
    <row r="8">
      <c r="A8" s="17" t="inlineStr">
        <is>
          <t>Art 2 - Special Education</t>
        </is>
      </c>
      <c r="B8" s="18" t="n">
        <v>932177</v>
      </c>
      <c r="C8" s="18" t="n">
        <v>546762</v>
      </c>
      <c r="D8" s="18" t="n">
        <v>237720</v>
      </c>
      <c r="E8" s="18" t="n">
        <v>615417</v>
      </c>
      <c r="F8" s="18" t="n">
        <v>814182</v>
      </c>
      <c r="G8" s="18" t="n">
        <v>782304</v>
      </c>
      <c r="H8" s="18" t="n">
        <v>629010</v>
      </c>
      <c r="I8" s="18" t="n">
        <v>61714</v>
      </c>
      <c r="J8" s="18" t="n">
        <v>69274</v>
      </c>
      <c r="K8" s="17" t="n">
        <v>0</v>
      </c>
      <c r="L8" s="19">
        <f>SUM(B8:K8)</f>
        <v/>
      </c>
    </row>
    <row r="9">
      <c r="A9" s="17" t="inlineStr">
        <is>
          <t>Art 3 - Career &amp; Technical Education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8" t="n">
        <v>101706</v>
      </c>
      <c r="H9" s="17" t="n">
        <v>0</v>
      </c>
      <c r="I9" s="17" t="n">
        <v>0</v>
      </c>
      <c r="J9" s="17" t="n">
        <v>0</v>
      </c>
      <c r="K9" s="17" t="n">
        <v>0</v>
      </c>
      <c r="L9" s="19">
        <f>SUM(B9:K9)</f>
        <v/>
      </c>
    </row>
    <row r="10">
      <c r="A10" s="17" t="inlineStr">
        <is>
          <t>Art 4 - Other Instruction</t>
        </is>
      </c>
      <c r="B10" s="18" t="n">
        <v>31998</v>
      </c>
      <c r="C10" s="17" t="n">
        <v>0</v>
      </c>
      <c r="D10" s="18" t="n">
        <v>8655</v>
      </c>
      <c r="E10" s="18" t="n">
        <v>11721</v>
      </c>
      <c r="F10" s="18" t="n">
        <v>242626</v>
      </c>
      <c r="G10" s="18" t="n">
        <v>537340</v>
      </c>
      <c r="H10" s="17" t="n">
        <v>0</v>
      </c>
      <c r="I10" s="17" t="n">
        <v>0</v>
      </c>
      <c r="J10" s="17" t="n">
        <v>0</v>
      </c>
      <c r="K10" s="17" t="n">
        <v>0</v>
      </c>
      <c r="L10" s="19">
        <f>SUM(B10:K10)</f>
        <v/>
      </c>
    </row>
    <row r="11">
      <c r="A11" s="17" t="inlineStr">
        <is>
          <t>Art 5 - Student &amp; Staff Support</t>
        </is>
      </c>
      <c r="B11" s="18" t="n">
        <v>283924</v>
      </c>
      <c r="C11" s="18" t="n">
        <v>252755</v>
      </c>
      <c r="D11" s="18" t="n">
        <v>142635</v>
      </c>
      <c r="E11" s="18" t="n">
        <v>294417</v>
      </c>
      <c r="F11" s="18" t="n">
        <v>295189</v>
      </c>
      <c r="G11" s="18" t="n">
        <v>792150</v>
      </c>
      <c r="H11" s="18" t="n">
        <v>899261</v>
      </c>
      <c r="I11" s="18" t="n">
        <v>200541</v>
      </c>
      <c r="J11" s="17" t="n">
        <v>0</v>
      </c>
      <c r="K11" s="17" t="n">
        <v>0</v>
      </c>
      <c r="L11" s="19">
        <f>SUM(B11:K11)</f>
        <v/>
      </c>
    </row>
    <row r="12">
      <c r="A12" s="17" t="inlineStr">
        <is>
          <t>Art 6 - System Administration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8" t="n">
        <v>1013211</v>
      </c>
      <c r="I12" s="17" t="n">
        <v>0</v>
      </c>
      <c r="J12" s="17" t="n">
        <v>0</v>
      </c>
      <c r="K12" s="17" t="n">
        <v>0</v>
      </c>
      <c r="L12" s="19">
        <f>SUM(B12:K12)</f>
        <v/>
      </c>
    </row>
    <row r="13">
      <c r="A13" s="17" t="inlineStr">
        <is>
          <t>Art 7 - School Administration</t>
        </is>
      </c>
      <c r="B13" s="18" t="n">
        <v>383740</v>
      </c>
      <c r="C13" s="18" t="n">
        <v>180711</v>
      </c>
      <c r="D13" s="18" t="n">
        <v>179507</v>
      </c>
      <c r="E13" s="18" t="n">
        <v>196182</v>
      </c>
      <c r="F13" s="18" t="n">
        <v>370483</v>
      </c>
      <c r="G13" s="18" t="n">
        <v>417088</v>
      </c>
      <c r="H13" s="17" t="n">
        <v>0</v>
      </c>
      <c r="I13" s="17" t="n">
        <v>0</v>
      </c>
      <c r="J13" s="17" t="n">
        <v>0</v>
      </c>
      <c r="K13" s="17" t="n">
        <v>0</v>
      </c>
      <c r="L13" s="19">
        <f>SUM(B13:K13)</f>
        <v/>
      </c>
    </row>
    <row r="14">
      <c r="A14" s="17" t="inlineStr">
        <is>
          <t>Art 8 - Transportation &amp; Buses</t>
        </is>
      </c>
      <c r="B14" s="17" t="n">
        <v>0</v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8" t="n">
        <v>1473419</v>
      </c>
      <c r="I14" s="17" t="n">
        <v>0</v>
      </c>
      <c r="J14" s="17" t="n">
        <v>0</v>
      </c>
      <c r="K14" s="17" t="n">
        <v>0</v>
      </c>
      <c r="L14" s="19">
        <f>SUM(B14:K14)</f>
        <v/>
      </c>
    </row>
    <row r="15">
      <c r="A15" s="17" t="inlineStr">
        <is>
          <t>Art 9 - Facilities &amp; Maintenance</t>
        </is>
      </c>
      <c r="B15" s="18" t="n">
        <v>564059</v>
      </c>
      <c r="C15" s="18" t="n">
        <v>404620</v>
      </c>
      <c r="D15" s="18" t="n">
        <v>228333</v>
      </c>
      <c r="E15" s="18" t="n">
        <v>353401</v>
      </c>
      <c r="F15" s="18" t="n">
        <v>473991</v>
      </c>
      <c r="G15" s="18" t="n">
        <v>2008046</v>
      </c>
      <c r="H15" s="18" t="n">
        <v>965299</v>
      </c>
      <c r="I15" s="17" t="n">
        <v>0</v>
      </c>
      <c r="J15" s="17" t="n">
        <v>0</v>
      </c>
      <c r="K15" s="17" t="n">
        <v>0</v>
      </c>
      <c r="L15" s="19">
        <f>SUM(B15:K15)</f>
        <v/>
      </c>
    </row>
    <row r="16">
      <c r="A16" s="17" t="inlineStr">
        <is>
          <t>Art 10 - Debt Service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8" t="n">
        <v>1427247</v>
      </c>
      <c r="I16" s="17" t="n">
        <v>0</v>
      </c>
      <c r="J16" s="17" t="n">
        <v>0</v>
      </c>
      <c r="K16" s="17" t="n">
        <v>0</v>
      </c>
      <c r="L16" s="19">
        <f>SUM(B16:K16)</f>
        <v/>
      </c>
    </row>
    <row r="17">
      <c r="A17" s="17" t="inlineStr">
        <is>
          <t>Art 11 - All Other Expenses</t>
        </is>
      </c>
      <c r="B17" s="17" t="n">
        <v>0</v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8" t="n">
        <v>294645</v>
      </c>
      <c r="I17" s="17" t="n">
        <v>0</v>
      </c>
      <c r="J17" s="17" t="n">
        <v>0</v>
      </c>
      <c r="K17" s="17" t="n">
        <v>0</v>
      </c>
      <c r="L17" s="19">
        <f>SUM(B17:K17)</f>
        <v/>
      </c>
    </row>
    <row r="18">
      <c r="A18" s="20" t="inlineStr">
        <is>
          <t>GRAND TOTAL</t>
        </is>
      </c>
      <c r="B18" s="21">
        <f>SUM(B7:B17)</f>
        <v/>
      </c>
      <c r="C18" s="21">
        <f>SUM(C7:C17)</f>
        <v/>
      </c>
      <c r="D18" s="21">
        <f>SUM(D7:D17)</f>
        <v/>
      </c>
      <c r="E18" s="21">
        <f>SUM(E7:E17)</f>
        <v/>
      </c>
      <c r="F18" s="21">
        <f>SUM(F7:F17)</f>
        <v/>
      </c>
      <c r="G18" s="21">
        <f>SUM(G7:G17)</f>
        <v/>
      </c>
      <c r="H18" s="21">
        <f>SUM(H7:H17)</f>
        <v/>
      </c>
      <c r="I18" s="21">
        <f>SUM(I7:I17)</f>
        <v/>
      </c>
      <c r="J18" s="21">
        <f>SUM(J7:J17)</f>
        <v/>
      </c>
      <c r="K18" s="21">
        <f>SUM(K7:K17)</f>
        <v/>
      </c>
      <c r="L18" s="21">
        <f>SUM(L7:L17)</f>
        <v/>
      </c>
    </row>
    <row r="20">
      <c r="A20" s="3" t="inlineStr">
        <is>
          <t>Per-Student Direct Cost</t>
        </is>
      </c>
    </row>
    <row r="21">
      <c r="A21" s="2" t="inlineStr">
        <is>
          <t>Enrollment from FY27 Budget Handbook (Oct 2026 projected)</t>
        </is>
      </c>
    </row>
    <row r="22">
      <c r="A22" s="8" t="inlineStr">
        <is>
          <t>School</t>
        </is>
      </c>
      <c r="B22" s="8" t="inlineStr">
        <is>
          <t>DCS</t>
        </is>
      </c>
      <c r="C22" s="8" t="inlineStr">
        <is>
          <t>MSS</t>
        </is>
      </c>
      <c r="D22" s="8" t="inlineStr">
        <is>
          <t>PES</t>
        </is>
      </c>
      <c r="E22" s="8" t="inlineStr">
        <is>
          <t>MLS</t>
        </is>
      </c>
      <c r="F22" s="8" t="inlineStr">
        <is>
          <t>FMS</t>
        </is>
      </c>
      <c r="G22" s="8" t="inlineStr">
        <is>
          <t>FHS</t>
        </is>
      </c>
    </row>
    <row r="23">
      <c r="A23" s="22" t="inlineStr">
        <is>
          <t>Enrollment (Oct 2026P)</t>
        </is>
      </c>
      <c r="B23" s="18" t="n">
        <v>467</v>
      </c>
      <c r="C23" s="18" t="n">
        <v>274</v>
      </c>
      <c r="D23" s="18" t="n">
        <v>105</v>
      </c>
      <c r="E23" s="18" t="n">
        <v>264</v>
      </c>
      <c r="F23" s="18" t="n">
        <v>306</v>
      </c>
      <c r="G23" s="18" t="n">
        <v>554</v>
      </c>
    </row>
    <row r="24">
      <c r="A24" s="22" t="inlineStr">
        <is>
          <t>Direct Cost</t>
        </is>
      </c>
      <c r="B24" s="23">
        <f>SUM(B7:B17)</f>
        <v/>
      </c>
      <c r="C24" s="23">
        <f>SUM(C7:C17)</f>
        <v/>
      </c>
      <c r="D24" s="23">
        <f>SUM(D7:D17)</f>
        <v/>
      </c>
      <c r="E24" s="23">
        <f>SUM(E7:E17)</f>
        <v/>
      </c>
      <c r="F24" s="23">
        <f>SUM(F7:F17)</f>
        <v/>
      </c>
      <c r="G24" s="23">
        <f>SUM(G7:G17)</f>
        <v/>
      </c>
    </row>
    <row r="25">
      <c r="A25" s="20" t="inlineStr">
        <is>
          <t>Cost per Student</t>
        </is>
      </c>
      <c r="B25" s="21">
        <f>IF(B23=0,0,B24/B23)</f>
        <v/>
      </c>
      <c r="C25" s="21">
        <f>IF(C23=0,0,C24/C23)</f>
        <v/>
      </c>
      <c r="D25" s="21">
        <f>IF(D23=0,0,D24/D23)</f>
        <v/>
      </c>
      <c r="E25" s="21">
        <f>IF(E23=0,0,E24/E23)</f>
        <v/>
      </c>
      <c r="F25" s="21">
        <f>IF(F23=0,0,F24/F23)</f>
        <v/>
      </c>
      <c r="G25" s="21">
        <f>IF(G23=0,0,G24/G23)</f>
        <v/>
      </c>
    </row>
  </sheetData>
  <mergeCells count="3">
    <mergeCell ref="A3:F3"/>
    <mergeCell ref="A2:F2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INPUT: Enrollment Data (FY22 Handbook)</t>
        </is>
      </c>
    </row>
    <row r="3">
      <c r="A3" s="2" t="inlineStr">
        <is>
          <t>No enrollment data available from FY22 handbook.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INPUT: DOE Staffing Data (Dec 1 Snapshot)</t>
        </is>
      </c>
    </row>
    <row r="3">
      <c r="A3" s="3" t="inlineStr">
        <is>
          <t>Total FTE by School</t>
        </is>
      </c>
    </row>
    <row r="4">
      <c r="A4" s="8" t="inlineStr">
        <is>
          <t>School</t>
        </is>
      </c>
      <c r="B4" s="8" t="inlineStr">
        <is>
          <t>2018</t>
        </is>
      </c>
      <c r="C4" s="8" t="inlineStr">
        <is>
          <t>2019</t>
        </is>
      </c>
      <c r="D4" s="8" t="inlineStr">
        <is>
          <t>2020</t>
        </is>
      </c>
      <c r="E4" s="8" t="inlineStr">
        <is>
          <t>2021</t>
        </is>
      </c>
      <c r="F4" s="8" t="inlineStr">
        <is>
          <t>2022</t>
        </is>
      </c>
    </row>
    <row r="5">
      <c r="A5" s="24" t="inlineStr">
        <is>
          <t>DCS</t>
        </is>
      </c>
      <c r="B5" s="25" t="n">
        <v>84.8</v>
      </c>
      <c r="C5" s="25" t="n">
        <v>92.10000000000001</v>
      </c>
      <c r="D5" s="25" t="n">
        <v>94.2</v>
      </c>
      <c r="E5" s="25" t="n">
        <v>92.99999999999999</v>
      </c>
      <c r="F5" s="25" t="n">
        <v>87.59999999999999</v>
      </c>
    </row>
    <row r="6">
      <c r="A6" s="24" t="inlineStr">
        <is>
          <t>MSS</t>
        </is>
      </c>
      <c r="B6" s="25" t="n">
        <v>50.49999999999999</v>
      </c>
      <c r="C6" s="25" t="n">
        <v>57.09999999999999</v>
      </c>
      <c r="D6" s="25" t="n">
        <v>55.70000000000001</v>
      </c>
      <c r="E6" s="25" t="n">
        <v>55.50000000000001</v>
      </c>
      <c r="F6" s="25" t="n">
        <v>60.8</v>
      </c>
    </row>
    <row r="7">
      <c r="A7" s="24" t="inlineStr">
        <is>
          <t>MLS</t>
        </is>
      </c>
      <c r="B7" s="25" t="n">
        <v>46.40000000000001</v>
      </c>
      <c r="C7" s="25" t="n">
        <v>50.2</v>
      </c>
      <c r="D7" s="25" t="n">
        <v>55.19999999999999</v>
      </c>
      <c r="E7" s="25" t="n">
        <v>46.4</v>
      </c>
      <c r="F7" s="25" t="n">
        <v>50.49999999999999</v>
      </c>
    </row>
    <row r="8">
      <c r="A8" s="24" t="inlineStr">
        <is>
          <t>PES</t>
        </is>
      </c>
      <c r="B8" s="25" t="n">
        <v>29.6</v>
      </c>
      <c r="C8" s="25" t="n">
        <v>28</v>
      </c>
      <c r="D8" s="25" t="n">
        <v>27.7</v>
      </c>
      <c r="E8" s="25" t="n">
        <v>27.29999999999999</v>
      </c>
      <c r="F8" s="25" t="n">
        <v>24.5</v>
      </c>
    </row>
    <row r="9">
      <c r="A9" s="24" t="inlineStr">
        <is>
          <t>FMS</t>
        </is>
      </c>
      <c r="B9" s="25" t="n">
        <v>75.7</v>
      </c>
      <c r="C9" s="25" t="n">
        <v>74.60000000000001</v>
      </c>
      <c r="D9" s="25" t="n">
        <v>71.70000000000002</v>
      </c>
      <c r="E9" s="25" t="n">
        <v>58.90000000000001</v>
      </c>
      <c r="F9" s="25" t="n">
        <v>67.80000000000001</v>
      </c>
    </row>
    <row r="10">
      <c r="A10" s="24" t="inlineStr">
        <is>
          <t>FHS</t>
        </is>
      </c>
      <c r="B10" s="25" t="n">
        <v>106</v>
      </c>
      <c r="C10" s="25" t="n">
        <v>124.1</v>
      </c>
      <c r="D10" s="25" t="n">
        <v>123.1</v>
      </c>
      <c r="E10" s="25" t="n">
        <v>112.4</v>
      </c>
      <c r="F10" s="25" t="n">
        <v>100.4</v>
      </c>
    </row>
    <row r="11">
      <c r="A11" s="24" t="inlineStr">
        <is>
          <t>District</t>
        </is>
      </c>
      <c r="B11" s="25" t="n">
        <v>111.4</v>
      </c>
      <c r="C11" s="25" t="n">
        <v>125.4</v>
      </c>
      <c r="D11" s="25" t="n">
        <v>115.4</v>
      </c>
      <c r="E11" s="25" t="n">
        <v>118.9</v>
      </c>
      <c r="F11" s="25" t="n">
        <v>119.8</v>
      </c>
    </row>
    <row r="12">
      <c r="A12" s="12" t="inlineStr">
        <is>
          <t>Total</t>
        </is>
      </c>
      <c r="B12" s="26" t="n">
        <v>504.4</v>
      </c>
      <c r="C12" s="26" t="n">
        <v>551.5</v>
      </c>
      <c r="D12" s="26" t="n">
        <v>543</v>
      </c>
      <c r="E12" s="26" t="n">
        <v>512.4</v>
      </c>
      <c r="F12" s="26" t="n">
        <v>511.4</v>
      </c>
    </row>
    <row r="14">
      <c r="A14" s="3" t="inlineStr">
        <is>
          <t>Detail by Position (2022)</t>
        </is>
      </c>
    </row>
    <row r="15">
      <c r="A15" s="8" t="inlineStr">
        <is>
          <t>Position</t>
        </is>
      </c>
      <c r="B15" s="8" t="inlineStr">
        <is>
          <t>Total FTE</t>
        </is>
      </c>
    </row>
    <row r="16">
      <c r="A16" s="9" t="inlineStr">
        <is>
          <t>Classroom Teacher</t>
        </is>
      </c>
      <c r="B16" s="27" t="n">
        <v>145.7</v>
      </c>
    </row>
    <row r="17">
      <c r="A17" s="9" t="inlineStr">
        <is>
          <t>Ed Tech III</t>
        </is>
      </c>
      <c r="B17" s="27" t="n">
        <v>49.3</v>
      </c>
    </row>
    <row r="18">
      <c r="A18" s="9" t="inlineStr">
        <is>
          <t>Co-Curric (Non-Athletic)</t>
        </is>
      </c>
      <c r="B18" s="27" t="n">
        <v>47.2</v>
      </c>
    </row>
    <row r="19">
      <c r="A19" s="9" t="inlineStr">
        <is>
          <t>Coach (Athletic)</t>
        </is>
      </c>
      <c r="B19" s="27" t="n">
        <v>40</v>
      </c>
    </row>
    <row r="20">
      <c r="A20" s="9" t="inlineStr">
        <is>
          <t>Teacher Support Team Member</t>
        </is>
      </c>
      <c r="B20" s="27" t="n">
        <v>27.2</v>
      </c>
    </row>
    <row r="21">
      <c r="A21" s="9" t="inlineStr">
        <is>
          <t>Facilities-Custodial/Maintenance</t>
        </is>
      </c>
      <c r="B21" s="27" t="n">
        <v>26</v>
      </c>
    </row>
    <row r="22">
      <c r="A22" s="9" t="inlineStr">
        <is>
          <t>Special Education Teacher</t>
        </is>
      </c>
      <c r="B22" s="27" t="n">
        <v>19</v>
      </c>
    </row>
    <row r="23">
      <c r="A23" s="9" t="inlineStr">
        <is>
          <t>Student Monitor</t>
        </is>
      </c>
      <c r="B23" s="27" t="n">
        <v>18.1</v>
      </c>
    </row>
    <row r="24">
      <c r="A24" s="9" t="inlineStr">
        <is>
          <t>Administrative Assistant/Secretary</t>
        </is>
      </c>
      <c r="B24" s="27" t="n">
        <v>17</v>
      </c>
    </row>
    <row r="25">
      <c r="A25" s="9" t="inlineStr">
        <is>
          <t>Bus Driver</t>
        </is>
      </c>
      <c r="B25" s="27" t="n">
        <v>11.9</v>
      </c>
    </row>
    <row r="26">
      <c r="A26" s="9" t="inlineStr">
        <is>
          <t>Ed Tech II</t>
        </is>
      </c>
      <c r="B26" s="27" t="n">
        <v>10</v>
      </c>
    </row>
    <row r="27">
      <c r="A27" s="9" t="inlineStr">
        <is>
          <t>Food Service Staff</t>
        </is>
      </c>
      <c r="B27" s="27" t="n">
        <v>8.800000000000001</v>
      </c>
    </row>
    <row r="28">
      <c r="A28" s="9" t="inlineStr">
        <is>
          <t>School Counselor</t>
        </is>
      </c>
      <c r="B28" s="27" t="n">
        <v>8</v>
      </c>
    </row>
    <row r="29">
      <c r="A29" s="9" t="inlineStr">
        <is>
          <t>Nurse</t>
        </is>
      </c>
      <c r="B29" s="27" t="n">
        <v>6.2</v>
      </c>
    </row>
    <row r="30">
      <c r="A30" s="9" t="inlineStr">
        <is>
          <t>Principal</t>
        </is>
      </c>
      <c r="B30" s="27" t="n">
        <v>6</v>
      </c>
    </row>
    <row r="31">
      <c r="A31" s="9" t="inlineStr">
        <is>
          <t>Food Service Manager I</t>
        </is>
      </c>
      <c r="B31" s="27" t="n">
        <v>6</v>
      </c>
    </row>
    <row r="32">
      <c r="A32" s="9" t="inlineStr">
        <is>
          <t>School Social Worker</t>
        </is>
      </c>
      <c r="B32" s="27" t="n">
        <v>5.9</v>
      </c>
    </row>
    <row r="33">
      <c r="A33" s="9" t="inlineStr">
        <is>
          <t>Librarian/Media Specialist</t>
        </is>
      </c>
      <c r="B33" s="27" t="n">
        <v>5</v>
      </c>
    </row>
    <row r="34">
      <c r="A34" s="9" t="inlineStr">
        <is>
          <t>Instructional Coach</t>
        </is>
      </c>
      <c r="B34" s="27" t="n">
        <v>5</v>
      </c>
    </row>
    <row r="35">
      <c r="A35" s="9" t="inlineStr">
        <is>
          <t>Speech - Language Pathologist</t>
        </is>
      </c>
      <c r="B35" s="27" t="n">
        <v>4.1</v>
      </c>
    </row>
    <row r="36">
      <c r="A36" s="9" t="inlineStr">
        <is>
          <t>Ed Tech I</t>
        </is>
      </c>
      <c r="B36" s="27" t="n">
        <v>4</v>
      </c>
    </row>
    <row r="37">
      <c r="A37" s="9" t="inlineStr">
        <is>
          <t>Computer Maintenance</t>
        </is>
      </c>
      <c r="B37" s="27" t="n">
        <v>4</v>
      </c>
    </row>
    <row r="38">
      <c r="A38" s="9" t="inlineStr">
        <is>
          <t>Assistant Principal</t>
        </is>
      </c>
      <c r="B38" s="27" t="n">
        <v>3</v>
      </c>
    </row>
    <row r="39">
      <c r="A39" s="9" t="inlineStr">
        <is>
          <t>Title I Teacher</t>
        </is>
      </c>
      <c r="B39" s="27" t="n">
        <v>3</v>
      </c>
    </row>
    <row r="40">
      <c r="A40" s="9" t="inlineStr">
        <is>
          <t>Gifted and Talented (GT) Teacher</t>
        </is>
      </c>
      <c r="B40" s="27" t="n">
        <v>2.8</v>
      </c>
    </row>
    <row r="41">
      <c r="A41" s="9" t="inlineStr">
        <is>
          <t>Literacy Specialist</t>
        </is>
      </c>
      <c r="B41" s="27" t="n">
        <v>2</v>
      </c>
    </row>
    <row r="42">
      <c r="A42" s="9" t="inlineStr">
        <is>
          <t>Occupational Therapist</t>
        </is>
      </c>
      <c r="B42" s="27" t="n">
        <v>2</v>
      </c>
    </row>
    <row r="43">
      <c r="A43" s="9" t="inlineStr">
        <is>
          <t>Bookkeeper</t>
        </is>
      </c>
      <c r="B43" s="27" t="n">
        <v>2</v>
      </c>
    </row>
    <row r="44">
      <c r="A44" s="9" t="inlineStr">
        <is>
          <t>Facilities-Buildings &amp; Grounds Supervisor</t>
        </is>
      </c>
      <c r="B44" s="27" t="n">
        <v>2</v>
      </c>
    </row>
    <row r="45">
      <c r="A45" s="9" t="inlineStr">
        <is>
          <t>School Psychologist</t>
        </is>
      </c>
      <c r="B45" s="27" t="n">
        <v>2</v>
      </c>
    </row>
    <row r="46">
      <c r="A46" s="9" t="inlineStr">
        <is>
          <t>Van Driver</t>
        </is>
      </c>
      <c r="B46" s="27" t="n">
        <v>1.9</v>
      </c>
    </row>
    <row r="47">
      <c r="A47" s="9" t="inlineStr">
        <is>
          <t>Ed Tech III - Library/Media</t>
        </is>
      </c>
      <c r="B47" s="27" t="n">
        <v>1</v>
      </c>
    </row>
    <row r="48">
      <c r="A48" s="9" t="inlineStr">
        <is>
          <t>JMG Skills Instructor</t>
        </is>
      </c>
      <c r="B48" s="27" t="n">
        <v>1</v>
      </c>
    </row>
    <row r="49">
      <c r="A49" s="9" t="inlineStr">
        <is>
          <t>Athletic Director</t>
        </is>
      </c>
      <c r="B49" s="27" t="n">
        <v>1</v>
      </c>
    </row>
    <row r="50">
      <c r="A50" s="9" t="inlineStr">
        <is>
          <t>School Resource Officer</t>
        </is>
      </c>
      <c r="B50" s="27" t="n">
        <v>1</v>
      </c>
    </row>
    <row r="51">
      <c r="A51" s="9" t="inlineStr">
        <is>
          <t>Adult Education Director</t>
        </is>
      </c>
      <c r="B51" s="27" t="n">
        <v>1</v>
      </c>
    </row>
    <row r="52">
      <c r="A52" s="9" t="inlineStr">
        <is>
          <t>Bus Mechanic</t>
        </is>
      </c>
      <c r="B52" s="27" t="n">
        <v>1</v>
      </c>
    </row>
    <row r="53">
      <c r="A53" s="9" t="inlineStr">
        <is>
          <t>Business Administrator/Manager</t>
        </is>
      </c>
      <c r="B53" s="27" t="n">
        <v>1</v>
      </c>
    </row>
    <row r="54">
      <c r="A54" s="9" t="inlineStr">
        <is>
          <t>Data Specialist</t>
        </is>
      </c>
      <c r="B54" s="27" t="n">
        <v>1</v>
      </c>
    </row>
    <row r="55">
      <c r="A55" s="9" t="inlineStr">
        <is>
          <t>Director of Technology</t>
        </is>
      </c>
      <c r="B55" s="27" t="n">
        <v>1</v>
      </c>
    </row>
    <row r="56">
      <c r="A56" s="9" t="inlineStr">
        <is>
          <t>Director/Supervisor Assistant of Food Service</t>
        </is>
      </c>
      <c r="B56" s="27" t="n">
        <v>1</v>
      </c>
    </row>
    <row r="57">
      <c r="A57" s="9" t="inlineStr">
        <is>
          <t>Employment Coordinator</t>
        </is>
      </c>
      <c r="B57" s="27" t="n">
        <v>1</v>
      </c>
    </row>
    <row r="58">
      <c r="A58" s="9" t="inlineStr">
        <is>
          <t>Special Education Director</t>
        </is>
      </c>
      <c r="B58" s="27" t="n">
        <v>1</v>
      </c>
    </row>
    <row r="59">
      <c r="A59" s="9" t="inlineStr">
        <is>
          <t>Superintendent of Schools</t>
        </is>
      </c>
      <c r="B59" s="27" t="n">
        <v>1</v>
      </c>
    </row>
    <row r="60">
      <c r="A60" s="9" t="inlineStr">
        <is>
          <t>Asst Superintendent of Schools</t>
        </is>
      </c>
      <c r="B60" s="27" t="n">
        <v>0.6</v>
      </c>
    </row>
    <row r="61">
      <c r="A61" s="9" t="inlineStr">
        <is>
          <t>English Language Learner Teacher</t>
        </is>
      </c>
      <c r="B61" s="27" t="n">
        <v>0.5</v>
      </c>
    </row>
    <row r="62">
      <c r="A62" s="9" t="inlineStr">
        <is>
          <t>Dir/Sup of Transportation</t>
        </is>
      </c>
      <c r="B62" s="27" t="n">
        <v>0.5</v>
      </c>
    </row>
    <row r="63">
      <c r="A63" s="9" t="inlineStr">
        <is>
          <t>Facilities-Director/Manager</t>
        </is>
      </c>
      <c r="B63" s="27" t="n">
        <v>0.5</v>
      </c>
    </row>
    <row r="64">
      <c r="A64" s="9" t="inlineStr">
        <is>
          <t>Physical Therapist</t>
        </is>
      </c>
      <c r="B64" s="27" t="n">
        <v>0.5</v>
      </c>
    </row>
    <row r="65">
      <c r="A65" s="9" t="inlineStr">
        <is>
          <t>Curriculum Coordinator</t>
        </is>
      </c>
      <c r="B65" s="27" t="n">
        <v>0.4</v>
      </c>
    </row>
    <row r="66">
      <c r="A66" s="9" t="inlineStr">
        <is>
          <t>Athletic Trainer</t>
        </is>
      </c>
      <c r="B66" s="27" t="n">
        <v>0.1</v>
      </c>
    </row>
    <row r="67">
      <c r="A67" s="9" t="inlineStr">
        <is>
          <t>Board Certified Behavior Analyst</t>
        </is>
      </c>
      <c r="B67" s="27" t="n">
        <v>0.1</v>
      </c>
    </row>
    <row r="68">
      <c r="A68" s="9" t="inlineStr">
        <is>
          <t>Licensed Clinical Professional Counselors</t>
        </is>
      </c>
      <c r="B68" s="27" t="n">
        <v>0.1</v>
      </c>
    </row>
    <row r="70">
      <c r="A70" s="16" t="inlineStr">
        <is>
          <t>Source: Maine DOE Staff Historical Data (Dec 1 snapshots)</t>
        </is>
      </c>
    </row>
    <row r="71">
      <c r="A71" s="16" t="inlineStr">
        <is>
          <t>MDohle RSU 5 Staff by FTE.xlsx</t>
        </is>
      </c>
    </row>
  </sheetData>
  <mergeCells count="2">
    <mergeCell ref="A71:F71"/>
    <mergeCell ref="A70:F7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4" customWidth="1" min="4" max="4"/>
  </cols>
  <sheetData>
    <row r="1">
      <c r="A1" s="1" t="inlineStr">
        <is>
          <t>INPUT: Budget History (from FY22 Handbook)</t>
        </is>
      </c>
    </row>
    <row r="3">
      <c r="A3" s="2" t="inlineStr">
        <is>
          <t>Using history from FY27 handbook (FY22 had none)</t>
        </is>
      </c>
    </row>
    <row r="4">
      <c r="A4" s="8" t="inlineStr">
        <is>
          <t>Fiscal Year</t>
        </is>
      </c>
      <c r="B4" s="8" t="inlineStr">
        <is>
          <t>Adopted Budget</t>
        </is>
      </c>
      <c r="C4" s="8" t="inlineStr">
        <is>
          <t>Difference</t>
        </is>
      </c>
      <c r="D4" s="8" t="inlineStr">
        <is>
          <t>% Increase</t>
        </is>
      </c>
    </row>
    <row r="5">
      <c r="A5" s="24" t="inlineStr">
        <is>
          <t>FY17</t>
        </is>
      </c>
      <c r="B5" s="18" t="n">
        <v>31008672</v>
      </c>
      <c r="C5" s="18" t="n">
        <v>1518469</v>
      </c>
      <c r="D5" s="28" t="n">
        <v>0.0515</v>
      </c>
    </row>
    <row r="6">
      <c r="A6" s="24" t="inlineStr">
        <is>
          <t>FY18</t>
        </is>
      </c>
      <c r="B6" s="18" t="n">
        <v>32310685</v>
      </c>
      <c r="C6" s="18" t="n">
        <v>1302013</v>
      </c>
      <c r="D6" s="28" t="n">
        <v>0.042</v>
      </c>
    </row>
    <row r="7">
      <c r="A7" s="24" t="inlineStr">
        <is>
          <t>FY19</t>
        </is>
      </c>
      <c r="B7" s="18" t="n">
        <v>33058025</v>
      </c>
      <c r="C7" s="18" t="n">
        <v>747340</v>
      </c>
      <c r="D7" s="28" t="n">
        <v>0.0231</v>
      </c>
    </row>
    <row r="8">
      <c r="A8" s="24" t="inlineStr">
        <is>
          <t>FY20</t>
        </is>
      </c>
      <c r="B8" s="18" t="n">
        <v>34192295</v>
      </c>
      <c r="C8" s="18" t="n">
        <v>1134270</v>
      </c>
      <c r="D8" s="28" t="n">
        <v>0.0343</v>
      </c>
    </row>
    <row r="9">
      <c r="A9" s="24" t="inlineStr">
        <is>
          <t>FY21</t>
        </is>
      </c>
      <c r="B9" s="18" t="n">
        <v>34984700</v>
      </c>
      <c r="C9" s="18" t="n">
        <v>792405</v>
      </c>
      <c r="D9" s="28" t="n">
        <v>0.0232</v>
      </c>
    </row>
    <row r="10">
      <c r="A10" s="24" t="inlineStr">
        <is>
          <t>FY22</t>
        </is>
      </c>
      <c r="B10" s="18" t="n">
        <v>35714863</v>
      </c>
      <c r="C10" s="18" t="n">
        <v>730163</v>
      </c>
      <c r="D10" s="28" t="n">
        <v>0.0209</v>
      </c>
    </row>
    <row r="11">
      <c r="A11" s="24" t="inlineStr">
        <is>
          <t>FY23</t>
        </is>
      </c>
      <c r="B11" s="18" t="n">
        <v>37223151</v>
      </c>
      <c r="C11" s="18" t="n">
        <v>1508288</v>
      </c>
      <c r="D11" s="28" t="n">
        <v>0.04219999999999999</v>
      </c>
    </row>
    <row r="12">
      <c r="A12" s="24" t="inlineStr">
        <is>
          <t>FY24</t>
        </is>
      </c>
      <c r="B12" s="18" t="n">
        <v>39080569</v>
      </c>
      <c r="C12" s="18" t="n">
        <v>1857418</v>
      </c>
      <c r="D12" s="28" t="n">
        <v>0.0499</v>
      </c>
    </row>
    <row r="13">
      <c r="A13" s="24" t="inlineStr">
        <is>
          <t>FY25</t>
        </is>
      </c>
      <c r="B13" s="18" t="n">
        <v>41612460</v>
      </c>
      <c r="C13" s="18" t="n">
        <v>2531891</v>
      </c>
      <c r="D13" s="28" t="n">
        <v>0.06480000000000001</v>
      </c>
    </row>
    <row r="14">
      <c r="A14" s="24" t="inlineStr">
        <is>
          <t>FY26</t>
        </is>
      </c>
      <c r="B14" s="18" t="n">
        <v>44455929</v>
      </c>
      <c r="C14" s="18" t="n">
        <v>2843469</v>
      </c>
      <c r="D14" s="28" t="n">
        <v>0.0683</v>
      </c>
    </row>
    <row r="16">
      <c r="A16" s="16" t="inlineStr">
        <is>
          <t>Source: RSU 5 Superintendent's Budget Handbook</t>
        </is>
      </c>
    </row>
    <row r="17">
      <c r="A17" s="16" t="inlineStr">
        <is>
          <t>10-Year Adopted Budget History table</t>
        </is>
      </c>
    </row>
  </sheetData>
  <mergeCells count="2">
    <mergeCell ref="A16:F16"/>
    <mergeCell ref="A17:F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CALC: Budget Growth Trends by Article</t>
        </is>
      </c>
    </row>
    <row r="2">
      <c r="A2" s="16" t="inlineStr">
        <is>
          <t>Article totals computed independently from parsed line-item data.</t>
        </is>
      </c>
    </row>
    <row r="3">
      <c r="A3" s="16" t="inlineStr">
        <is>
          <t>Growth and CAGR computed via Excel formulas.</t>
        </is>
      </c>
    </row>
    <row r="5">
      <c r="A5" s="8" t="inlineStr">
        <is>
          <t>Article</t>
        </is>
      </c>
      <c r="B5" s="8" t="inlineStr">
        <is>
          <t>FY22</t>
        </is>
      </c>
      <c r="C5" s="8" t="inlineStr">
        <is>
          <t>FY23</t>
        </is>
      </c>
      <c r="D5" s="8" t="inlineStr">
        <is>
          <t>FY24</t>
        </is>
      </c>
      <c r="E5" s="8" t="inlineStr">
        <is>
          <t>FY25</t>
        </is>
      </c>
      <c r="F5" s="8" t="inlineStr">
        <is>
          <t>FY26</t>
        </is>
      </c>
      <c r="G5" s="8" t="inlineStr">
        <is>
          <t>FY27</t>
        </is>
      </c>
      <c r="H5" s="8" t="inlineStr">
        <is>
          <t>Total Growth</t>
        </is>
      </c>
      <c r="I5" s="8" t="inlineStr">
        <is>
          <t>Avg Annual</t>
        </is>
      </c>
    </row>
    <row r="6">
      <c r="A6" s="17" t="inlineStr">
        <is>
          <t>Art 1 - Regular Instruction</t>
        </is>
      </c>
      <c r="B6" s="10" t="n">
        <v>15107880</v>
      </c>
      <c r="C6" s="10" t="n">
        <v>16356356</v>
      </c>
      <c r="D6" s="10" t="n">
        <v>17021480</v>
      </c>
      <c r="E6" s="10" t="n">
        <v>18390052</v>
      </c>
      <c r="F6" s="10" t="n">
        <v>19289106</v>
      </c>
      <c r="G6" s="10" t="n">
        <v>19860193</v>
      </c>
      <c r="H6" s="29">
        <f>IF(B6=0,0,G6/B6-1)</f>
        <v/>
      </c>
      <c r="I6" s="29">
        <f>IF(B6=0,0,(G6/B6)^(1/5)-1)</f>
        <v/>
      </c>
    </row>
    <row r="7">
      <c r="A7" s="17" t="inlineStr">
        <is>
          <t>Art 2 - Special Education</t>
        </is>
      </c>
      <c r="B7" s="10" t="n">
        <v>4688560</v>
      </c>
      <c r="C7" s="10" t="n">
        <v>4703567</v>
      </c>
      <c r="D7" s="10" t="n">
        <v>5074090</v>
      </c>
      <c r="E7" s="10" t="n">
        <v>5870507</v>
      </c>
      <c r="F7" s="10" t="n">
        <v>6513451</v>
      </c>
      <c r="G7" s="10" t="n">
        <v>7510422</v>
      </c>
      <c r="H7" s="29">
        <f>IF(B7=0,0,G7/B7-1)</f>
        <v/>
      </c>
      <c r="I7" s="29">
        <f>IF(B7=0,0,(G7/B7)^(1/5)-1)</f>
        <v/>
      </c>
    </row>
    <row r="8">
      <c r="A8" s="17" t="inlineStr">
        <is>
          <t>Art 3 - Career &amp; Technical Education</t>
        </is>
      </c>
      <c r="B8" s="10" t="n">
        <v>101706</v>
      </c>
      <c r="C8" s="10" t="n">
        <v>29.11</v>
      </c>
      <c r="D8" s="17" t="n"/>
      <c r="E8" s="10" t="n">
        <v>289668</v>
      </c>
      <c r="F8" s="10" t="n">
        <v>17977</v>
      </c>
      <c r="G8" s="10" t="n">
        <v>337282</v>
      </c>
      <c r="H8" s="29">
        <f>IF(B8=0,0,G8/B8-1)</f>
        <v/>
      </c>
      <c r="I8" s="29">
        <f>IF(B8=0,0,(G8/B8)^(1/5)-1)</f>
        <v/>
      </c>
    </row>
    <row r="9">
      <c r="A9" s="17" t="inlineStr">
        <is>
          <t>Art 4 - Other Instruction</t>
        </is>
      </c>
      <c r="B9" s="10" t="n">
        <v>832340</v>
      </c>
      <c r="C9" s="10" t="n">
        <v>856841</v>
      </c>
      <c r="D9" s="10" t="n">
        <v>1015667</v>
      </c>
      <c r="E9" s="10" t="n">
        <v>1006604</v>
      </c>
      <c r="F9" s="10" t="n">
        <v>1090110</v>
      </c>
      <c r="G9" s="10" t="n">
        <v>1142974</v>
      </c>
      <c r="H9" s="29">
        <f>IF(B9=0,0,G9/B9-1)</f>
        <v/>
      </c>
      <c r="I9" s="29">
        <f>IF(B9=0,0,(G9/B9)^(1/5)-1)</f>
        <v/>
      </c>
    </row>
    <row r="10">
      <c r="A10" s="17" t="inlineStr">
        <is>
          <t>Art 5 - Student &amp; Staff Support</t>
        </is>
      </c>
      <c r="B10" s="10" t="n">
        <v>3160872</v>
      </c>
      <c r="C10" s="10" t="n">
        <v>3594807</v>
      </c>
      <c r="D10" s="10" t="n">
        <v>3822402</v>
      </c>
      <c r="E10" s="10" t="n">
        <v>4371246</v>
      </c>
      <c r="F10" s="10" t="n">
        <v>4644307</v>
      </c>
      <c r="G10" s="10" t="n">
        <v>4906366</v>
      </c>
      <c r="H10" s="29">
        <f>IF(B10=0,0,G10/B10-1)</f>
        <v/>
      </c>
      <c r="I10" s="29">
        <f>IF(B10=0,0,(G10/B10)^(1/5)-1)</f>
        <v/>
      </c>
    </row>
    <row r="11">
      <c r="A11" s="17" t="inlineStr">
        <is>
          <t>Art 6 - System Administration</t>
        </is>
      </c>
      <c r="B11" s="10" t="n">
        <v>1013211</v>
      </c>
      <c r="C11" s="10" t="n">
        <v>990353</v>
      </c>
      <c r="D11" s="10" t="n">
        <v>1021441</v>
      </c>
      <c r="E11" s="10" t="n">
        <v>1179440</v>
      </c>
      <c r="F11" s="10" t="n">
        <v>1263587</v>
      </c>
      <c r="G11" s="10" t="n">
        <v>1308008</v>
      </c>
      <c r="H11" s="29">
        <f>IF(B11=0,0,G11/B11-1)</f>
        <v/>
      </c>
      <c r="I11" s="29">
        <f>IF(B11=0,0,(G11/B11)^(1/5)-1)</f>
        <v/>
      </c>
    </row>
    <row r="12">
      <c r="A12" s="17" t="inlineStr">
        <is>
          <t>Art 7 - School Administration</t>
        </is>
      </c>
      <c r="B12" s="10" t="n">
        <v>1727711</v>
      </c>
      <c r="C12" s="10" t="n">
        <v>1942616</v>
      </c>
      <c r="D12" s="10" t="n">
        <v>2067029</v>
      </c>
      <c r="E12" s="10" t="n">
        <v>2342210</v>
      </c>
      <c r="F12" s="10" t="n">
        <v>2514485</v>
      </c>
      <c r="G12" s="10" t="n">
        <v>2638024</v>
      </c>
      <c r="H12" s="29">
        <f>IF(B12=0,0,G12/B12-1)</f>
        <v/>
      </c>
      <c r="I12" s="29">
        <f>IF(B12=0,0,(G12/B12)^(1/5)-1)</f>
        <v/>
      </c>
    </row>
    <row r="13">
      <c r="A13" s="17" t="inlineStr">
        <is>
          <t>Art 8 - Transportation &amp; Buses</t>
        </is>
      </c>
      <c r="B13" s="10" t="n">
        <v>1473419</v>
      </c>
      <c r="C13" s="10" t="n">
        <v>1438023</v>
      </c>
      <c r="D13" s="10" t="n">
        <v>1551608</v>
      </c>
      <c r="E13" s="10" t="n">
        <v>1586682</v>
      </c>
      <c r="F13" s="10" t="n">
        <v>1931576</v>
      </c>
      <c r="G13" s="10" t="n">
        <v>2388457</v>
      </c>
      <c r="H13" s="29">
        <f>IF(B13=0,0,G13/B13-1)</f>
        <v/>
      </c>
      <c r="I13" s="29">
        <f>IF(B13=0,0,(G13/B13)^(1/5)-1)</f>
        <v/>
      </c>
    </row>
    <row r="14">
      <c r="A14" s="17" t="inlineStr">
        <is>
          <t>Art 9 - Facilities &amp; Maintenance</t>
        </is>
      </c>
      <c r="B14" s="10" t="n">
        <v>5028523</v>
      </c>
      <c r="C14" s="10" t="n">
        <v>5100232</v>
      </c>
      <c r="D14" s="10" t="n">
        <v>5167753.71</v>
      </c>
      <c r="E14" s="10" t="n">
        <v>5139408</v>
      </c>
      <c r="F14" s="10" t="n">
        <v>5490511</v>
      </c>
      <c r="G14" s="10" t="n">
        <v>5993777</v>
      </c>
      <c r="H14" s="29">
        <f>IF(B14=0,0,G14/B14-1)</f>
        <v/>
      </c>
      <c r="I14" s="29">
        <f>IF(B14=0,0,(G14/B14)^(1/5)-1)</f>
        <v/>
      </c>
    </row>
    <row r="15">
      <c r="A15" s="17" t="inlineStr">
        <is>
          <t>Art 10 - Debt Service</t>
        </is>
      </c>
      <c r="B15" s="10" t="n">
        <v>1427247</v>
      </c>
      <c r="C15" s="10" t="n">
        <v>-27346</v>
      </c>
      <c r="D15" s="10" t="n">
        <v>-42208</v>
      </c>
      <c r="E15" s="10" t="n">
        <v>1111064</v>
      </c>
      <c r="F15" s="10" t="n">
        <v>1087428</v>
      </c>
      <c r="G15" s="10" t="n">
        <v>1071577</v>
      </c>
      <c r="H15" s="29">
        <f>IF(B15=0,0,G15/B15-1)</f>
        <v/>
      </c>
      <c r="I15" s="29">
        <f>IF(B15=0,0,(G15/B15)^(1/5)-1)</f>
        <v/>
      </c>
    </row>
    <row r="16">
      <c r="A16" s="17" t="inlineStr">
        <is>
          <t>Art 11 - All Other Expenses</t>
        </is>
      </c>
      <c r="B16" s="10" t="n">
        <v>294645</v>
      </c>
      <c r="C16" s="17" t="n"/>
      <c r="D16" s="17" t="n"/>
      <c r="E16" s="10" t="n">
        <v>185334</v>
      </c>
      <c r="F16" s="10" t="n">
        <v>139591</v>
      </c>
      <c r="G16" s="10" t="n">
        <v>69796</v>
      </c>
      <c r="H16" s="29">
        <f>IF(B16=0,0,G16/B16-1)</f>
        <v/>
      </c>
      <c r="I16" s="29">
        <f>IF(B16=0,0,(G16/B16)^(1/5)-1)</f>
        <v/>
      </c>
    </row>
    <row r="17">
      <c r="A17" s="20" t="inlineStr">
        <is>
          <t>TOTAL EXPENDITURES</t>
        </is>
      </c>
      <c r="B17" s="21">
        <f>B6+B7+B8+B9+B10+B11+B12+B13+B14+B15+B16</f>
        <v/>
      </c>
      <c r="C17" s="21">
        <f>C6+C7+C8+C9+C10+C11+C12+C13+C14+C15+C16</f>
        <v/>
      </c>
      <c r="D17" s="21">
        <f>D6+D7+D8+D9+D10+D11+D12+D13+D14+D15+D16</f>
        <v/>
      </c>
      <c r="E17" s="21">
        <f>E6+E7+E8+E9+E10+E11+E12+E13+E14+E15+E16</f>
        <v/>
      </c>
      <c r="F17" s="21">
        <f>F6+F7+F8+F9+F10+F11+F12+F13+F14+F15+F16</f>
        <v/>
      </c>
      <c r="G17" s="21">
        <f>G6+G7+G8+G9+G10+G11+G12+G13+G14+G15+G16</f>
        <v/>
      </c>
      <c r="H17" s="30">
        <f>IF(B17=0,0,G17/B17-1)</f>
        <v/>
      </c>
      <c r="I17" s="30">
        <f>IF(B17=0,0,(G17/B17)^(1/5)-1)</f>
        <v/>
      </c>
    </row>
    <row r="19">
      <c r="A19" s="3" t="inlineStr">
        <is>
          <t>Year-over-Year Growth Rate</t>
        </is>
      </c>
    </row>
    <row r="20">
      <c r="A20" s="8" t="inlineStr">
        <is>
          <t>Article</t>
        </is>
      </c>
      <c r="B20" s="8" t="inlineStr">
        <is>
          <t>FY23</t>
        </is>
      </c>
      <c r="C20" s="8" t="inlineStr">
        <is>
          <t>FY24</t>
        </is>
      </c>
      <c r="D20" s="8" t="inlineStr">
        <is>
          <t>FY25</t>
        </is>
      </c>
      <c r="E20" s="8" t="inlineStr">
        <is>
          <t>FY26</t>
        </is>
      </c>
      <c r="F20" s="8" t="inlineStr">
        <is>
          <t>FY27</t>
        </is>
      </c>
    </row>
    <row r="21">
      <c r="A21" s="17" t="inlineStr">
        <is>
          <t>Art 1</t>
        </is>
      </c>
      <c r="B21" s="29">
        <f>IF(B6=0,0,C6/B6-1)</f>
        <v/>
      </c>
      <c r="C21" s="29">
        <f>IF(C6=0,0,D6/C6-1)</f>
        <v/>
      </c>
      <c r="D21" s="29">
        <f>IF(D6=0,0,E6/D6-1)</f>
        <v/>
      </c>
      <c r="E21" s="29">
        <f>IF(E6=0,0,F6/E6-1)</f>
        <v/>
      </c>
      <c r="F21" s="29">
        <f>IF(F6=0,0,G6/F6-1)</f>
        <v/>
      </c>
    </row>
    <row r="22">
      <c r="A22" s="17" t="inlineStr">
        <is>
          <t>Art 2</t>
        </is>
      </c>
      <c r="B22" s="29">
        <f>IF(B7=0,0,C7/B7-1)</f>
        <v/>
      </c>
      <c r="C22" s="29">
        <f>IF(C7=0,0,D7/C7-1)</f>
        <v/>
      </c>
      <c r="D22" s="29">
        <f>IF(D7=0,0,E7/D7-1)</f>
        <v/>
      </c>
      <c r="E22" s="29">
        <f>IF(E7=0,0,F7/E7-1)</f>
        <v/>
      </c>
      <c r="F22" s="29">
        <f>IF(F7=0,0,G7/F7-1)</f>
        <v/>
      </c>
    </row>
    <row r="23">
      <c r="A23" s="17" t="inlineStr">
        <is>
          <t>Art 3</t>
        </is>
      </c>
      <c r="B23" s="29">
        <f>IF(B8=0,0,C8/B8-1)</f>
        <v/>
      </c>
      <c r="C23" s="29">
        <f>IF(C8=0,0,D8/C8-1)</f>
        <v/>
      </c>
      <c r="D23" s="29">
        <f>IF(D8=0,0,E8/D8-1)</f>
        <v/>
      </c>
      <c r="E23" s="29">
        <f>IF(E8=0,0,F8/E8-1)</f>
        <v/>
      </c>
      <c r="F23" s="29">
        <f>IF(F8=0,0,G8/F8-1)</f>
        <v/>
      </c>
    </row>
    <row r="24">
      <c r="A24" s="17" t="inlineStr">
        <is>
          <t>Art 4</t>
        </is>
      </c>
      <c r="B24" s="29">
        <f>IF(B9=0,0,C9/B9-1)</f>
        <v/>
      </c>
      <c r="C24" s="29">
        <f>IF(C9=0,0,D9/C9-1)</f>
        <v/>
      </c>
      <c r="D24" s="29">
        <f>IF(D9=0,0,E9/D9-1)</f>
        <v/>
      </c>
      <c r="E24" s="29">
        <f>IF(E9=0,0,F9/E9-1)</f>
        <v/>
      </c>
      <c r="F24" s="29">
        <f>IF(F9=0,0,G9/F9-1)</f>
        <v/>
      </c>
    </row>
    <row r="25">
      <c r="A25" s="17" t="inlineStr">
        <is>
          <t>Art 5</t>
        </is>
      </c>
      <c r="B25" s="29">
        <f>IF(B10=0,0,C10/B10-1)</f>
        <v/>
      </c>
      <c r="C25" s="29">
        <f>IF(C10=0,0,D10/C10-1)</f>
        <v/>
      </c>
      <c r="D25" s="29">
        <f>IF(D10=0,0,E10/D10-1)</f>
        <v/>
      </c>
      <c r="E25" s="29">
        <f>IF(E10=0,0,F10/E10-1)</f>
        <v/>
      </c>
      <c r="F25" s="29">
        <f>IF(F10=0,0,G10/F10-1)</f>
        <v/>
      </c>
    </row>
    <row r="26">
      <c r="A26" s="17" t="inlineStr">
        <is>
          <t>Art 6</t>
        </is>
      </c>
      <c r="B26" s="29">
        <f>IF(B11=0,0,C11/B11-1)</f>
        <v/>
      </c>
      <c r="C26" s="29">
        <f>IF(C11=0,0,D11/C11-1)</f>
        <v/>
      </c>
      <c r="D26" s="29">
        <f>IF(D11=0,0,E11/D11-1)</f>
        <v/>
      </c>
      <c r="E26" s="29">
        <f>IF(E11=0,0,F11/E11-1)</f>
        <v/>
      </c>
      <c r="F26" s="29">
        <f>IF(F11=0,0,G11/F11-1)</f>
        <v/>
      </c>
    </row>
    <row r="27">
      <c r="A27" s="17" t="inlineStr">
        <is>
          <t>Art 7</t>
        </is>
      </c>
      <c r="B27" s="29">
        <f>IF(B12=0,0,C12/B12-1)</f>
        <v/>
      </c>
      <c r="C27" s="29">
        <f>IF(C12=0,0,D12/C12-1)</f>
        <v/>
      </c>
      <c r="D27" s="29">
        <f>IF(D12=0,0,E12/D12-1)</f>
        <v/>
      </c>
      <c r="E27" s="29">
        <f>IF(E12=0,0,F12/E12-1)</f>
        <v/>
      </c>
      <c r="F27" s="29">
        <f>IF(F12=0,0,G12/F12-1)</f>
        <v/>
      </c>
    </row>
    <row r="28">
      <c r="A28" s="17" t="inlineStr">
        <is>
          <t>Art 8</t>
        </is>
      </c>
      <c r="B28" s="29">
        <f>IF(B13=0,0,C13/B13-1)</f>
        <v/>
      </c>
      <c r="C28" s="29">
        <f>IF(C13=0,0,D13/C13-1)</f>
        <v/>
      </c>
      <c r="D28" s="29">
        <f>IF(D13=0,0,E13/D13-1)</f>
        <v/>
      </c>
      <c r="E28" s="29">
        <f>IF(E13=0,0,F13/E13-1)</f>
        <v/>
      </c>
      <c r="F28" s="29">
        <f>IF(F13=0,0,G13/F13-1)</f>
        <v/>
      </c>
    </row>
    <row r="29">
      <c r="A29" s="17" t="inlineStr">
        <is>
          <t>Art 9</t>
        </is>
      </c>
      <c r="B29" s="29">
        <f>IF(B14=0,0,C14/B14-1)</f>
        <v/>
      </c>
      <c r="C29" s="29">
        <f>IF(C14=0,0,D14/C14-1)</f>
        <v/>
      </c>
      <c r="D29" s="29">
        <f>IF(D14=0,0,E14/D14-1)</f>
        <v/>
      </c>
      <c r="E29" s="29">
        <f>IF(E14=0,0,F14/E14-1)</f>
        <v/>
      </c>
      <c r="F29" s="29">
        <f>IF(F14=0,0,G14/F14-1)</f>
        <v/>
      </c>
    </row>
    <row r="30">
      <c r="A30" s="17" t="inlineStr">
        <is>
          <t>Art 10</t>
        </is>
      </c>
      <c r="B30" s="29">
        <f>IF(B15=0,0,C15/B15-1)</f>
        <v/>
      </c>
      <c r="C30" s="29">
        <f>IF(C15=0,0,D15/C15-1)</f>
        <v/>
      </c>
      <c r="D30" s="29">
        <f>IF(D15=0,0,E15/D15-1)</f>
        <v/>
      </c>
      <c r="E30" s="29">
        <f>IF(E15=0,0,F15/E15-1)</f>
        <v/>
      </c>
      <c r="F30" s="29">
        <f>IF(F15=0,0,G15/F15-1)</f>
        <v/>
      </c>
    </row>
    <row r="31">
      <c r="A31" s="17" t="inlineStr">
        <is>
          <t>Art 11</t>
        </is>
      </c>
      <c r="B31" s="29">
        <f>IF(B16=0,0,C16/B16-1)</f>
        <v/>
      </c>
      <c r="C31" s="29">
        <f>IF(C16=0,0,D16/C16-1)</f>
        <v/>
      </c>
      <c r="D31" s="29">
        <f>IF(D16=0,0,E16/D16-1)</f>
        <v/>
      </c>
      <c r="E31" s="29">
        <f>IF(E16=0,0,F16/E16-1)</f>
        <v/>
      </c>
      <c r="F31" s="29">
        <f>IF(F16=0,0,G16/F16-1)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>
      <c r="A1" s="1" t="inlineStr">
        <is>
          <t>CALC: Cost Per Student (FY22)</t>
        </is>
      </c>
    </row>
    <row r="3">
      <c r="A3" s="2" t="inlineStr">
        <is>
          <t>No enrollment data available for cost-per-student analysis.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1 - Regular Instruction</t>
        </is>
      </c>
    </row>
    <row r="2">
      <c r="A2" s="16" t="inlineStr">
        <is>
          <t>Source: FY22 Proposed Budget, RSU 5</t>
        </is>
      </c>
    </row>
    <row r="3">
      <c r="A3" s="16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FY18 Actual</t>
        </is>
      </c>
      <c r="D5" s="8" t="inlineStr">
        <is>
          <t>FY19 Actual</t>
        </is>
      </c>
      <c r="E5" s="8" t="inlineStr">
        <is>
          <t>FY20 Actual</t>
        </is>
      </c>
      <c r="F5" s="8" t="inlineStr">
        <is>
          <t>FY21 Adopted</t>
        </is>
      </c>
      <c r="G5" s="8" t="inlineStr">
        <is>
          <t>FY22 Adopted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('010',)</t>
        </is>
      </c>
    </row>
    <row r="7">
      <c r="A7" s="9" t="inlineStr">
        <is>
          <t>1000.1100.1000.51010.010</t>
        </is>
      </c>
      <c r="B7" s="9" t="inlineStr">
        <is>
          <t>Teacher Salary</t>
        </is>
      </c>
      <c r="C7" s="27" t="n">
        <v>1549044</v>
      </c>
      <c r="D7" s="27" t="n">
        <v>1688597.63</v>
      </c>
      <c r="E7" s="27" t="n">
        <v>1742940</v>
      </c>
      <c r="F7" s="27" t="n">
        <v>1688519.83</v>
      </c>
      <c r="G7" s="27" t="n">
        <v>1865881</v>
      </c>
      <c r="H7" s="27">
        <f>G7-F7</f>
        <v/>
      </c>
      <c r="I7" s="11">
        <f>IF(F7=0,0,G7/F7-1)</f>
        <v/>
      </c>
    </row>
    <row r="8">
      <c r="A8" s="9" t="inlineStr">
        <is>
          <t>1000.1100.1000.51020.010</t>
        </is>
      </c>
      <c r="B8" s="9" t="inlineStr">
        <is>
          <t>Ed Tech Salaries</t>
        </is>
      </c>
      <c r="C8" s="27" t="n">
        <v>63480</v>
      </c>
      <c r="D8" s="27" t="n">
        <v>88541.05</v>
      </c>
      <c r="E8" s="27" t="n">
        <v>69103</v>
      </c>
      <c r="F8" s="27" t="n">
        <v>86416.39</v>
      </c>
      <c r="G8" s="27" t="n">
        <v>75183</v>
      </c>
      <c r="H8" s="27">
        <f>G8-F8</f>
        <v/>
      </c>
      <c r="I8" s="11">
        <f>IF(F8=0,0,G8/F8-1)</f>
        <v/>
      </c>
    </row>
    <row r="9">
      <c r="A9" s="9" t="inlineStr">
        <is>
          <t>1000.1100.1000.51230.010</t>
        </is>
      </c>
      <c r="B9" s="9" t="inlineStr">
        <is>
          <t>Salaries-Subs</t>
        </is>
      </c>
      <c r="C9" s="27" t="n">
        <v>60000</v>
      </c>
      <c r="D9" s="27" t="n">
        <v>64149.07</v>
      </c>
      <c r="E9" s="27" t="n">
        <v>60000</v>
      </c>
      <c r="F9" s="27" t="n">
        <v>54336.2</v>
      </c>
      <c r="G9" s="27" t="n">
        <v>65000</v>
      </c>
      <c r="H9" s="27">
        <f>G9-F9</f>
        <v/>
      </c>
      <c r="I9" s="11">
        <f>IF(F9=0,0,G9/F9-1)</f>
        <v/>
      </c>
    </row>
    <row r="10">
      <c r="A10" s="9" t="inlineStr">
        <is>
          <t>1000.1100.1000.51500.010</t>
        </is>
      </c>
      <c r="B10" s="9" t="inlineStr">
        <is>
          <t>Stipends</t>
        </is>
      </c>
      <c r="C10" s="27" t="n">
        <v>13170</v>
      </c>
      <c r="D10" s="27" t="n">
        <v>1887.77</v>
      </c>
      <c r="E10" s="27" t="n">
        <v>13565</v>
      </c>
      <c r="F10" s="27" t="n">
        <v>1107.07</v>
      </c>
      <c r="G10" s="27" t="n">
        <v>22307</v>
      </c>
      <c r="H10" s="27">
        <f>G10-F10</f>
        <v/>
      </c>
      <c r="I10" s="11">
        <f>IF(F10=0,0,G10/F10-1)</f>
        <v/>
      </c>
    </row>
    <row r="11">
      <c r="A11" s="9" t="inlineStr">
        <is>
          <t>1000.1100.1000.52000.010</t>
        </is>
      </c>
      <c r="B11" s="9" t="inlineStr">
        <is>
          <t>Stipend Benefit</t>
        </is>
      </c>
      <c r="C11" s="27" t="n">
        <v>659</v>
      </c>
      <c r="D11" s="27" t="n">
        <v>921.09</v>
      </c>
      <c r="E11" s="27" t="n">
        <v>678</v>
      </c>
      <c r="F11" s="27" t="n">
        <v>468.94</v>
      </c>
      <c r="G11" s="27" t="n">
        <v>323</v>
      </c>
      <c r="H11" s="27">
        <f>G11-F11</f>
        <v/>
      </c>
      <c r="I11" s="11">
        <f>IF(F11=0,0,G11/F11-1)</f>
        <v/>
      </c>
    </row>
    <row r="12">
      <c r="A12" s="9" t="inlineStr">
        <is>
          <t>1000.1100.1000.52010.010</t>
        </is>
      </c>
      <c r="B12" s="9" t="inlineStr">
        <is>
          <t>Teacher Benefits</t>
        </is>
      </c>
      <c r="C12" s="27" t="n">
        <v>532996</v>
      </c>
      <c r="D12" s="27" t="n">
        <v>444253.08</v>
      </c>
      <c r="E12" s="27" t="n">
        <v>483762</v>
      </c>
      <c r="F12" s="27" t="n">
        <v>433144.51</v>
      </c>
      <c r="G12" s="27" t="n">
        <v>510365</v>
      </c>
      <c r="H12" s="27">
        <f>G12-F12</f>
        <v/>
      </c>
      <c r="I12" s="11">
        <f>IF(F12=0,0,G12/F12-1)</f>
        <v/>
      </c>
    </row>
    <row r="13">
      <c r="A13" s="9" t="inlineStr">
        <is>
          <t>1000.1100.1000.52020.010</t>
        </is>
      </c>
      <c r="B13" s="9" t="inlineStr">
        <is>
          <t>Ed Tech Benefits</t>
        </is>
      </c>
      <c r="C13" s="27" t="n">
        <v>34676</v>
      </c>
      <c r="D13" s="27" t="n">
        <v>39719.31</v>
      </c>
      <c r="E13" s="27" t="n">
        <v>47258</v>
      </c>
      <c r="F13" s="27" t="n">
        <v>33990.57</v>
      </c>
      <c r="G13" s="27" t="n">
        <v>51168</v>
      </c>
      <c r="H13" s="27">
        <f>G13-F13</f>
        <v/>
      </c>
      <c r="I13" s="11">
        <f>IF(F13=0,0,G13/F13-1)</f>
        <v/>
      </c>
    </row>
    <row r="14">
      <c r="A14" s="9" t="inlineStr">
        <is>
          <t>1000.1100.1000.52030.010</t>
        </is>
      </c>
      <c r="B14" s="9" t="inlineStr">
        <is>
          <t>Benefits-Subs</t>
        </is>
      </c>
      <c r="C14" s="27" t="n">
        <v>3000</v>
      </c>
      <c r="D14" s="27" t="n">
        <v>2670.9</v>
      </c>
      <c r="E14" s="27" t="n">
        <v>3000</v>
      </c>
      <c r="F14" s="27" t="n">
        <v>2416.84</v>
      </c>
      <c r="G14" s="27" t="n">
        <v>1008</v>
      </c>
      <c r="H14" s="27">
        <f>G14-F14</f>
        <v/>
      </c>
      <c r="I14" s="11">
        <f>IF(F14=0,0,G14/F14-1)</f>
        <v/>
      </c>
    </row>
    <row r="15">
      <c r="A15" s="9" t="inlineStr">
        <is>
          <t>1000.1100.1000.52300.010</t>
        </is>
      </c>
      <c r="B15" s="9" t="inlineStr">
        <is>
          <t>Retirement</t>
        </is>
      </c>
      <c r="C15" s="27" t="n">
        <v>523</v>
      </c>
      <c r="D15" s="27" t="n">
        <v>74.95999999999999</v>
      </c>
      <c r="E15" s="27" t="n">
        <v>564</v>
      </c>
      <c r="F15" s="27" t="n">
        <v>39.63</v>
      </c>
      <c r="G15" s="27" t="n">
        <v>928</v>
      </c>
      <c r="H15" s="27">
        <f>G15-F15</f>
        <v/>
      </c>
      <c r="I15" s="11">
        <f>IF(F15=0,0,G15/F15-1)</f>
        <v/>
      </c>
    </row>
    <row r="16">
      <c r="A16" s="9" t="inlineStr">
        <is>
          <t>1000.1100.1000.52310.010</t>
        </is>
      </c>
      <c r="B16" s="9" t="inlineStr">
        <is>
          <t>Retirement</t>
        </is>
      </c>
      <c r="C16" s="27" t="n">
        <v>61497</v>
      </c>
      <c r="D16" s="27" t="n">
        <v>69009.06</v>
      </c>
      <c r="E16" s="27" t="n">
        <v>73338</v>
      </c>
      <c r="F16" s="27" t="n">
        <v>70712.55</v>
      </c>
      <c r="G16" s="27" t="n">
        <v>77620</v>
      </c>
      <c r="H16" s="27">
        <f>G16-F16</f>
        <v/>
      </c>
      <c r="I16" s="11">
        <f>IF(F16=0,0,G16/F16-1)</f>
        <v/>
      </c>
    </row>
    <row r="17">
      <c r="A17" s="9" t="inlineStr">
        <is>
          <t>1000.1100.1000.52320.010</t>
        </is>
      </c>
      <c r="B17" s="9" t="inlineStr">
        <is>
          <t>Retirement</t>
        </is>
      </c>
      <c r="C17" s="27" t="n">
        <v>2520</v>
      </c>
      <c r="D17" s="27" t="n">
        <v>3514.92</v>
      </c>
      <c r="E17" s="27" t="n">
        <v>2875</v>
      </c>
      <c r="F17" s="27" t="n">
        <v>2827</v>
      </c>
      <c r="G17" s="27" t="n">
        <v>3167</v>
      </c>
      <c r="H17" s="27">
        <f>G17-F17</f>
        <v/>
      </c>
      <c r="I17" s="11">
        <f>IF(F17=0,0,G17/F17-1)</f>
        <v/>
      </c>
    </row>
    <row r="18">
      <c r="A18" s="9" t="inlineStr">
        <is>
          <t>1000.1100.1000.52330.010</t>
        </is>
      </c>
      <c r="B18" s="9" t="inlineStr">
        <is>
          <t>Retirement</t>
        </is>
      </c>
      <c r="C18" s="27" t="n">
        <v>2382</v>
      </c>
      <c r="D18" s="27" t="n">
        <v>272.37</v>
      </c>
      <c r="E18" s="27" t="n">
        <v>2496</v>
      </c>
      <c r="F18" s="27" t="n">
        <v>692.8099999999999</v>
      </c>
      <c r="G18" s="27" t="n">
        <v>2704</v>
      </c>
      <c r="H18" s="27">
        <f>G18-F18</f>
        <v/>
      </c>
      <c r="I18" s="11">
        <f>IF(F18=0,0,G18/F18-1)</f>
        <v/>
      </c>
    </row>
    <row r="19">
      <c r="A19" s="9" t="inlineStr">
        <is>
          <t>1000.1100.1000.53400.010</t>
        </is>
      </c>
      <c r="B19" s="9" t="inlineStr">
        <is>
          <t>Professional Services</t>
        </is>
      </c>
      <c r="C19" s="27" t="n">
        <v>4329</v>
      </c>
      <c r="D19" s="27" t="n">
        <v>4664.33</v>
      </c>
      <c r="E19" s="27" t="n">
        <v>16956</v>
      </c>
      <c r="F19" s="27" t="n">
        <v>6380.39</v>
      </c>
      <c r="G19" s="27" t="n">
        <v>18507</v>
      </c>
      <c r="H19" s="27">
        <f>G19-F19</f>
        <v/>
      </c>
      <c r="I19" s="11">
        <f>IF(F19=0,0,G19/F19-1)</f>
        <v/>
      </c>
    </row>
    <row r="20">
      <c r="A20" s="9" t="inlineStr">
        <is>
          <t>1000.1100.1000.54300.010</t>
        </is>
      </c>
      <c r="B20" s="9" t="inlineStr">
        <is>
          <t>Copiers- Equipment Maint</t>
        </is>
      </c>
      <c r="C20" s="27" t="n">
        <v>11100</v>
      </c>
      <c r="D20" s="27" t="n">
        <v>5285.47</v>
      </c>
      <c r="E20" s="27" t="n">
        <v>11100</v>
      </c>
      <c r="F20" s="27" t="n">
        <v>2997.18</v>
      </c>
      <c r="G20" s="27" t="n">
        <v>11100</v>
      </c>
      <c r="H20" s="27">
        <f>G20-F20</f>
        <v/>
      </c>
      <c r="I20" s="11">
        <f>IF(F20=0,0,G20/F20-1)</f>
        <v/>
      </c>
    </row>
    <row r="21">
      <c r="A21" s="9" t="inlineStr">
        <is>
          <t>1000.1100.1000.54330.010</t>
        </is>
      </c>
      <c r="B21" s="9" t="inlineStr">
        <is>
          <t>Software</t>
        </is>
      </c>
      <c r="C21" s="27" t="n">
        <v>600</v>
      </c>
      <c r="D21" s="27" t="n">
        <v>499</v>
      </c>
      <c r="E21" s="27" t="n">
        <v>2730</v>
      </c>
      <c r="F21" s="27" t="n">
        <v>962.87</v>
      </c>
      <c r="G21" s="27" t="n">
        <v>3629</v>
      </c>
      <c r="H21" s="27">
        <f>G21-F21</f>
        <v/>
      </c>
      <c r="I21" s="11">
        <f>IF(F21=0,0,G21/F21-1)</f>
        <v/>
      </c>
    </row>
    <row r="22">
      <c r="A22" s="9" t="inlineStr">
        <is>
          <t>1000.1100.1000.55800.010</t>
        </is>
      </c>
      <c r="B22" s="9" t="inlineStr">
        <is>
          <t>Travel</t>
        </is>
      </c>
      <c r="C22" s="27" t="n">
        <v>200</v>
      </c>
      <c r="D22" s="27" t="n">
        <v>903.87</v>
      </c>
      <c r="E22" s="27" t="n">
        <v>2500</v>
      </c>
      <c r="F22" s="27" t="n">
        <v>1838.67</v>
      </c>
      <c r="G22" s="27" t="n">
        <v>2654</v>
      </c>
      <c r="H22" s="27">
        <f>G22-F22</f>
        <v/>
      </c>
      <c r="I22" s="11">
        <f>IF(F22=0,0,G22/F22-1)</f>
        <v/>
      </c>
    </row>
    <row r="23">
      <c r="A23" s="9" t="inlineStr">
        <is>
          <t>1000.1100.1000.56100.010</t>
        </is>
      </c>
      <c r="B23" s="9" t="inlineStr">
        <is>
          <t>Supplies</t>
        </is>
      </c>
      <c r="C23" s="27" t="n">
        <v>53702</v>
      </c>
      <c r="D23" s="27" t="n">
        <v>51297.67</v>
      </c>
      <c r="E23" s="27" t="n">
        <v>58289</v>
      </c>
      <c r="F23" s="27" t="n">
        <v>54294.37</v>
      </c>
      <c r="G23" s="27" t="n">
        <v>65585</v>
      </c>
      <c r="H23" s="27">
        <f>G23-F23</f>
        <v/>
      </c>
      <c r="I23" s="11">
        <f>IF(F23=0,0,G23/F23-1)</f>
        <v/>
      </c>
    </row>
    <row r="24">
      <c r="A24" s="9" t="inlineStr">
        <is>
          <t>1000.1100.1000.56400.010</t>
        </is>
      </c>
      <c r="B24" s="9" t="inlineStr">
        <is>
          <t>Books</t>
        </is>
      </c>
      <c r="C24" s="27" t="n">
        <v>10533</v>
      </c>
      <c r="D24" s="27" t="n">
        <v>10378.28</v>
      </c>
      <c r="E24" s="27" t="n">
        <v>17332</v>
      </c>
      <c r="F24" s="27" t="n">
        <v>16969.07</v>
      </c>
      <c r="G24" s="27" t="n">
        <v>12195</v>
      </c>
      <c r="H24" s="27">
        <f>G24-F24</f>
        <v/>
      </c>
      <c r="I24" s="11">
        <f>IF(F24=0,0,G24/F24-1)</f>
        <v/>
      </c>
    </row>
    <row r="25">
      <c r="A25" s="9" t="inlineStr">
        <is>
          <t>1000.1100.1000.57300.010</t>
        </is>
      </c>
      <c r="B25" s="9" t="inlineStr">
        <is>
          <t>Equipment</t>
        </is>
      </c>
      <c r="C25" s="27" t="n">
        <v>14630</v>
      </c>
      <c r="D25" s="27" t="n">
        <v>15114.6</v>
      </c>
      <c r="E25" s="27" t="n">
        <v>17476</v>
      </c>
      <c r="F25" s="27" t="n">
        <v>17475.78</v>
      </c>
      <c r="G25" s="27" t="n">
        <v>20476</v>
      </c>
      <c r="H25" s="27">
        <f>G25-F25</f>
        <v/>
      </c>
      <c r="I25" s="11">
        <f>IF(F25=0,0,G25/F25-1)</f>
        <v/>
      </c>
    </row>
    <row r="26">
      <c r="A26" s="9" t="inlineStr">
        <is>
          <t>1000.1100.1000.58100.010</t>
        </is>
      </c>
      <c r="B26" s="9" t="inlineStr">
        <is>
          <t>Dues &amp; Fees</t>
        </is>
      </c>
      <c r="C26" s="27" t="n">
        <v>570</v>
      </c>
      <c r="D26" s="27" t="n">
        <v>360</v>
      </c>
      <c r="E26" s="27" t="n">
        <v>570</v>
      </c>
      <c r="F26" s="27" t="n">
        <v>0</v>
      </c>
      <c r="G26" s="27" t="n">
        <v>585</v>
      </c>
      <c r="H26" s="27">
        <f>G26-F26</f>
        <v/>
      </c>
      <c r="I26" s="11">
        <f>IF(F26=0,0,G26/F26-1)</f>
        <v/>
      </c>
    </row>
    <row r="27">
      <c r="A27" s="17" t="n"/>
      <c r="B27" s="31" t="inlineStr">
        <is>
          <t>Program 1100 Total</t>
        </is>
      </c>
      <c r="C27" s="32">
        <f>SUM(C7:C26)</f>
        <v/>
      </c>
      <c r="D27" s="32">
        <f>SUM(D7:D26)</f>
        <v/>
      </c>
      <c r="E27" s="32">
        <f>SUM(E7:E26)</f>
        <v/>
      </c>
      <c r="F27" s="32">
        <f>SUM(F7:F26)</f>
        <v/>
      </c>
      <c r="G27" s="32">
        <f>SUM(G7:G26)</f>
        <v/>
      </c>
      <c r="H27" s="32">
        <f>SUM(H7:H26)</f>
        <v/>
      </c>
      <c r="I27" s="32">
        <f>SUM(I7:I26)</f>
        <v/>
      </c>
    </row>
    <row r="28">
      <c r="A28" s="9" t="inlineStr">
        <is>
          <t>1000.1120.1000.51010.010</t>
        </is>
      </c>
      <c r="B28" s="9" t="inlineStr">
        <is>
          <t>Teacher Salaries</t>
        </is>
      </c>
      <c r="C28" s="27" t="n">
        <v>238190</v>
      </c>
      <c r="D28" s="27" t="n">
        <v>166966.2</v>
      </c>
      <c r="E28" s="27" t="n">
        <v>263754</v>
      </c>
      <c r="F28" s="27" t="n">
        <v>395275.58</v>
      </c>
      <c r="G28" s="27" t="n">
        <v>306372</v>
      </c>
      <c r="H28" s="27">
        <f>G28-F28</f>
        <v/>
      </c>
      <c r="I28" s="11">
        <f>IF(F28=0,0,G28/F28-1)</f>
        <v/>
      </c>
    </row>
    <row r="29">
      <c r="A29" s="9" t="inlineStr">
        <is>
          <t>1000.1120.1000.51020.010</t>
        </is>
      </c>
      <c r="B29" s="9" t="inlineStr">
        <is>
          <t>Ed Tech Salaries</t>
        </is>
      </c>
      <c r="C29" s="27" t="n">
        <v>20273</v>
      </c>
      <c r="D29" s="27" t="n">
        <v>23520.15</v>
      </c>
      <c r="E29" s="27" t="n">
        <v>23919</v>
      </c>
      <c r="F29" s="27" t="n">
        <v>58508.41</v>
      </c>
      <c r="G29" s="27" t="n">
        <v>35776</v>
      </c>
      <c r="H29" s="27">
        <f>G29-F29</f>
        <v/>
      </c>
      <c r="I29" s="11">
        <f>IF(F29=0,0,G29/F29-1)</f>
        <v/>
      </c>
    </row>
    <row r="30">
      <c r="A30" s="9" t="inlineStr">
        <is>
          <t>1000.1120.1000.52010.010</t>
        </is>
      </c>
      <c r="B30" s="9" t="inlineStr">
        <is>
          <t>Teacher Benefits</t>
        </is>
      </c>
      <c r="C30" s="27" t="n">
        <v>81269</v>
      </c>
      <c r="D30" s="27" t="n">
        <v>65025.04</v>
      </c>
      <c r="E30" s="27" t="n">
        <v>63149</v>
      </c>
      <c r="F30" s="27" t="n">
        <v>125817.07</v>
      </c>
      <c r="G30" s="27" t="n">
        <v>93909</v>
      </c>
      <c r="H30" s="27">
        <f>G30-F30</f>
        <v/>
      </c>
      <c r="I30" s="11">
        <f>IF(F30=0,0,G30/F30-1)</f>
        <v/>
      </c>
    </row>
    <row r="31">
      <c r="A31" s="9" t="inlineStr">
        <is>
          <t>1000.1120.1000.52020.010</t>
        </is>
      </c>
      <c r="B31" s="9" t="inlineStr">
        <is>
          <t>Ed Tech Benefits</t>
        </is>
      </c>
      <c r="C31" s="27" t="n">
        <v>11101</v>
      </c>
      <c r="D31" s="27" t="n">
        <v>3421.33</v>
      </c>
      <c r="E31" s="27" t="n">
        <v>4941</v>
      </c>
      <c r="F31" s="27" t="n">
        <v>20333.6</v>
      </c>
      <c r="G31" s="27" t="n">
        <v>27511</v>
      </c>
      <c r="H31" s="27">
        <f>G31-F31</f>
        <v/>
      </c>
      <c r="I31" s="11">
        <f>IF(F31=0,0,G31/F31-1)</f>
        <v/>
      </c>
    </row>
    <row r="32">
      <c r="A32" s="9" t="inlineStr">
        <is>
          <t>1000.1120.1000.52310.010</t>
        </is>
      </c>
      <c r="B32" s="9" t="inlineStr">
        <is>
          <t>Retirement</t>
        </is>
      </c>
      <c r="C32" s="27" t="n">
        <v>9456</v>
      </c>
      <c r="D32" s="27" t="n">
        <v>6844.32</v>
      </c>
      <c r="E32" s="27" t="n">
        <v>10972</v>
      </c>
      <c r="F32" s="27" t="n">
        <v>11597.56</v>
      </c>
      <c r="G32" s="27" t="n">
        <v>12745</v>
      </c>
      <c r="H32" s="27">
        <f>G32-F32</f>
        <v/>
      </c>
      <c r="I32" s="11">
        <f>IF(F32=0,0,G32/F32-1)</f>
        <v/>
      </c>
    </row>
    <row r="33">
      <c r="A33" s="9" t="inlineStr">
        <is>
          <t>1000.1120.1000.52320.010</t>
        </is>
      </c>
      <c r="B33" s="9" t="inlineStr">
        <is>
          <t>Retirement</t>
        </is>
      </c>
      <c r="C33" s="27" t="n">
        <v>805</v>
      </c>
      <c r="D33" s="27" t="n">
        <v>933.74</v>
      </c>
      <c r="E33" s="27" t="n">
        <v>995</v>
      </c>
      <c r="F33" s="27" t="n">
        <v>2401.94</v>
      </c>
      <c r="G33" s="27" t="n">
        <v>1556</v>
      </c>
      <c r="H33" s="27">
        <f>G33-F33</f>
        <v/>
      </c>
      <c r="I33" s="11">
        <f>IF(F33=0,0,G33/F33-1)</f>
        <v/>
      </c>
    </row>
    <row r="34">
      <c r="A34" s="17" t="n"/>
      <c r="B34" s="31" t="inlineStr">
        <is>
          <t>Program 1120 Total</t>
        </is>
      </c>
      <c r="C34" s="32">
        <f>SUM(C28:C33)</f>
        <v/>
      </c>
      <c r="D34" s="32">
        <f>SUM(D28:D33)</f>
        <v/>
      </c>
      <c r="E34" s="32">
        <f>SUM(E28:E33)</f>
        <v/>
      </c>
      <c r="F34" s="32">
        <f>SUM(F28:F33)</f>
        <v/>
      </c>
      <c r="G34" s="32">
        <f>SUM(G28:G33)</f>
        <v/>
      </c>
      <c r="H34" s="32">
        <f>SUM(H28:H33)</f>
        <v/>
      </c>
      <c r="I34" s="32">
        <f>SUM(I28:I33)</f>
        <v/>
      </c>
    </row>
    <row r="35">
      <c r="A35" s="9" t="inlineStr">
        <is>
          <t>1000.4200.1000.53000.010</t>
        </is>
      </c>
      <c r="B35" s="9" t="inlineStr">
        <is>
          <t>Purchased Professional</t>
        </is>
      </c>
      <c r="C35" s="27" t="n">
        <v>25000</v>
      </c>
      <c r="D35" s="27" t="n">
        <v>25000</v>
      </c>
      <c r="E35" s="27" t="n">
        <v>25000</v>
      </c>
      <c r="F35" s="27" t="n">
        <v>25000</v>
      </c>
      <c r="G35" s="27" t="n">
        <v>25000</v>
      </c>
      <c r="H35" s="27">
        <f>G35-F35</f>
        <v/>
      </c>
      <c r="I35" s="11">
        <f>IF(F35=0,0,G35/F35-1)</f>
        <v/>
      </c>
    </row>
    <row r="36">
      <c r="A36" s="17" t="n"/>
      <c r="B36" s="33" t="inlineStr">
        <is>
          <t>Function 1000 Total</t>
        </is>
      </c>
      <c r="C36" s="34">
        <f>C27+C34</f>
        <v/>
      </c>
      <c r="D36" s="34">
        <f>D27+D34</f>
        <v/>
      </c>
      <c r="E36" s="34">
        <f>E27+E34</f>
        <v/>
      </c>
      <c r="F36" s="34">
        <f>F27+F34</f>
        <v/>
      </c>
      <c r="G36" s="34">
        <f>G27+G34</f>
        <v/>
      </c>
      <c r="H36" s="34">
        <f>H27+H34</f>
        <v/>
      </c>
      <c r="I36" s="34">
        <f>I27+I34</f>
        <v/>
      </c>
    </row>
    <row r="37">
      <c r="A37" s="17" t="n"/>
      <c r="B37" s="20" t="inlineStr">
        <is>
          <t>Cost Center ('010',) Total</t>
        </is>
      </c>
      <c r="C37" s="35">
        <f>C36</f>
        <v/>
      </c>
      <c r="D37" s="35">
        <f>D36</f>
        <v/>
      </c>
      <c r="E37" s="35">
        <f>E36</f>
        <v/>
      </c>
      <c r="F37" s="35">
        <f>F36</f>
        <v/>
      </c>
      <c r="G37" s="35">
        <f>G36</f>
        <v/>
      </c>
      <c r="H37" s="35">
        <f>H36</f>
        <v/>
      </c>
      <c r="I37" s="35">
        <f>I36</f>
        <v/>
      </c>
    </row>
    <row r="39">
      <c r="A39" s="3" t="inlineStr">
        <is>
          <t>Cost Center: ('020',)</t>
        </is>
      </c>
    </row>
    <row r="40">
      <c r="A40" s="9" t="inlineStr">
        <is>
          <t>1000.1100.1000.51010.020</t>
        </is>
      </c>
      <c r="B40" s="9" t="inlineStr">
        <is>
          <t>Teacher Salary</t>
        </is>
      </c>
      <c r="C40" s="27" t="n">
        <v>778209</v>
      </c>
      <c r="D40" s="27" t="n">
        <v>893772.17</v>
      </c>
      <c r="E40" s="27" t="n">
        <v>917849</v>
      </c>
      <c r="F40" s="27" t="n">
        <v>969013.73</v>
      </c>
      <c r="G40" s="27" t="n">
        <v>905498</v>
      </c>
      <c r="H40" s="27">
        <f>G40-F40</f>
        <v/>
      </c>
      <c r="I40" s="11">
        <f>IF(F40=0,0,G40/F40-1)</f>
        <v/>
      </c>
    </row>
    <row r="41">
      <c r="A41" s="9" t="inlineStr">
        <is>
          <t>1000.1100.1000.51020.020</t>
        </is>
      </c>
      <c r="B41" s="9" t="inlineStr">
        <is>
          <t>Ed Tech Salaries</t>
        </is>
      </c>
      <c r="C41" s="27" t="n">
        <v>74299</v>
      </c>
      <c r="D41" s="27" t="n">
        <v>58288.81</v>
      </c>
      <c r="E41" s="27" t="n">
        <v>93857</v>
      </c>
      <c r="F41" s="27" t="n">
        <v>73048.06</v>
      </c>
      <c r="G41" s="27" t="n">
        <v>72363</v>
      </c>
      <c r="H41" s="27">
        <f>G41-F41</f>
        <v/>
      </c>
      <c r="I41" s="11">
        <f>IF(F41=0,0,G41/F41-1)</f>
        <v/>
      </c>
    </row>
    <row r="42">
      <c r="A42" s="9" t="inlineStr">
        <is>
          <t>1000.1100.1000.51230.020</t>
        </is>
      </c>
      <c r="B42" s="9" t="inlineStr">
        <is>
          <t>Substitute Wages</t>
        </is>
      </c>
      <c r="C42" s="27" t="n">
        <v>10000</v>
      </c>
      <c r="D42" s="27" t="n">
        <v>26473.52</v>
      </c>
      <c r="E42" s="27" t="n">
        <v>10000</v>
      </c>
      <c r="F42" s="27" t="n">
        <v>31345.19</v>
      </c>
      <c r="G42" s="27" t="n">
        <v>15000</v>
      </c>
      <c r="H42" s="27">
        <f>G42-F42</f>
        <v/>
      </c>
      <c r="I42" s="11">
        <f>IF(F42=0,0,G42/F42-1)</f>
        <v/>
      </c>
    </row>
    <row r="43">
      <c r="A43" s="9" t="inlineStr">
        <is>
          <t>1000.1100.1000.51500.020</t>
        </is>
      </c>
      <c r="B43" s="9" t="inlineStr">
        <is>
          <t>Stipends</t>
        </is>
      </c>
      <c r="C43" s="27" t="n">
        <v>7500</v>
      </c>
      <c r="D43" s="27" t="n">
        <v>0</v>
      </c>
      <c r="E43" s="27" t="n">
        <v>7725</v>
      </c>
      <c r="F43" s="27" t="n">
        <v>0</v>
      </c>
      <c r="G43" s="27" t="n">
        <v>11730</v>
      </c>
      <c r="H43" s="27">
        <f>G43-F43</f>
        <v/>
      </c>
      <c r="I43" s="11">
        <f>IF(F43=0,0,G43/F43-1)</f>
        <v/>
      </c>
    </row>
    <row r="44">
      <c r="A44" s="9" t="inlineStr">
        <is>
          <t>1000.1100.1000.52000.020</t>
        </is>
      </c>
      <c r="B44" s="9" t="inlineStr">
        <is>
          <t>Stipend Benefits</t>
        </is>
      </c>
      <c r="C44" s="27" t="n">
        <v>375</v>
      </c>
      <c r="D44" s="27" t="n">
        <v>0</v>
      </c>
      <c r="E44" s="27" t="n">
        <v>386</v>
      </c>
      <c r="F44" s="27" t="n">
        <v>0</v>
      </c>
      <c r="G44" s="27" t="n">
        <v>229</v>
      </c>
      <c r="H44" s="27">
        <f>G44-F44</f>
        <v/>
      </c>
      <c r="I44" s="11">
        <f>IF(F44=0,0,G44/F44-1)</f>
        <v/>
      </c>
    </row>
    <row r="45">
      <c r="A45" s="9" t="inlineStr">
        <is>
          <t>1000.1100.1000.52010.020</t>
        </is>
      </c>
      <c r="B45" s="9" t="inlineStr">
        <is>
          <t>Teacher Benefits</t>
        </is>
      </c>
      <c r="C45" s="27" t="n">
        <v>248606</v>
      </c>
      <c r="D45" s="27" t="n">
        <v>220844.64</v>
      </c>
      <c r="E45" s="27" t="n">
        <v>246886</v>
      </c>
      <c r="F45" s="27" t="n">
        <v>235748.36</v>
      </c>
      <c r="G45" s="27" t="n">
        <v>237112</v>
      </c>
      <c r="H45" s="27">
        <f>G45-F45</f>
        <v/>
      </c>
      <c r="I45" s="11">
        <f>IF(F45=0,0,G45/F45-1)</f>
        <v/>
      </c>
    </row>
    <row r="46">
      <c r="A46" s="9" t="inlineStr">
        <is>
          <t>1000.1100.1000.52020.020</t>
        </is>
      </c>
      <c r="B46" s="9" t="inlineStr">
        <is>
          <t>Ed Tech Benefits</t>
        </is>
      </c>
      <c r="C46" s="27" t="n">
        <v>29291</v>
      </c>
      <c r="D46" s="27" t="n">
        <v>14903.71</v>
      </c>
      <c r="E46" s="27" t="n">
        <v>35522</v>
      </c>
      <c r="F46" s="27" t="n">
        <v>16720.99</v>
      </c>
      <c r="G46" s="27" t="n">
        <v>23840</v>
      </c>
      <c r="H46" s="27">
        <f>G46-F46</f>
        <v/>
      </c>
      <c r="I46" s="11">
        <f>IF(F46=0,0,G46/F46-1)</f>
        <v/>
      </c>
    </row>
    <row r="47">
      <c r="A47" s="9" t="inlineStr">
        <is>
          <t>1000.1100.1000.52030.020</t>
        </is>
      </c>
      <c r="B47" s="9" t="inlineStr">
        <is>
          <t>Substitute Benefits</t>
        </is>
      </c>
      <c r="C47" s="27" t="n">
        <v>500</v>
      </c>
      <c r="D47" s="27" t="n">
        <v>2535.68</v>
      </c>
      <c r="E47" s="27" t="n">
        <v>500</v>
      </c>
      <c r="F47" s="27" t="n">
        <v>1642.63</v>
      </c>
      <c r="G47" s="27" t="n">
        <v>293</v>
      </c>
      <c r="H47" s="27">
        <f>G47-F47</f>
        <v/>
      </c>
      <c r="I47" s="11">
        <f>IF(F47=0,0,G47/F47-1)</f>
        <v/>
      </c>
    </row>
    <row r="48">
      <c r="A48" s="9" t="inlineStr">
        <is>
          <t>1000.1100.1000.52300.020</t>
        </is>
      </c>
      <c r="B48" s="9" t="inlineStr">
        <is>
          <t>Retirement</t>
        </is>
      </c>
      <c r="C48" s="27" t="n">
        <v>298</v>
      </c>
      <c r="D48" s="27" t="n">
        <v>0</v>
      </c>
      <c r="E48" s="27" t="n">
        <v>321</v>
      </c>
      <c r="F48" s="27" t="n">
        <v>0</v>
      </c>
      <c r="G48" s="27" t="n">
        <v>488</v>
      </c>
      <c r="H48" s="27">
        <f>G48-F48</f>
        <v/>
      </c>
      <c r="I48" s="11">
        <f>IF(F48=0,0,G48/F48-1)</f>
        <v/>
      </c>
    </row>
    <row r="49">
      <c r="A49" s="9" t="inlineStr">
        <is>
          <t>1000.1100.1000.52310.020</t>
        </is>
      </c>
      <c r="B49" s="9" t="inlineStr">
        <is>
          <t>Retirement</t>
        </is>
      </c>
      <c r="C49" s="27" t="n">
        <v>30895</v>
      </c>
      <c r="D49" s="27" t="n">
        <v>35531.46</v>
      </c>
      <c r="E49" s="27" t="n">
        <v>38183</v>
      </c>
      <c r="F49" s="27" t="n">
        <v>40191.09</v>
      </c>
      <c r="G49" s="27" t="n">
        <v>37669</v>
      </c>
      <c r="H49" s="27">
        <f>G49-F49</f>
        <v/>
      </c>
      <c r="I49" s="11">
        <f>IF(F49=0,0,G49/F49-1)</f>
        <v/>
      </c>
    </row>
    <row r="50">
      <c r="A50" s="9" t="inlineStr">
        <is>
          <t>1000.1100.1000.52320.020</t>
        </is>
      </c>
      <c r="B50" s="9" t="inlineStr">
        <is>
          <t>Retirement</t>
        </is>
      </c>
      <c r="C50" s="27" t="n">
        <v>2950</v>
      </c>
      <c r="D50" s="27" t="n">
        <v>2317.42</v>
      </c>
      <c r="E50" s="27" t="n">
        <v>3904</v>
      </c>
      <c r="F50" s="27" t="n">
        <v>2791.34</v>
      </c>
      <c r="G50" s="27" t="n">
        <v>3131</v>
      </c>
      <c r="H50" s="27">
        <f>G50-F50</f>
        <v/>
      </c>
      <c r="I50" s="11">
        <f>IF(F50=0,0,G50/F50-1)</f>
        <v/>
      </c>
    </row>
    <row r="51">
      <c r="A51" s="9" t="inlineStr">
        <is>
          <t>1000.1100.1000.52330.020</t>
        </is>
      </c>
      <c r="B51" s="9" t="inlineStr">
        <is>
          <t>Retirement</t>
        </is>
      </c>
      <c r="C51" s="27" t="n">
        <v>397</v>
      </c>
      <c r="D51" s="27" t="n">
        <v>287.32</v>
      </c>
      <c r="E51" s="27" t="n">
        <v>416</v>
      </c>
      <c r="F51" s="27" t="n">
        <v>60.62</v>
      </c>
      <c r="G51" s="27" t="n">
        <v>624</v>
      </c>
      <c r="H51" s="27">
        <f>G51-F51</f>
        <v/>
      </c>
      <c r="I51" s="11">
        <f>IF(F51=0,0,G51/F51-1)</f>
        <v/>
      </c>
    </row>
    <row r="52">
      <c r="A52" s="9" t="inlineStr">
        <is>
          <t>1000.1100.1000.53400.020</t>
        </is>
      </c>
      <c r="B52" s="9" t="inlineStr">
        <is>
          <t>Professional Servics</t>
        </is>
      </c>
      <c r="C52" s="27" t="n">
        <v>4980</v>
      </c>
      <c r="D52" s="27" t="n">
        <v>4330.67</v>
      </c>
      <c r="E52" s="27" t="n">
        <v>6920</v>
      </c>
      <c r="F52" s="27" t="n">
        <v>2462.77</v>
      </c>
      <c r="G52" s="27" t="n">
        <v>5610</v>
      </c>
      <c r="H52" s="27">
        <f>G52-F52</f>
        <v/>
      </c>
      <c r="I52" s="11">
        <f>IF(F52=0,0,G52/F52-1)</f>
        <v/>
      </c>
    </row>
    <row r="53">
      <c r="A53" s="9" t="inlineStr">
        <is>
          <t>1000.1100.1000.54300.020</t>
        </is>
      </c>
      <c r="B53" s="9" t="inlineStr">
        <is>
          <t>Copiers-Equipment Maint</t>
        </is>
      </c>
      <c r="C53" s="27" t="n">
        <v>10800</v>
      </c>
      <c r="D53" s="27" t="n">
        <v>10219.38</v>
      </c>
      <c r="E53" s="27" t="n">
        <v>10800</v>
      </c>
      <c r="F53" s="27" t="n">
        <v>8907.57</v>
      </c>
      <c r="G53" s="27" t="n">
        <v>10800</v>
      </c>
      <c r="H53" s="27">
        <f>G53-F53</f>
        <v/>
      </c>
      <c r="I53" s="11">
        <f>IF(F53=0,0,G53/F53-1)</f>
        <v/>
      </c>
    </row>
    <row r="54">
      <c r="A54" s="9" t="inlineStr">
        <is>
          <t>1000.1100.1000.54330.020</t>
        </is>
      </c>
      <c r="B54" s="9" t="inlineStr">
        <is>
          <t>Software</t>
        </is>
      </c>
      <c r="C54" s="27" t="n">
        <v>500</v>
      </c>
      <c r="D54" s="27" t="n">
        <v>0</v>
      </c>
      <c r="E54" s="27" t="n">
        <v>500</v>
      </c>
      <c r="F54" s="27" t="n">
        <v>0</v>
      </c>
      <c r="G54" s="27" t="n">
        <v>200</v>
      </c>
      <c r="H54" s="27">
        <f>G54-F54</f>
        <v/>
      </c>
      <c r="I54" s="11">
        <f>IF(F54=0,0,G54/F54-1)</f>
        <v/>
      </c>
    </row>
    <row r="55">
      <c r="A55" s="9" t="inlineStr">
        <is>
          <t>1000.1100.1000.55800.020</t>
        </is>
      </c>
      <c r="B55" s="9" t="inlineStr">
        <is>
          <t>Travel</t>
        </is>
      </c>
      <c r="C55" s="27" t="n">
        <v>600</v>
      </c>
      <c r="D55" s="27" t="n">
        <v>434.38</v>
      </c>
      <c r="E55" s="27" t="n">
        <v>350</v>
      </c>
      <c r="F55" s="27" t="n">
        <v>402.11</v>
      </c>
      <c r="G55" s="27" t="n">
        <v>540</v>
      </c>
      <c r="H55" s="27">
        <f>G55-F55</f>
        <v/>
      </c>
      <c r="I55" s="11">
        <f>IF(F55=0,0,G55/F55-1)</f>
        <v/>
      </c>
    </row>
    <row r="56">
      <c r="A56" s="9" t="inlineStr">
        <is>
          <t>1000.1100.1000.56100.020</t>
        </is>
      </c>
      <c r="B56" s="9" t="inlineStr">
        <is>
          <t>Instructional Supplies</t>
        </is>
      </c>
      <c r="C56" s="27" t="n">
        <v>38531</v>
      </c>
      <c r="D56" s="27" t="n">
        <v>37922.06</v>
      </c>
      <c r="E56" s="27" t="n">
        <v>42344</v>
      </c>
      <c r="F56" s="27" t="n">
        <v>32219.5</v>
      </c>
      <c r="G56" s="27" t="n">
        <v>49826</v>
      </c>
      <c r="H56" s="27">
        <f>G56-F56</f>
        <v/>
      </c>
      <c r="I56" s="11">
        <f>IF(F56=0,0,G56/F56-1)</f>
        <v/>
      </c>
    </row>
    <row r="57">
      <c r="A57" s="9" t="inlineStr">
        <is>
          <t>1000.1100.1000.56400.020</t>
        </is>
      </c>
      <c r="B57" s="9" t="inlineStr">
        <is>
          <t>BOOKS</t>
        </is>
      </c>
      <c r="C57" s="27" t="n">
        <v>6775</v>
      </c>
      <c r="D57" s="27" t="n">
        <v>6777.3</v>
      </c>
      <c r="E57" s="27" t="n">
        <v>8469</v>
      </c>
      <c r="F57" s="27" t="n">
        <v>5937.65</v>
      </c>
      <c r="G57" s="27" t="n">
        <v>8469</v>
      </c>
      <c r="H57" s="27">
        <f>G57-F57</f>
        <v/>
      </c>
      <c r="I57" s="11">
        <f>IF(F57=0,0,G57/F57-1)</f>
        <v/>
      </c>
    </row>
    <row r="58">
      <c r="A58" s="9" t="inlineStr">
        <is>
          <t>1000.1100.1000.57300.020</t>
        </is>
      </c>
      <c r="B58" s="9" t="inlineStr">
        <is>
          <t>Equipment</t>
        </is>
      </c>
      <c r="C58" s="27" t="n">
        <v>11231</v>
      </c>
      <c r="D58" s="27" t="n">
        <v>11239.49</v>
      </c>
      <c r="E58" s="27" t="n">
        <v>11231</v>
      </c>
      <c r="F58" s="27" t="n">
        <v>10939.76</v>
      </c>
      <c r="G58" s="27" t="n">
        <v>18230</v>
      </c>
      <c r="H58" s="27">
        <f>G58-F58</f>
        <v/>
      </c>
      <c r="I58" s="11">
        <f>IF(F58=0,0,G58/F58-1)</f>
        <v/>
      </c>
    </row>
    <row r="59">
      <c r="A59" s="17" t="n"/>
      <c r="B59" s="31" t="inlineStr">
        <is>
          <t>Program 1100 Total</t>
        </is>
      </c>
      <c r="C59" s="32">
        <f>SUM(C40:C58)</f>
        <v/>
      </c>
      <c r="D59" s="32">
        <f>SUM(D40:D58)</f>
        <v/>
      </c>
      <c r="E59" s="32">
        <f>SUM(E40:E58)</f>
        <v/>
      </c>
      <c r="F59" s="32">
        <f>SUM(F40:F58)</f>
        <v/>
      </c>
      <c r="G59" s="32">
        <f>SUM(G40:G58)</f>
        <v/>
      </c>
      <c r="H59" s="32">
        <f>SUM(H40:H58)</f>
        <v/>
      </c>
      <c r="I59" s="32">
        <f>SUM(I40:I58)</f>
        <v/>
      </c>
    </row>
    <row r="60">
      <c r="A60" s="9" t="inlineStr">
        <is>
          <t>1000.1120.1000.51010.020</t>
        </is>
      </c>
      <c r="B60" s="9" t="inlineStr">
        <is>
          <t>Salaries</t>
        </is>
      </c>
      <c r="C60" s="27" t="n">
        <v>435671</v>
      </c>
      <c r="D60" s="27" t="n">
        <v>270862.43</v>
      </c>
      <c r="E60" s="27" t="n">
        <v>484524</v>
      </c>
      <c r="F60" s="27" t="n">
        <v>222915.84</v>
      </c>
      <c r="G60" s="27" t="n">
        <v>468581</v>
      </c>
      <c r="H60" s="27">
        <f>G60-F60</f>
        <v/>
      </c>
      <c r="I60" s="11">
        <f>IF(F60=0,0,G60/F60-1)</f>
        <v/>
      </c>
    </row>
    <row r="61">
      <c r="A61" s="9" t="inlineStr">
        <is>
          <t>1000.1120.1000.51020.020</t>
        </is>
      </c>
      <c r="B61" s="9" t="inlineStr">
        <is>
          <t>Ed Tech Salaries</t>
        </is>
      </c>
      <c r="C61" s="27" t="n">
        <v>38109</v>
      </c>
      <c r="D61" s="27" t="n">
        <v>25519.21</v>
      </c>
      <c r="E61" s="27" t="n">
        <v>46558</v>
      </c>
      <c r="F61" s="27" t="n">
        <v>27167.58</v>
      </c>
      <c r="G61" s="27" t="n">
        <v>74171</v>
      </c>
      <c r="H61" s="27">
        <f>G61-F61</f>
        <v/>
      </c>
      <c r="I61" s="11">
        <f>IF(F61=0,0,G61/F61-1)</f>
        <v/>
      </c>
    </row>
    <row r="62">
      <c r="A62" s="9" t="inlineStr">
        <is>
          <t>1000.1120.1000.52010.020</t>
        </is>
      </c>
      <c r="B62" s="9" t="inlineStr">
        <is>
          <t>Benefits</t>
        </is>
      </c>
      <c r="C62" s="27" t="n">
        <v>125090</v>
      </c>
      <c r="D62" s="27" t="n">
        <v>49236.4</v>
      </c>
      <c r="E62" s="27" t="n">
        <v>117712</v>
      </c>
      <c r="F62" s="27" t="n">
        <v>41324.57</v>
      </c>
      <c r="G62" s="27" t="n">
        <v>97364</v>
      </c>
      <c r="H62" s="27">
        <f>G62-F62</f>
        <v/>
      </c>
      <c r="I62" s="11">
        <f>IF(F62=0,0,G62/F62-1)</f>
        <v/>
      </c>
    </row>
    <row r="63">
      <c r="A63" s="9" t="inlineStr">
        <is>
          <t>1000.1120.1000.52020.020</t>
        </is>
      </c>
      <c r="B63" s="9" t="inlineStr">
        <is>
          <t>Ed Tech Benefit</t>
        </is>
      </c>
      <c r="C63" s="27" t="n">
        <v>18329</v>
      </c>
      <c r="D63" s="27" t="n">
        <v>11181.36</v>
      </c>
      <c r="E63" s="27" t="n">
        <v>17637</v>
      </c>
      <c r="F63" s="27" t="n">
        <v>12095.53</v>
      </c>
      <c r="G63" s="27" t="n">
        <v>28838</v>
      </c>
      <c r="H63" s="27">
        <f>G63-F63</f>
        <v/>
      </c>
      <c r="I63" s="11">
        <f>IF(F63=0,0,G63/F63-1)</f>
        <v/>
      </c>
    </row>
    <row r="64">
      <c r="A64" s="9" t="inlineStr">
        <is>
          <t>1000.1120.1000.52310.020</t>
        </is>
      </c>
      <c r="B64" s="9" t="inlineStr">
        <is>
          <t>Retirement</t>
        </is>
      </c>
      <c r="C64" s="27" t="n">
        <v>17296</v>
      </c>
      <c r="D64" s="27" t="n">
        <v>10298.04</v>
      </c>
      <c r="E64" s="27" t="n">
        <v>20303</v>
      </c>
      <c r="F64" s="27" t="n">
        <v>9459.58</v>
      </c>
      <c r="G64" s="27" t="n">
        <v>19493</v>
      </c>
      <c r="H64" s="27">
        <f>G64-F64</f>
        <v/>
      </c>
      <c r="I64" s="11">
        <f>IF(F64=0,0,G64/F64-1)</f>
        <v/>
      </c>
    </row>
    <row r="65">
      <c r="A65" s="9" t="inlineStr">
        <is>
          <t>1000.1120.1000.52320.020</t>
        </is>
      </c>
      <c r="B65" s="9" t="inlineStr">
        <is>
          <t>Retirement</t>
        </is>
      </c>
      <c r="C65" s="27" t="n">
        <v>1513</v>
      </c>
      <c r="D65" s="27" t="n">
        <v>0</v>
      </c>
      <c r="E65" s="27" t="n">
        <v>1937</v>
      </c>
      <c r="F65" s="27" t="n">
        <v>0</v>
      </c>
      <c r="G65" s="27" t="n">
        <v>3209</v>
      </c>
      <c r="H65" s="27">
        <f>G65-F65</f>
        <v/>
      </c>
      <c r="I65" s="11">
        <f>IF(F65=0,0,G65/F65-1)</f>
        <v/>
      </c>
    </row>
    <row r="66">
      <c r="A66" s="17" t="n"/>
      <c r="B66" s="31" t="inlineStr">
        <is>
          <t>Program 1120 Total</t>
        </is>
      </c>
      <c r="C66" s="32">
        <f>SUM(C60:C65)</f>
        <v/>
      </c>
      <c r="D66" s="32">
        <f>SUM(D60:D65)</f>
        <v/>
      </c>
      <c r="E66" s="32">
        <f>SUM(E60:E65)</f>
        <v/>
      </c>
      <c r="F66" s="32">
        <f>SUM(F60:F65)</f>
        <v/>
      </c>
      <c r="G66" s="32">
        <f>SUM(G60:G65)</f>
        <v/>
      </c>
      <c r="H66" s="32">
        <f>SUM(H60:H65)</f>
        <v/>
      </c>
      <c r="I66" s="32">
        <f>SUM(I60:I65)</f>
        <v/>
      </c>
    </row>
    <row r="67">
      <c r="A67" s="17" t="n"/>
      <c r="B67" s="33" t="inlineStr">
        <is>
          <t>Function 1000 Total</t>
        </is>
      </c>
      <c r="C67" s="34">
        <f>C59+C66</f>
        <v/>
      </c>
      <c r="D67" s="34">
        <f>D59+D66</f>
        <v/>
      </c>
      <c r="E67" s="34">
        <f>E59+E66</f>
        <v/>
      </c>
      <c r="F67" s="34">
        <f>F59+F66</f>
        <v/>
      </c>
      <c r="G67" s="34">
        <f>G59+G66</f>
        <v/>
      </c>
      <c r="H67" s="34">
        <f>H59+H66</f>
        <v/>
      </c>
      <c r="I67" s="34">
        <f>I59+I66</f>
        <v/>
      </c>
    </row>
    <row r="68">
      <c r="A68" s="17" t="n"/>
      <c r="B68" s="20" t="inlineStr">
        <is>
          <t>Cost Center ('020',) Total</t>
        </is>
      </c>
      <c r="C68" s="35">
        <f>C67</f>
        <v/>
      </c>
      <c r="D68" s="35">
        <f>D67</f>
        <v/>
      </c>
      <c r="E68" s="35">
        <f>E67</f>
        <v/>
      </c>
      <c r="F68" s="35">
        <f>F67</f>
        <v/>
      </c>
      <c r="G68" s="35">
        <f>G67</f>
        <v/>
      </c>
      <c r="H68" s="35">
        <f>H67</f>
        <v/>
      </c>
      <c r="I68" s="35">
        <f>I67</f>
        <v/>
      </c>
    </row>
    <row r="70">
      <c r="A70" s="3" t="inlineStr">
        <is>
          <t>Cost Center: ('030',)</t>
        </is>
      </c>
    </row>
    <row r="71">
      <c r="A71" s="9" t="inlineStr">
        <is>
          <t>1000.1100.1000.51010.030</t>
        </is>
      </c>
      <c r="B71" s="9" t="inlineStr">
        <is>
          <t>Teacher Salaries</t>
        </is>
      </c>
      <c r="C71" s="27" t="n">
        <v>417301</v>
      </c>
      <c r="D71" s="27" t="n">
        <v>417118.32</v>
      </c>
      <c r="E71" s="27" t="n">
        <v>386992</v>
      </c>
      <c r="F71" s="27" t="n">
        <v>387444.12</v>
      </c>
      <c r="G71" s="27" t="n">
        <v>444344</v>
      </c>
      <c r="H71" s="27">
        <f>G71-F71</f>
        <v/>
      </c>
      <c r="I71" s="11">
        <f>IF(F71=0,0,G71/F71-1)</f>
        <v/>
      </c>
    </row>
    <row r="72">
      <c r="A72" s="9" t="inlineStr">
        <is>
          <t>1000.1100.1000.51020.030</t>
        </is>
      </c>
      <c r="B72" s="9" t="inlineStr">
        <is>
          <t>Ed Tech Salaries</t>
        </is>
      </c>
      <c r="C72" s="27" t="n">
        <v>12231</v>
      </c>
      <c r="D72" s="27" t="n">
        <v>15392.81</v>
      </c>
      <c r="E72" s="27" t="n">
        <v>30990</v>
      </c>
      <c r="F72" s="27" t="n">
        <v>15580.47</v>
      </c>
      <c r="G72" s="27" t="n">
        <v>35818</v>
      </c>
      <c r="H72" s="27">
        <f>G72-F72</f>
        <v/>
      </c>
      <c r="I72" s="11">
        <f>IF(F72=0,0,G72/F72-1)</f>
        <v/>
      </c>
    </row>
    <row r="73">
      <c r="A73" s="9" t="inlineStr">
        <is>
          <t>1000.1100.1000.51230.030</t>
        </is>
      </c>
      <c r="B73" s="9" t="inlineStr">
        <is>
          <t>Sub Salaries</t>
        </is>
      </c>
      <c r="C73" s="27" t="n">
        <v>16500</v>
      </c>
      <c r="D73" s="27" t="n">
        <v>53264.6</v>
      </c>
      <c r="E73" s="27" t="n">
        <v>16500</v>
      </c>
      <c r="F73" s="27" t="n">
        <v>4258.96</v>
      </c>
      <c r="G73" s="27" t="n">
        <v>30000</v>
      </c>
      <c r="H73" s="27">
        <f>G73-F73</f>
        <v/>
      </c>
      <c r="I73" s="11">
        <f>IF(F73=0,0,G73/F73-1)</f>
        <v/>
      </c>
    </row>
    <row r="74">
      <c r="A74" s="9" t="inlineStr">
        <is>
          <t>1000.1100.1000.51500.030</t>
        </is>
      </c>
      <c r="B74" s="9" t="inlineStr">
        <is>
          <t>Stipends</t>
        </is>
      </c>
      <c r="C74" s="27" t="n">
        <v>6300</v>
      </c>
      <c r="D74" s="27" t="n">
        <v>0</v>
      </c>
      <c r="E74" s="27" t="n">
        <v>6489</v>
      </c>
      <c r="F74" s="27" t="n">
        <v>0</v>
      </c>
      <c r="G74" s="27" t="n">
        <v>4572</v>
      </c>
      <c r="H74" s="27">
        <f>G74-F74</f>
        <v/>
      </c>
      <c r="I74" s="11">
        <f>IF(F74=0,0,G74/F74-1)</f>
        <v/>
      </c>
    </row>
    <row r="75">
      <c r="A75" s="9" t="inlineStr">
        <is>
          <t>1000.1100.1000.52000.030</t>
        </is>
      </c>
      <c r="B75" s="9" t="inlineStr">
        <is>
          <t>Stipend Benefits</t>
        </is>
      </c>
      <c r="C75" s="27" t="n">
        <v>315</v>
      </c>
      <c r="D75" s="27" t="n">
        <v>0</v>
      </c>
      <c r="E75" s="27" t="n">
        <v>324</v>
      </c>
      <c r="F75" s="27" t="n">
        <v>0</v>
      </c>
      <c r="G75" s="27" t="n">
        <v>89</v>
      </c>
      <c r="H75" s="27">
        <f>G75-F75</f>
        <v/>
      </c>
      <c r="I75" s="11">
        <f>IF(F75=0,0,G75/F75-1)</f>
        <v/>
      </c>
    </row>
    <row r="76">
      <c r="A76" s="9" t="inlineStr">
        <is>
          <t>1000.1100.1000.52010.030</t>
        </is>
      </c>
      <c r="B76" s="9" t="inlineStr">
        <is>
          <t>Teacher Benefits</t>
        </is>
      </c>
      <c r="C76" s="27" t="n">
        <v>126977</v>
      </c>
      <c r="D76" s="27" t="n">
        <v>104055.7</v>
      </c>
      <c r="E76" s="27" t="n">
        <v>98850</v>
      </c>
      <c r="F76" s="27" t="n">
        <v>110243.61</v>
      </c>
      <c r="G76" s="27" t="n">
        <v>118742</v>
      </c>
      <c r="H76" s="27">
        <f>G76-F76</f>
        <v/>
      </c>
      <c r="I76" s="11">
        <f>IF(F76=0,0,G76/F76-1)</f>
        <v/>
      </c>
    </row>
    <row r="77">
      <c r="A77" s="9" t="inlineStr">
        <is>
          <t>1000.1100.1000.52020.030</t>
        </is>
      </c>
      <c r="B77" s="9" t="inlineStr">
        <is>
          <t>Ed Tech Benefits</t>
        </is>
      </c>
      <c r="C77" s="27" t="n">
        <v>10265</v>
      </c>
      <c r="D77" s="27" t="n">
        <v>8741.59</v>
      </c>
      <c r="E77" s="27" t="n">
        <v>9439</v>
      </c>
      <c r="F77" s="27" t="n">
        <v>6644.38</v>
      </c>
      <c r="G77" s="27" t="n">
        <v>11305</v>
      </c>
      <c r="H77" s="27">
        <f>G77-F77</f>
        <v/>
      </c>
      <c r="I77" s="11">
        <f>IF(F77=0,0,G77/F77-1)</f>
        <v/>
      </c>
    </row>
    <row r="78">
      <c r="A78" s="9" t="inlineStr">
        <is>
          <t>1000.1100.1000.52030.030</t>
        </is>
      </c>
      <c r="B78" s="9" t="inlineStr">
        <is>
          <t>Sub Benefits</t>
        </is>
      </c>
      <c r="C78" s="27" t="n">
        <v>825</v>
      </c>
      <c r="D78" s="27" t="n">
        <v>9846.620000000001</v>
      </c>
      <c r="E78" s="27" t="n">
        <v>825</v>
      </c>
      <c r="F78" s="27" t="n">
        <v>176.93</v>
      </c>
      <c r="G78" s="27" t="n">
        <v>585</v>
      </c>
      <c r="H78" s="27">
        <f>G78-F78</f>
        <v/>
      </c>
      <c r="I78" s="11">
        <f>IF(F78=0,0,G78/F78-1)</f>
        <v/>
      </c>
    </row>
    <row r="79">
      <c r="A79" s="9" t="inlineStr">
        <is>
          <t>1000.1100.1000.52300.030</t>
        </is>
      </c>
      <c r="B79" s="9" t="inlineStr">
        <is>
          <t>Retirement</t>
        </is>
      </c>
      <c r="C79" s="27" t="n">
        <v>250</v>
      </c>
      <c r="D79" s="27" t="n">
        <v>0</v>
      </c>
      <c r="E79" s="27" t="n">
        <v>270</v>
      </c>
      <c r="F79" s="27" t="n">
        <v>0</v>
      </c>
      <c r="G79" s="27" t="n">
        <v>190</v>
      </c>
      <c r="H79" s="27">
        <f>G79-F79</f>
        <v/>
      </c>
      <c r="I79" s="11">
        <f>IF(F79=0,0,G79/F79-1)</f>
        <v/>
      </c>
    </row>
    <row r="80">
      <c r="A80" s="9" t="inlineStr">
        <is>
          <t>1000.1100.1000.52310.030</t>
        </is>
      </c>
      <c r="B80" s="9" t="inlineStr">
        <is>
          <t>Retirement</t>
        </is>
      </c>
      <c r="C80" s="27" t="n">
        <v>16567</v>
      </c>
      <c r="D80" s="27" t="n">
        <v>15113.15</v>
      </c>
      <c r="E80" s="27" t="n">
        <v>16099</v>
      </c>
      <c r="F80" s="27" t="n">
        <v>15341.89</v>
      </c>
      <c r="G80" s="27" t="n">
        <v>18485</v>
      </c>
      <c r="H80" s="27">
        <f>G80-F80</f>
        <v/>
      </c>
      <c r="I80" s="11">
        <f>IF(F80=0,0,G80/F80-1)</f>
        <v/>
      </c>
    </row>
    <row r="81">
      <c r="A81" s="9" t="inlineStr">
        <is>
          <t>1000.1100.1000.52320.030</t>
        </is>
      </c>
      <c r="B81" s="9" t="inlineStr">
        <is>
          <t>Retirement</t>
        </is>
      </c>
      <c r="C81" s="27" t="n">
        <v>486</v>
      </c>
      <c r="D81" s="27" t="n">
        <v>618.51</v>
      </c>
      <c r="E81" s="27" t="n">
        <v>1289</v>
      </c>
      <c r="F81" s="27" t="n">
        <v>669.8099999999999</v>
      </c>
      <c r="G81" s="27" t="n">
        <v>1550</v>
      </c>
      <c r="H81" s="27">
        <f>G81-F81</f>
        <v/>
      </c>
      <c r="I81" s="11">
        <f>IF(F81=0,0,G81/F81-1)</f>
        <v/>
      </c>
    </row>
    <row r="82">
      <c r="A82" s="9" t="inlineStr">
        <is>
          <t>1000.1100.1000.52330.030</t>
        </is>
      </c>
      <c r="B82" s="9" t="inlineStr">
        <is>
          <t>Retirement</t>
        </is>
      </c>
      <c r="C82" s="27" t="n">
        <v>655</v>
      </c>
      <c r="D82" s="27" t="n">
        <v>1432.95</v>
      </c>
      <c r="E82" s="27" t="n">
        <v>686</v>
      </c>
      <c r="F82" s="27" t="n">
        <v>141.09</v>
      </c>
      <c r="G82" s="27" t="n">
        <v>1248</v>
      </c>
      <c r="H82" s="27">
        <f>G82-F82</f>
        <v/>
      </c>
      <c r="I82" s="11">
        <f>IF(F82=0,0,G82/F82-1)</f>
        <v/>
      </c>
    </row>
    <row r="83">
      <c r="A83" s="9" t="inlineStr">
        <is>
          <t>1000.1100.1000.53400.030</t>
        </is>
      </c>
      <c r="B83" s="9" t="inlineStr">
        <is>
          <t>Professional Services</t>
        </is>
      </c>
      <c r="C83" s="27" t="n">
        <v>3000</v>
      </c>
      <c r="D83" s="27" t="n">
        <v>2937.38</v>
      </c>
      <c r="E83" s="27" t="n">
        <v>9110</v>
      </c>
      <c r="F83" s="27" t="n">
        <v>6772.02</v>
      </c>
      <c r="G83" s="27" t="n">
        <v>9450</v>
      </c>
      <c r="H83" s="27">
        <f>G83-F83</f>
        <v/>
      </c>
      <c r="I83" s="11">
        <f>IF(F83=0,0,G83/F83-1)</f>
        <v/>
      </c>
    </row>
    <row r="84">
      <c r="A84" s="9" t="inlineStr">
        <is>
          <t>1000.1100.1000.54300.030</t>
        </is>
      </c>
      <c r="B84" s="9" t="inlineStr">
        <is>
          <t>Copiers Repairs/Maint</t>
        </is>
      </c>
      <c r="C84" s="27" t="n">
        <v>9700</v>
      </c>
      <c r="D84" s="27" t="n">
        <v>3703.48</v>
      </c>
      <c r="E84" s="27" t="n">
        <v>9700</v>
      </c>
      <c r="F84" s="27" t="n">
        <v>1980.35</v>
      </c>
      <c r="G84" s="27" t="n">
        <v>8000</v>
      </c>
      <c r="H84" s="27">
        <f>G84-F84</f>
        <v/>
      </c>
      <c r="I84" s="11">
        <f>IF(F84=0,0,G84/F84-1)</f>
        <v/>
      </c>
    </row>
    <row r="85">
      <c r="A85" s="9" t="inlineStr">
        <is>
          <t>1000.1100.1000.54330.030</t>
        </is>
      </c>
      <c r="B85" s="9" t="inlineStr">
        <is>
          <t>Software</t>
        </is>
      </c>
      <c r="C85" s="27" t="n">
        <v>0</v>
      </c>
      <c r="D85" s="27" t="n">
        <v>0</v>
      </c>
      <c r="E85" s="27" t="n">
        <v>0</v>
      </c>
      <c r="F85" s="27" t="n">
        <v>0</v>
      </c>
      <c r="G85" s="27" t="n">
        <v>500</v>
      </c>
      <c r="H85" s="27">
        <f>G85-F85</f>
        <v/>
      </c>
      <c r="I85" s="11">
        <f>IF(F85=0,0,G85/F85-1)</f>
        <v/>
      </c>
    </row>
    <row r="86">
      <c r="A86" s="9" t="inlineStr">
        <is>
          <t>1000.1100.1000.55800.030</t>
        </is>
      </c>
      <c r="B86" s="9" t="inlineStr">
        <is>
          <t>Travel</t>
        </is>
      </c>
      <c r="C86" s="27" t="n">
        <v>1500</v>
      </c>
      <c r="D86" s="27" t="n">
        <v>1245.4</v>
      </c>
      <c r="E86" s="27" t="n">
        <v>1100</v>
      </c>
      <c r="F86" s="27" t="n">
        <v>1108.72</v>
      </c>
      <c r="G86" s="27" t="n">
        <v>1370</v>
      </c>
      <c r="H86" s="27">
        <f>G86-F86</f>
        <v/>
      </c>
      <c r="I86" s="11">
        <f>IF(F86=0,0,G86/F86-1)</f>
        <v/>
      </c>
    </row>
    <row r="87">
      <c r="A87" s="9" t="inlineStr">
        <is>
          <t>1000.1100.1000.56100.030</t>
        </is>
      </c>
      <c r="B87" s="9" t="inlineStr">
        <is>
          <t>Instructional Supplies</t>
        </is>
      </c>
      <c r="C87" s="27" t="n">
        <v>18442</v>
      </c>
      <c r="D87" s="27" t="n">
        <v>17972.12</v>
      </c>
      <c r="E87" s="27" t="n">
        <v>18785</v>
      </c>
      <c r="F87" s="27" t="n">
        <v>18666.61</v>
      </c>
      <c r="G87" s="27" t="n">
        <v>19254</v>
      </c>
      <c r="H87" s="27">
        <f>G87-F87</f>
        <v/>
      </c>
      <c r="I87" s="11">
        <f>IF(F87=0,0,G87/F87-1)</f>
        <v/>
      </c>
    </row>
    <row r="88">
      <c r="A88" s="9" t="inlineStr">
        <is>
          <t>1000.1100.1000.56400.030</t>
        </is>
      </c>
      <c r="B88" s="9" t="inlineStr">
        <is>
          <t>Books</t>
        </is>
      </c>
      <c r="C88" s="27" t="n">
        <v>3537</v>
      </c>
      <c r="D88" s="27" t="n">
        <v>3378.12</v>
      </c>
      <c r="E88" s="27" t="n">
        <v>3537</v>
      </c>
      <c r="F88" s="27" t="n">
        <v>2193.62</v>
      </c>
      <c r="G88" s="27" t="n">
        <v>3387</v>
      </c>
      <c r="H88" s="27">
        <f>G88-F88</f>
        <v/>
      </c>
      <c r="I88" s="11">
        <f>IF(F88=0,0,G88/F88-1)</f>
        <v/>
      </c>
    </row>
    <row r="89">
      <c r="A89" s="9" t="inlineStr">
        <is>
          <t>1000.1100.1000.57300.030</t>
        </is>
      </c>
      <c r="B89" s="9" t="inlineStr">
        <is>
          <t>Equipment</t>
        </is>
      </c>
      <c r="C89" s="27" t="n">
        <v>12331</v>
      </c>
      <c r="D89" s="27" t="n">
        <v>12458.85</v>
      </c>
      <c r="E89" s="27" t="n">
        <v>7900</v>
      </c>
      <c r="F89" s="27" t="n">
        <v>4088.95</v>
      </c>
      <c r="G89" s="27" t="n">
        <v>5715</v>
      </c>
      <c r="H89" s="27">
        <f>G89-F89</f>
        <v/>
      </c>
      <c r="I89" s="11">
        <f>IF(F89=0,0,G89/F89-1)</f>
        <v/>
      </c>
    </row>
    <row r="90">
      <c r="A90" s="9" t="inlineStr">
        <is>
          <t>1000.1100.1000.58100.030</t>
        </is>
      </c>
      <c r="B90" s="9" t="inlineStr">
        <is>
          <t>Dues and Fees</t>
        </is>
      </c>
      <c r="C90" s="27" t="n">
        <v>0</v>
      </c>
      <c r="D90" s="27" t="n">
        <v>0</v>
      </c>
      <c r="E90" s="27" t="n">
        <v>0</v>
      </c>
      <c r="F90" s="27" t="n">
        <v>0</v>
      </c>
      <c r="G90" s="27" t="n">
        <v>210</v>
      </c>
      <c r="H90" s="27">
        <f>G90-F90</f>
        <v/>
      </c>
      <c r="I90" s="11">
        <f>IF(F90=0,0,G90/F90-1)</f>
        <v/>
      </c>
    </row>
    <row r="91">
      <c r="A91" s="9" t="inlineStr">
        <is>
          <t>1000.1100.1000.59000.030</t>
        </is>
      </c>
      <c r="B91" s="9" t="inlineStr">
        <is>
          <t>Experiential Education</t>
        </is>
      </c>
      <c r="C91" s="27" t="n">
        <v>5070</v>
      </c>
      <c r="D91" s="27" t="n">
        <v>5004.99</v>
      </c>
      <c r="E91" s="27" t="n">
        <v>0</v>
      </c>
      <c r="F91" s="27" t="n">
        <v>0</v>
      </c>
      <c r="G91" s="27" t="n">
        <v>0</v>
      </c>
      <c r="H91" s="27">
        <f>G91-F91</f>
        <v/>
      </c>
      <c r="I91" s="11">
        <f>IF(F91=0,0,G91/F91-1)</f>
        <v/>
      </c>
    </row>
    <row r="92">
      <c r="A92" s="17" t="n"/>
      <c r="B92" s="31" t="inlineStr">
        <is>
          <t>Program 1100 Total</t>
        </is>
      </c>
      <c r="C92" s="32">
        <f>SUM(C71:C91)</f>
        <v/>
      </c>
      <c r="D92" s="32">
        <f>SUM(D71:D91)</f>
        <v/>
      </c>
      <c r="E92" s="32">
        <f>SUM(E71:E91)</f>
        <v/>
      </c>
      <c r="F92" s="32">
        <f>SUM(F71:F91)</f>
        <v/>
      </c>
      <c r="G92" s="32">
        <f>SUM(G71:G91)</f>
        <v/>
      </c>
      <c r="H92" s="32">
        <f>SUM(H71:H91)</f>
        <v/>
      </c>
      <c r="I92" s="32">
        <f>SUM(I71:I91)</f>
        <v/>
      </c>
    </row>
    <row r="93">
      <c r="A93" s="9" t="inlineStr">
        <is>
          <t>1000.1120.1000.51010.030</t>
        </is>
      </c>
      <c r="B93" s="9" t="inlineStr">
        <is>
          <t>Teacher Salaries</t>
        </is>
      </c>
      <c r="C93" s="27" t="n">
        <v>78148</v>
      </c>
      <c r="D93" s="27" t="n">
        <v>52571</v>
      </c>
      <c r="E93" s="27" t="n">
        <v>74821</v>
      </c>
      <c r="F93" s="27" t="n">
        <v>55451.5</v>
      </c>
      <c r="G93" s="27" t="n">
        <v>93404</v>
      </c>
      <c r="H93" s="27">
        <f>G93-F93</f>
        <v/>
      </c>
      <c r="I93" s="11">
        <f>IF(F93=0,0,G93/F93-1)</f>
        <v/>
      </c>
    </row>
    <row r="94">
      <c r="A94" s="9" t="inlineStr">
        <is>
          <t>1000.1120.1000.51020.030</t>
        </is>
      </c>
      <c r="B94" s="9" t="inlineStr">
        <is>
          <t>Ed Tech Salaries</t>
        </is>
      </c>
      <c r="C94" s="27" t="n">
        <v>19991</v>
      </c>
      <c r="D94" s="27" t="n">
        <v>0</v>
      </c>
      <c r="E94" s="27" t="n">
        <v>12531</v>
      </c>
      <c r="F94" s="27" t="n">
        <v>0</v>
      </c>
      <c r="G94" s="27" t="n">
        <v>10555</v>
      </c>
      <c r="H94" s="27">
        <f>G94-F94</f>
        <v/>
      </c>
      <c r="I94" s="11">
        <f>IF(F94=0,0,G94/F94-1)</f>
        <v/>
      </c>
    </row>
    <row r="95">
      <c r="A95" s="9" t="inlineStr">
        <is>
          <t>1000.1120.1000.52010.030</t>
        </is>
      </c>
      <c r="B95" s="9" t="inlineStr">
        <is>
          <t>Teacher Benefits</t>
        </is>
      </c>
      <c r="C95" s="27" t="n">
        <v>30163</v>
      </c>
      <c r="D95" s="27" t="n">
        <v>20442.94</v>
      </c>
      <c r="E95" s="27" t="n">
        <v>25207</v>
      </c>
      <c r="F95" s="27" t="n">
        <v>20993.07</v>
      </c>
      <c r="G95" s="27" t="n">
        <v>24223</v>
      </c>
      <c r="H95" s="27">
        <f>G95-F95</f>
        <v/>
      </c>
      <c r="I95" s="11">
        <f>IF(F95=0,0,G95/F95-1)</f>
        <v/>
      </c>
    </row>
    <row r="96">
      <c r="A96" s="9" t="inlineStr">
        <is>
          <t>1000.1120.1000.52020.030</t>
        </is>
      </c>
      <c r="B96" s="9" t="inlineStr">
        <is>
          <t>Ed Tech Benefits</t>
        </is>
      </c>
      <c r="C96" s="27" t="n">
        <v>7433</v>
      </c>
      <c r="D96" s="27" t="n">
        <v>0</v>
      </c>
      <c r="E96" s="27" t="n">
        <v>755</v>
      </c>
      <c r="F96" s="27" t="n">
        <v>0</v>
      </c>
      <c r="G96" s="27" t="n">
        <v>1095</v>
      </c>
      <c r="H96" s="27">
        <f>G96-F96</f>
        <v/>
      </c>
      <c r="I96" s="11">
        <f>IF(F96=0,0,G96/F96-1)</f>
        <v/>
      </c>
    </row>
    <row r="97">
      <c r="A97" s="9" t="inlineStr">
        <is>
          <t>1000.1120.1000.52310.030</t>
        </is>
      </c>
      <c r="B97" s="9" t="inlineStr">
        <is>
          <t>Retirement</t>
        </is>
      </c>
      <c r="C97" s="27" t="n">
        <v>3102</v>
      </c>
      <c r="D97" s="27" t="n">
        <v>1217.18</v>
      </c>
      <c r="E97" s="27" t="n">
        <v>3113</v>
      </c>
      <c r="F97" s="27" t="n">
        <v>2306.72</v>
      </c>
      <c r="G97" s="27" t="n">
        <v>3886</v>
      </c>
      <c r="H97" s="27">
        <f>G97-F97</f>
        <v/>
      </c>
      <c r="I97" s="11">
        <f>IF(F97=0,0,G97/F97-1)</f>
        <v/>
      </c>
    </row>
    <row r="98">
      <c r="A98" s="9" t="inlineStr">
        <is>
          <t>1000.1120.1000.52320.030</t>
        </is>
      </c>
      <c r="B98" s="9" t="inlineStr">
        <is>
          <t>Retirement</t>
        </is>
      </c>
      <c r="C98" s="27" t="n">
        <v>794</v>
      </c>
      <c r="D98" s="27" t="n">
        <v>0</v>
      </c>
      <c r="E98" s="27" t="n">
        <v>521</v>
      </c>
      <c r="F98" s="27" t="n">
        <v>0</v>
      </c>
      <c r="G98" s="27" t="n">
        <v>457</v>
      </c>
      <c r="H98" s="27">
        <f>G98-F98</f>
        <v/>
      </c>
      <c r="I98" s="11">
        <f>IF(F98=0,0,G98/F98-1)</f>
        <v/>
      </c>
    </row>
    <row r="99">
      <c r="A99" s="17" t="n"/>
      <c r="B99" s="31" t="inlineStr">
        <is>
          <t>Program 1120 Total</t>
        </is>
      </c>
      <c r="C99" s="32">
        <f>SUM(C93:C98)</f>
        <v/>
      </c>
      <c r="D99" s="32">
        <f>SUM(D93:D98)</f>
        <v/>
      </c>
      <c r="E99" s="32">
        <f>SUM(E93:E98)</f>
        <v/>
      </c>
      <c r="F99" s="32">
        <f>SUM(F93:F98)</f>
        <v/>
      </c>
      <c r="G99" s="32">
        <f>SUM(G93:G98)</f>
        <v/>
      </c>
      <c r="H99" s="32">
        <f>SUM(H93:H98)</f>
        <v/>
      </c>
      <c r="I99" s="32">
        <f>SUM(I93:I98)</f>
        <v/>
      </c>
    </row>
    <row r="100">
      <c r="A100" s="17" t="n"/>
      <c r="B100" s="33" t="inlineStr">
        <is>
          <t>Function 1000 Total</t>
        </is>
      </c>
      <c r="C100" s="34">
        <f>C92+C99</f>
        <v/>
      </c>
      <c r="D100" s="34">
        <f>D92+D99</f>
        <v/>
      </c>
      <c r="E100" s="34">
        <f>E92+E99</f>
        <v/>
      </c>
      <c r="F100" s="34">
        <f>F92+F99</f>
        <v/>
      </c>
      <c r="G100" s="34">
        <f>G92+G99</f>
        <v/>
      </c>
      <c r="H100" s="34">
        <f>H92+H99</f>
        <v/>
      </c>
      <c r="I100" s="34">
        <f>I92+I99</f>
        <v/>
      </c>
    </row>
    <row r="101">
      <c r="A101" s="17" t="n"/>
      <c r="B101" s="20" t="inlineStr">
        <is>
          <t>Cost Center ('030',) Total</t>
        </is>
      </c>
      <c r="C101" s="35">
        <f>C100</f>
        <v/>
      </c>
      <c r="D101" s="35">
        <f>D100</f>
        <v/>
      </c>
      <c r="E101" s="35">
        <f>E100</f>
        <v/>
      </c>
      <c r="F101" s="35">
        <f>F100</f>
        <v/>
      </c>
      <c r="G101" s="35">
        <f>G100</f>
        <v/>
      </c>
      <c r="H101" s="35">
        <f>H100</f>
        <v/>
      </c>
      <c r="I101" s="35">
        <f>I100</f>
        <v/>
      </c>
    </row>
    <row r="103">
      <c r="A103" s="3" t="inlineStr">
        <is>
          <t>Cost Center: ('040',)</t>
        </is>
      </c>
    </row>
    <row r="104">
      <c r="A104" s="9" t="inlineStr">
        <is>
          <t>1000.1100.1000.51010.040</t>
        </is>
      </c>
      <c r="B104" s="9" t="inlineStr">
        <is>
          <t>Teacher Salaries</t>
        </is>
      </c>
      <c r="C104" s="27" t="n">
        <v>1059055</v>
      </c>
      <c r="D104" s="27" t="n">
        <v>1182361.54</v>
      </c>
      <c r="E104" s="27" t="n">
        <v>1120179</v>
      </c>
      <c r="F104" s="27" t="n">
        <v>1151488.93</v>
      </c>
      <c r="G104" s="27" t="n">
        <v>1229538</v>
      </c>
      <c r="H104" s="27">
        <f>G104-F104</f>
        <v/>
      </c>
      <c r="I104" s="11">
        <f>IF(F104=0,0,G104/F104-1)</f>
        <v/>
      </c>
    </row>
    <row r="105">
      <c r="A105" s="9" t="inlineStr">
        <is>
          <t>1000.1100.1000.51020.040</t>
        </is>
      </c>
      <c r="B105" s="9" t="inlineStr">
        <is>
          <t>Ed Tech Salaries</t>
        </is>
      </c>
      <c r="C105" s="27" t="n">
        <v>0</v>
      </c>
      <c r="D105" s="27" t="n">
        <v>0</v>
      </c>
      <c r="E105" s="27" t="n">
        <v>22015</v>
      </c>
      <c r="F105" s="27" t="n">
        <v>70349.86</v>
      </c>
      <c r="G105" s="27" t="n">
        <v>22018</v>
      </c>
      <c r="H105" s="27">
        <f>G105-F105</f>
        <v/>
      </c>
      <c r="I105" s="11">
        <f>IF(F105=0,0,G105/F105-1)</f>
        <v/>
      </c>
    </row>
    <row r="106">
      <c r="A106" s="9" t="inlineStr">
        <is>
          <t>1000.1100.1000.51230.040</t>
        </is>
      </c>
      <c r="B106" s="9" t="inlineStr">
        <is>
          <t>Substitute Wages</t>
        </is>
      </c>
      <c r="C106" s="27" t="n">
        <v>20000</v>
      </c>
      <c r="D106" s="27" t="n">
        <v>27707.68</v>
      </c>
      <c r="E106" s="27" t="n">
        <v>20000</v>
      </c>
      <c r="F106" s="27" t="n">
        <v>22319.86</v>
      </c>
      <c r="G106" s="27" t="n">
        <v>30000</v>
      </c>
      <c r="H106" s="27">
        <f>G106-F106</f>
        <v/>
      </c>
      <c r="I106" s="11">
        <f>IF(F106=0,0,G106/F106-1)</f>
        <v/>
      </c>
    </row>
    <row r="107">
      <c r="A107" s="9" t="inlineStr">
        <is>
          <t>1000.1100.1000.52010.040</t>
        </is>
      </c>
      <c r="B107" s="9" t="inlineStr">
        <is>
          <t>Teacher Benefits</t>
        </is>
      </c>
      <c r="C107" s="27" t="n">
        <v>348469</v>
      </c>
      <c r="D107" s="27" t="n">
        <v>302462.13</v>
      </c>
      <c r="E107" s="27" t="n">
        <v>277546</v>
      </c>
      <c r="F107" s="27" t="n">
        <v>272388.55</v>
      </c>
      <c r="G107" s="27" t="n">
        <v>301807</v>
      </c>
      <c r="H107" s="27">
        <f>G107-F107</f>
        <v/>
      </c>
      <c r="I107" s="11">
        <f>IF(F107=0,0,G107/F107-1)</f>
        <v/>
      </c>
    </row>
    <row r="108">
      <c r="A108" s="9" t="inlineStr">
        <is>
          <t>1000.1100.1000.52020.040</t>
        </is>
      </c>
      <c r="B108" s="9" t="inlineStr">
        <is>
          <t>Ed Tech Benefits</t>
        </is>
      </c>
      <c r="C108" s="27" t="n">
        <v>0</v>
      </c>
      <c r="D108" s="27" t="n">
        <v>0</v>
      </c>
      <c r="E108" s="27" t="n">
        <v>10115</v>
      </c>
      <c r="F108" s="27" t="n">
        <v>18864.07</v>
      </c>
      <c r="G108" s="27" t="n">
        <v>6296</v>
      </c>
      <c r="H108" s="27">
        <f>G108-F108</f>
        <v/>
      </c>
      <c r="I108" s="11">
        <f>IF(F108=0,0,G108/F108-1)</f>
        <v/>
      </c>
    </row>
    <row r="109">
      <c r="A109" s="9" t="inlineStr">
        <is>
          <t>1000.1100.1000.52030.040</t>
        </is>
      </c>
      <c r="B109" s="9" t="inlineStr">
        <is>
          <t>Substitute Benefits</t>
        </is>
      </c>
      <c r="C109" s="27" t="n">
        <v>1000</v>
      </c>
      <c r="D109" s="27" t="n">
        <v>1590.43</v>
      </c>
      <c r="E109" s="27" t="n">
        <v>1000</v>
      </c>
      <c r="F109" s="27" t="n">
        <v>848.22</v>
      </c>
      <c r="G109" s="27" t="n">
        <v>585</v>
      </c>
      <c r="H109" s="27">
        <f>G109-F109</f>
        <v/>
      </c>
      <c r="I109" s="11">
        <f>IF(F109=0,0,G109/F109-1)</f>
        <v/>
      </c>
    </row>
    <row r="110">
      <c r="A110" s="9" t="inlineStr">
        <is>
          <t>1000.1100.1000.52310.040</t>
        </is>
      </c>
      <c r="B110" s="9" t="inlineStr">
        <is>
          <t>Retirement</t>
        </is>
      </c>
      <c r="C110" s="27" t="n">
        <v>42045</v>
      </c>
      <c r="D110" s="27" t="n">
        <v>47914.08</v>
      </c>
      <c r="E110" s="27" t="n">
        <v>46599</v>
      </c>
      <c r="F110" s="27" t="n">
        <v>45464.33</v>
      </c>
      <c r="G110" s="27" t="n">
        <v>51149</v>
      </c>
      <c r="H110" s="27">
        <f>G110-F110</f>
        <v/>
      </c>
      <c r="I110" s="11">
        <f>IF(F110=0,0,G110/F110-1)</f>
        <v/>
      </c>
    </row>
    <row r="111">
      <c r="A111" s="9" t="inlineStr">
        <is>
          <t>1000.1100.1000.52320.040</t>
        </is>
      </c>
      <c r="B111" s="9" t="inlineStr">
        <is>
          <t>Retirement</t>
        </is>
      </c>
      <c r="C111" s="27" t="n">
        <v>0</v>
      </c>
      <c r="D111" s="27" t="n">
        <v>0</v>
      </c>
      <c r="E111" s="27" t="n">
        <v>916</v>
      </c>
      <c r="F111" s="27" t="n">
        <v>2887.9</v>
      </c>
      <c r="G111" s="27" t="n">
        <v>953</v>
      </c>
      <c r="H111" s="27">
        <f>G111-F111</f>
        <v/>
      </c>
      <c r="I111" s="11">
        <f>IF(F111=0,0,G111/F111-1)</f>
        <v/>
      </c>
    </row>
    <row r="112">
      <c r="A112" s="9" t="inlineStr">
        <is>
          <t>1000.1100.1000.52330.040</t>
        </is>
      </c>
      <c r="B112" s="9" t="inlineStr">
        <is>
          <t>Retirement</t>
        </is>
      </c>
      <c r="C112" s="27" t="n">
        <v>794</v>
      </c>
      <c r="D112" s="27" t="n">
        <v>456.24</v>
      </c>
      <c r="E112" s="27" t="n">
        <v>832</v>
      </c>
      <c r="F112" s="27" t="n">
        <v>418.23</v>
      </c>
      <c r="G112" s="27" t="n">
        <v>1248</v>
      </c>
      <c r="H112" s="27">
        <f>G112-F112</f>
        <v/>
      </c>
      <c r="I112" s="11">
        <f>IF(F112=0,0,G112/F112-1)</f>
        <v/>
      </c>
    </row>
    <row r="113">
      <c r="A113" s="9" t="inlineStr">
        <is>
          <t>1000.1100.1000.53400.040</t>
        </is>
      </c>
      <c r="B113" s="9" t="inlineStr">
        <is>
          <t>Purchased Professional</t>
        </is>
      </c>
      <c r="C113" s="27" t="n">
        <v>15190</v>
      </c>
      <c r="D113" s="27" t="n">
        <v>14256.83</v>
      </c>
      <c r="E113" s="27" t="n">
        <v>14585</v>
      </c>
      <c r="F113" s="27" t="n">
        <v>6374</v>
      </c>
      <c r="G113" s="27" t="n">
        <v>14635</v>
      </c>
      <c r="H113" s="27">
        <f>G113-F113</f>
        <v/>
      </c>
      <c r="I113" s="11">
        <f>IF(F113=0,0,G113/F113-1)</f>
        <v/>
      </c>
    </row>
    <row r="114">
      <c r="A114" s="9" t="inlineStr">
        <is>
          <t>1000.1100.1000.54300.040</t>
        </is>
      </c>
      <c r="B114" s="9" t="inlineStr">
        <is>
          <t>Copiers Repair/Maint</t>
        </is>
      </c>
      <c r="C114" s="27" t="n">
        <v>11500</v>
      </c>
      <c r="D114" s="27" t="n">
        <v>9512.52</v>
      </c>
      <c r="E114" s="27" t="n">
        <v>11500</v>
      </c>
      <c r="F114" s="27" t="n">
        <v>8921.09</v>
      </c>
      <c r="G114" s="27" t="n">
        <v>11500</v>
      </c>
      <c r="H114" s="27">
        <f>G114-F114</f>
        <v/>
      </c>
      <c r="I114" s="11">
        <f>IF(F114=0,0,G114/F114-1)</f>
        <v/>
      </c>
    </row>
    <row r="115">
      <c r="A115" s="9" t="inlineStr">
        <is>
          <t>1000.1100.1000.54330.040</t>
        </is>
      </c>
      <c r="B115" s="9" t="inlineStr">
        <is>
          <t>Software</t>
        </is>
      </c>
      <c r="C115" s="27" t="n">
        <v>500</v>
      </c>
      <c r="D115" s="27" t="n">
        <v>0</v>
      </c>
      <c r="E115" s="27" t="n">
        <v>500</v>
      </c>
      <c r="F115" s="27" t="n">
        <v>0</v>
      </c>
      <c r="G115" s="27" t="n">
        <v>500</v>
      </c>
      <c r="H115" s="27">
        <f>G115-F115</f>
        <v/>
      </c>
      <c r="I115" s="11">
        <f>IF(F115=0,0,G115/F115-1)</f>
        <v/>
      </c>
    </row>
    <row r="116">
      <c r="A116" s="9" t="inlineStr">
        <is>
          <t>1000.1100.1000.55800.040</t>
        </is>
      </c>
      <c r="B116" s="9" t="inlineStr">
        <is>
          <t>Travel</t>
        </is>
      </c>
      <c r="C116" s="27" t="n">
        <v>300</v>
      </c>
      <c r="D116" s="27" t="n">
        <v>1222.86</v>
      </c>
      <c r="E116" s="27" t="n">
        <v>300</v>
      </c>
      <c r="F116" s="27" t="n">
        <v>1730.88</v>
      </c>
      <c r="G116" s="27" t="n">
        <v>1420</v>
      </c>
      <c r="H116" s="27">
        <f>G116-F116</f>
        <v/>
      </c>
      <c r="I116" s="11">
        <f>IF(F116=0,0,G116/F116-1)</f>
        <v/>
      </c>
    </row>
    <row r="117">
      <c r="A117" s="9" t="inlineStr">
        <is>
          <t>1000.1100.1000.56100.040</t>
        </is>
      </c>
      <c r="B117" s="9" t="inlineStr">
        <is>
          <t>Instructional Supplies</t>
        </is>
      </c>
      <c r="C117" s="27" t="n">
        <v>35951</v>
      </c>
      <c r="D117" s="27" t="n">
        <v>35386.09</v>
      </c>
      <c r="E117" s="27" t="n">
        <v>37668</v>
      </c>
      <c r="F117" s="27" t="n">
        <v>27099.97</v>
      </c>
      <c r="G117" s="27" t="n">
        <v>34168</v>
      </c>
      <c r="H117" s="27">
        <f>G117-F117</f>
        <v/>
      </c>
      <c r="I117" s="11">
        <f>IF(F117=0,0,G117/F117-1)</f>
        <v/>
      </c>
    </row>
    <row r="118">
      <c r="A118" s="9" t="inlineStr">
        <is>
          <t>1000.1100.1000.56400.040</t>
        </is>
      </c>
      <c r="B118" s="9" t="inlineStr">
        <is>
          <t>Books</t>
        </is>
      </c>
      <c r="C118" s="27" t="n">
        <v>6775</v>
      </c>
      <c r="D118" s="27" t="n">
        <v>9481.6</v>
      </c>
      <c r="E118" s="27" t="n">
        <v>6775</v>
      </c>
      <c r="F118" s="27" t="n">
        <v>9628.51</v>
      </c>
      <c r="G118" s="27" t="n">
        <v>8436</v>
      </c>
      <c r="H118" s="27">
        <f>G118-F118</f>
        <v/>
      </c>
      <c r="I118" s="11">
        <f>IF(F118=0,0,G118/F118-1)</f>
        <v/>
      </c>
    </row>
    <row r="119">
      <c r="A119" s="9" t="inlineStr">
        <is>
          <t>1000.1100.1000.57300.040</t>
        </is>
      </c>
      <c r="B119" s="9" t="inlineStr">
        <is>
          <t>Equipment</t>
        </is>
      </c>
      <c r="C119" s="27" t="n">
        <v>12831</v>
      </c>
      <c r="D119" s="27" t="n">
        <v>10099.97</v>
      </c>
      <c r="E119" s="27" t="n">
        <v>12766</v>
      </c>
      <c r="F119" s="27" t="n">
        <v>12170.2</v>
      </c>
      <c r="G119" s="27" t="n">
        <v>11960</v>
      </c>
      <c r="H119" s="27">
        <f>G119-F119</f>
        <v/>
      </c>
      <c r="I119" s="11">
        <f>IF(F119=0,0,G119/F119-1)</f>
        <v/>
      </c>
    </row>
    <row r="120">
      <c r="A120" s="9" t="inlineStr">
        <is>
          <t>1000.1100.1000.58100.040</t>
        </is>
      </c>
      <c r="B120" s="9" t="inlineStr">
        <is>
          <t>Dues and Fees</t>
        </is>
      </c>
      <c r="C120" s="27" t="n">
        <v>0</v>
      </c>
      <c r="D120" s="27" t="n">
        <v>0</v>
      </c>
      <c r="E120" s="27" t="n">
        <v>0</v>
      </c>
      <c r="F120" s="27" t="n">
        <v>0</v>
      </c>
      <c r="G120" s="27" t="n">
        <v>135</v>
      </c>
      <c r="H120" s="27">
        <f>G120-F120</f>
        <v/>
      </c>
      <c r="I120" s="11">
        <f>IF(F120=0,0,G120/F120-1)</f>
        <v/>
      </c>
    </row>
    <row r="121">
      <c r="A121" s="17" t="n"/>
      <c r="B121" s="31" t="inlineStr">
        <is>
          <t>Program 1100 Total</t>
        </is>
      </c>
      <c r="C121" s="32">
        <f>SUM(C104:C120)</f>
        <v/>
      </c>
      <c r="D121" s="32">
        <f>SUM(D104:D120)</f>
        <v/>
      </c>
      <c r="E121" s="32">
        <f>SUM(E104:E120)</f>
        <v/>
      </c>
      <c r="F121" s="32">
        <f>SUM(F104:F120)</f>
        <v/>
      </c>
      <c r="G121" s="32">
        <f>SUM(G104:G120)</f>
        <v/>
      </c>
      <c r="H121" s="32">
        <f>SUM(H104:H120)</f>
        <v/>
      </c>
      <c r="I121" s="32">
        <f>SUM(I104:I120)</f>
        <v/>
      </c>
    </row>
    <row r="122">
      <c r="A122" s="17" t="n"/>
      <c r="B122" s="20" t="inlineStr">
        <is>
          <t>Cost Center ('040',) Total</t>
        </is>
      </c>
      <c r="C122" s="35">
        <f>C121</f>
        <v/>
      </c>
      <c r="D122" s="35">
        <f>D121</f>
        <v/>
      </c>
      <c r="E122" s="35">
        <f>E121</f>
        <v/>
      </c>
      <c r="F122" s="35">
        <f>F121</f>
        <v/>
      </c>
      <c r="G122" s="35">
        <f>G121</f>
        <v/>
      </c>
      <c r="H122" s="35">
        <f>H121</f>
        <v/>
      </c>
      <c r="I122" s="35">
        <f>I121</f>
        <v/>
      </c>
    </row>
    <row r="124">
      <c r="A124" s="3" t="inlineStr">
        <is>
          <t>Cost Center: ('050',)</t>
        </is>
      </c>
    </row>
    <row r="125">
      <c r="A125" s="9" t="inlineStr">
        <is>
          <t>1000.1100.1000.51010.050</t>
        </is>
      </c>
      <c r="B125" s="9" t="inlineStr">
        <is>
          <t>Teacher Salaries</t>
        </is>
      </c>
      <c r="C125" s="27" t="n">
        <v>1448860</v>
      </c>
      <c r="D125" s="27" t="n">
        <v>1581220.3</v>
      </c>
      <c r="E125" s="27" t="n">
        <v>1597558</v>
      </c>
      <c r="F125" s="27" t="n">
        <v>1711234.97</v>
      </c>
      <c r="G125" s="27" t="n">
        <v>1589974</v>
      </c>
      <c r="H125" s="27">
        <f>G125-F125</f>
        <v/>
      </c>
      <c r="I125" s="11">
        <f>IF(F125=0,0,G125/F125-1)</f>
        <v/>
      </c>
    </row>
    <row r="126">
      <c r="A126" s="9" t="inlineStr">
        <is>
          <t>1000.1100.1000.51020.050</t>
        </is>
      </c>
      <c r="B126" s="9" t="inlineStr">
        <is>
          <t>Ed Tech Salaries</t>
        </is>
      </c>
      <c r="C126" s="27" t="n">
        <v>59539</v>
      </c>
      <c r="D126" s="27" t="n">
        <v>102807.31</v>
      </c>
      <c r="E126" s="27" t="n">
        <v>64615</v>
      </c>
      <c r="F126" s="27" t="n">
        <v>85223.84</v>
      </c>
      <c r="G126" s="27" t="n">
        <v>72470</v>
      </c>
      <c r="H126" s="27">
        <f>G126-F126</f>
        <v/>
      </c>
      <c r="I126" s="11">
        <f>IF(F126=0,0,G126/F126-1)</f>
        <v/>
      </c>
    </row>
    <row r="127">
      <c r="A127" s="9" t="inlineStr">
        <is>
          <t>1000.1100.1000.51230.050</t>
        </is>
      </c>
      <c r="B127" s="9" t="inlineStr">
        <is>
          <t>Substitute Wages</t>
        </is>
      </c>
      <c r="C127" s="27" t="n">
        <v>35000</v>
      </c>
      <c r="D127" s="27" t="n">
        <v>37527</v>
      </c>
      <c r="E127" s="27" t="n">
        <v>35000</v>
      </c>
      <c r="F127" s="27" t="n">
        <v>18906.98</v>
      </c>
      <c r="G127" s="27" t="n">
        <v>40000</v>
      </c>
      <c r="H127" s="27">
        <f>G127-F127</f>
        <v/>
      </c>
      <c r="I127" s="11">
        <f>IF(F127=0,0,G127/F127-1)</f>
        <v/>
      </c>
    </row>
    <row r="128">
      <c r="A128" s="9" t="inlineStr">
        <is>
          <t>1000.1100.1000.51500.050</t>
        </is>
      </c>
      <c r="B128" s="9" t="inlineStr">
        <is>
          <t>Stipends</t>
        </is>
      </c>
      <c r="C128" s="27" t="n">
        <v>3750</v>
      </c>
      <c r="D128" s="27" t="n">
        <v>3330.56</v>
      </c>
      <c r="E128" s="27" t="n">
        <v>3863</v>
      </c>
      <c r="F128" s="27" t="n">
        <v>2565</v>
      </c>
      <c r="G128" s="27" t="n">
        <v>24437</v>
      </c>
      <c r="H128" s="27">
        <f>G128-F128</f>
        <v/>
      </c>
      <c r="I128" s="11">
        <f>IF(F128=0,0,G128/F128-1)</f>
        <v/>
      </c>
    </row>
    <row r="129">
      <c r="A129" s="9" t="inlineStr">
        <is>
          <t>1000.1100.1000.52000.050</t>
        </is>
      </c>
      <c r="B129" s="9" t="inlineStr">
        <is>
          <t>Stipend Benefits</t>
        </is>
      </c>
      <c r="C129" s="27" t="n">
        <v>188</v>
      </c>
      <c r="D129" s="27" t="n">
        <v>429.35</v>
      </c>
      <c r="E129" s="27" t="n">
        <v>193</v>
      </c>
      <c r="F129" s="27" t="n">
        <v>7926.52</v>
      </c>
      <c r="G129" s="27" t="n">
        <v>354</v>
      </c>
      <c r="H129" s="27">
        <f>G129-F129</f>
        <v/>
      </c>
      <c r="I129" s="11">
        <f>IF(F129=0,0,G129/F129-1)</f>
        <v/>
      </c>
    </row>
    <row r="130">
      <c r="A130" s="9" t="inlineStr">
        <is>
          <t>1000.1100.1000.52010.050</t>
        </is>
      </c>
      <c r="B130" s="9" t="inlineStr">
        <is>
          <t>Teacher Benefits</t>
        </is>
      </c>
      <c r="C130" s="27" t="n">
        <v>486345</v>
      </c>
      <c r="D130" s="27" t="n">
        <v>418577.65</v>
      </c>
      <c r="E130" s="27" t="n">
        <v>399250</v>
      </c>
      <c r="F130" s="27" t="n">
        <v>407266.52</v>
      </c>
      <c r="G130" s="27" t="n">
        <v>429297</v>
      </c>
      <c r="H130" s="27">
        <f>G130-F130</f>
        <v/>
      </c>
      <c r="I130" s="11">
        <f>IF(F130=0,0,G130/F130-1)</f>
        <v/>
      </c>
    </row>
    <row r="131">
      <c r="A131" s="9" t="inlineStr">
        <is>
          <t>1000.1100.1000.52020.050</t>
        </is>
      </c>
      <c r="B131" s="9" t="inlineStr">
        <is>
          <t>Ed Tech Benefits</t>
        </is>
      </c>
      <c r="C131" s="27" t="n">
        <v>51571</v>
      </c>
      <c r="D131" s="27" t="n">
        <v>34092.88</v>
      </c>
      <c r="E131" s="27" t="n">
        <v>36932</v>
      </c>
      <c r="F131" s="27" t="n">
        <v>27830.97</v>
      </c>
      <c r="G131" s="27" t="n">
        <v>39728</v>
      </c>
      <c r="H131" s="27">
        <f>G131-F131</f>
        <v/>
      </c>
      <c r="I131" s="11">
        <f>IF(F131=0,0,G131/F131-1)</f>
        <v/>
      </c>
    </row>
    <row r="132">
      <c r="A132" s="9" t="inlineStr">
        <is>
          <t>1000.1100.1000.52030.050</t>
        </is>
      </c>
      <c r="B132" s="9" t="inlineStr">
        <is>
          <t>Substitute Benefits</t>
        </is>
      </c>
      <c r="C132" s="27" t="n">
        <v>1750</v>
      </c>
      <c r="D132" s="27" t="n">
        <v>2098.35</v>
      </c>
      <c r="E132" s="27" t="n">
        <v>1750</v>
      </c>
      <c r="F132" s="27" t="n">
        <v>1106.35</v>
      </c>
      <c r="G132" s="27" t="n">
        <v>780</v>
      </c>
      <c r="H132" s="27">
        <f>G132-F132</f>
        <v/>
      </c>
      <c r="I132" s="11">
        <f>IF(F132=0,0,G132/F132-1)</f>
        <v/>
      </c>
    </row>
    <row r="133">
      <c r="A133" s="9" t="inlineStr">
        <is>
          <t>1000.1100.1000.52300.050</t>
        </is>
      </c>
      <c r="B133" s="9" t="inlineStr">
        <is>
          <t>Retirement</t>
        </is>
      </c>
      <c r="C133" s="27" t="n">
        <v>149</v>
      </c>
      <c r="D133" s="27" t="n">
        <v>54.69</v>
      </c>
      <c r="E133" s="27" t="n">
        <v>161</v>
      </c>
      <c r="F133" s="27" t="n">
        <v>107.53</v>
      </c>
      <c r="G133" s="27" t="n">
        <v>1017</v>
      </c>
      <c r="H133" s="27">
        <f>G133-F133</f>
        <v/>
      </c>
      <c r="I133" s="11">
        <f>IF(F133=0,0,G133/F133-1)</f>
        <v/>
      </c>
    </row>
    <row r="134">
      <c r="A134" s="9" t="inlineStr">
        <is>
          <t>1000.1100.1000.52310.050</t>
        </is>
      </c>
      <c r="B134" s="9" t="inlineStr">
        <is>
          <t>Retirement</t>
        </is>
      </c>
      <c r="C134" s="27" t="n">
        <v>57520</v>
      </c>
      <c r="D134" s="27" t="n">
        <v>65259.57</v>
      </c>
      <c r="E134" s="27" t="n">
        <v>66458</v>
      </c>
      <c r="F134" s="27" t="n">
        <v>89119.67999999999</v>
      </c>
      <c r="G134" s="27" t="n">
        <v>66143</v>
      </c>
      <c r="H134" s="27">
        <f>G134-F134</f>
        <v/>
      </c>
      <c r="I134" s="11">
        <f>IF(F134=0,0,G134/F134-1)</f>
        <v/>
      </c>
    </row>
    <row r="135">
      <c r="A135" s="9" t="inlineStr">
        <is>
          <t>1000.1100.1000.52320.050</t>
        </is>
      </c>
      <c r="B135" s="9" t="inlineStr">
        <is>
          <t>Retirement</t>
        </is>
      </c>
      <c r="C135" s="27" t="n">
        <v>2364</v>
      </c>
      <c r="D135" s="27" t="n">
        <v>4081.34</v>
      </c>
      <c r="E135" s="27" t="n">
        <v>2688</v>
      </c>
      <c r="F135" s="27" t="n">
        <v>3611.55</v>
      </c>
      <c r="G135" s="27" t="n">
        <v>3152</v>
      </c>
      <c r="H135" s="27">
        <f>G135-F135</f>
        <v/>
      </c>
      <c r="I135" s="11">
        <f>IF(F135=0,0,G135/F135-1)</f>
        <v/>
      </c>
    </row>
    <row r="136">
      <c r="A136" s="9" t="inlineStr">
        <is>
          <t>1000.1100.1000.52330.050</t>
        </is>
      </c>
      <c r="B136" s="9" t="inlineStr">
        <is>
          <t>Retirement</t>
        </is>
      </c>
      <c r="C136" s="27" t="n">
        <v>1390</v>
      </c>
      <c r="D136" s="27" t="n">
        <v>656.21</v>
      </c>
      <c r="E136" s="27" t="n">
        <v>1456</v>
      </c>
      <c r="F136" s="27" t="n">
        <v>409.58</v>
      </c>
      <c r="G136" s="27" t="n">
        <v>1664</v>
      </c>
      <c r="H136" s="27">
        <f>G136-F136</f>
        <v/>
      </c>
      <c r="I136" s="11">
        <f>IF(F136=0,0,G136/F136-1)</f>
        <v/>
      </c>
    </row>
    <row r="137">
      <c r="A137" s="9" t="inlineStr">
        <is>
          <t>1000.1100.1000.53400.050</t>
        </is>
      </c>
      <c r="B137" s="9" t="inlineStr">
        <is>
          <t>Purchased Professional</t>
        </is>
      </c>
      <c r="C137" s="27" t="n">
        <v>19801</v>
      </c>
      <c r="D137" s="27" t="n">
        <v>21183.25</v>
      </c>
      <c r="E137" s="27" t="n">
        <v>32396</v>
      </c>
      <c r="F137" s="27" t="n">
        <v>30545.28</v>
      </c>
      <c r="G137" s="27" t="n">
        <v>32297</v>
      </c>
      <c r="H137" s="27">
        <f>G137-F137</f>
        <v/>
      </c>
      <c r="I137" s="11">
        <f>IF(F137=0,0,G137/F137-1)</f>
        <v/>
      </c>
    </row>
    <row r="138">
      <c r="A138" s="9" t="inlineStr">
        <is>
          <t>1000.1100.1000.54300.050</t>
        </is>
      </c>
      <c r="B138" s="9" t="inlineStr">
        <is>
          <t>Copiers Repair/Maint</t>
        </is>
      </c>
      <c r="C138" s="27" t="n">
        <v>15600</v>
      </c>
      <c r="D138" s="27" t="n">
        <v>28917.75</v>
      </c>
      <c r="E138" s="27" t="n">
        <v>15600</v>
      </c>
      <c r="F138" s="27" t="n">
        <v>24214.25</v>
      </c>
      <c r="G138" s="27" t="n">
        <v>17000</v>
      </c>
      <c r="H138" s="27">
        <f>G138-F138</f>
        <v/>
      </c>
      <c r="I138" s="11">
        <f>IF(F138=0,0,G138/F138-1)</f>
        <v/>
      </c>
    </row>
    <row r="139">
      <c r="A139" s="9" t="inlineStr">
        <is>
          <t>1000.1100.1000.54330.050</t>
        </is>
      </c>
      <c r="B139" s="9" t="inlineStr">
        <is>
          <t>Software</t>
        </is>
      </c>
      <c r="C139" s="27" t="n">
        <v>6153</v>
      </c>
      <c r="D139" s="27" t="n">
        <v>6153</v>
      </c>
      <c r="E139" s="27" t="n">
        <v>6153</v>
      </c>
      <c r="F139" s="27" t="n">
        <v>4457.43</v>
      </c>
      <c r="G139" s="27" t="n">
        <v>6153</v>
      </c>
      <c r="H139" s="27">
        <f>G139-F139</f>
        <v/>
      </c>
      <c r="I139" s="11">
        <f>IF(F139=0,0,G139/F139-1)</f>
        <v/>
      </c>
    </row>
    <row r="140">
      <c r="A140" s="9" t="inlineStr">
        <is>
          <t>1000.1100.1000.55800.050</t>
        </is>
      </c>
      <c r="B140" s="9" t="inlineStr">
        <is>
          <t>Travel</t>
        </is>
      </c>
      <c r="C140" s="27" t="n">
        <v>150</v>
      </c>
      <c r="D140" s="27" t="n">
        <v>3060.92</v>
      </c>
      <c r="E140" s="27" t="n">
        <v>1500</v>
      </c>
      <c r="F140" s="27" t="n">
        <v>2121.11</v>
      </c>
      <c r="G140" s="27" t="n">
        <v>3290</v>
      </c>
      <c r="H140" s="27">
        <f>G140-F140</f>
        <v/>
      </c>
      <c r="I140" s="11">
        <f>IF(F140=0,0,G140/F140-1)</f>
        <v/>
      </c>
    </row>
    <row r="141">
      <c r="A141" s="9" t="inlineStr">
        <is>
          <t>1000.1100.1000.56000.050</t>
        </is>
      </c>
      <c r="B141" s="9" t="inlineStr">
        <is>
          <t>Supplies</t>
        </is>
      </c>
      <c r="C141" s="27" t="n">
        <v>0</v>
      </c>
      <c r="D141" s="27" t="n">
        <v>0</v>
      </c>
      <c r="E141" s="27" t="n">
        <v>0</v>
      </c>
      <c r="F141" s="27" t="n">
        <v>0</v>
      </c>
      <c r="G141" s="27" t="n">
        <v>0</v>
      </c>
      <c r="H141" s="27">
        <f>G141-F141</f>
        <v/>
      </c>
      <c r="I141" s="11">
        <f>IF(F141=0,0,G141/F141-1)</f>
        <v/>
      </c>
    </row>
    <row r="142">
      <c r="A142" s="9" t="inlineStr">
        <is>
          <t>1000.1100.1000.56100.050</t>
        </is>
      </c>
      <c r="B142" s="9" t="inlineStr">
        <is>
          <t>Instructional Supplies</t>
        </is>
      </c>
      <c r="C142" s="27" t="n">
        <v>45470</v>
      </c>
      <c r="D142" s="27" t="n">
        <v>40457.76</v>
      </c>
      <c r="E142" s="27" t="n">
        <v>45479</v>
      </c>
      <c r="F142" s="27" t="n">
        <v>36679.93</v>
      </c>
      <c r="G142" s="27" t="n">
        <v>45651</v>
      </c>
      <c r="H142" s="27">
        <f>G142-F142</f>
        <v/>
      </c>
      <c r="I142" s="11">
        <f>IF(F142=0,0,G142/F142-1)</f>
        <v/>
      </c>
    </row>
    <row r="143">
      <c r="A143" s="9" t="inlineStr">
        <is>
          <t>1000.1100.1000.56400.050</t>
        </is>
      </c>
      <c r="B143" s="9" t="inlineStr">
        <is>
          <t>Books</t>
        </is>
      </c>
      <c r="C143" s="27" t="n">
        <v>10431</v>
      </c>
      <c r="D143" s="27" t="n">
        <v>10298.36</v>
      </c>
      <c r="E143" s="27" t="n">
        <v>10550</v>
      </c>
      <c r="F143" s="27" t="n">
        <v>7414.25</v>
      </c>
      <c r="G143" s="27" t="n">
        <v>10162</v>
      </c>
      <c r="H143" s="27">
        <f>G143-F143</f>
        <v/>
      </c>
      <c r="I143" s="11">
        <f>IF(F143=0,0,G143/F143-1)</f>
        <v/>
      </c>
    </row>
    <row r="144">
      <c r="A144" s="9" t="inlineStr">
        <is>
          <t>1000.1100.1000.57300.050</t>
        </is>
      </c>
      <c r="B144" s="9" t="inlineStr">
        <is>
          <t>Equipment</t>
        </is>
      </c>
      <c r="C144" s="27" t="n">
        <v>20272</v>
      </c>
      <c r="D144" s="27" t="n">
        <v>19297.87</v>
      </c>
      <c r="E144" s="27" t="n">
        <v>22792</v>
      </c>
      <c r="F144" s="27" t="n">
        <v>19869.71</v>
      </c>
      <c r="G144" s="27" t="n">
        <v>26963</v>
      </c>
      <c r="H144" s="27">
        <f>G144-F144</f>
        <v/>
      </c>
      <c r="I144" s="11">
        <f>IF(F144=0,0,G144/F144-1)</f>
        <v/>
      </c>
    </row>
    <row r="145">
      <c r="A145" s="9" t="inlineStr">
        <is>
          <t>1000.1100.1000.58100.050</t>
        </is>
      </c>
      <c r="B145" s="9" t="inlineStr">
        <is>
          <t>Dues &amp; Fees</t>
        </is>
      </c>
      <c r="C145" s="27" t="n">
        <v>3013</v>
      </c>
      <c r="D145" s="27" t="n">
        <v>2426.99</v>
      </c>
      <c r="E145" s="27" t="n">
        <v>3013</v>
      </c>
      <c r="F145" s="27" t="n">
        <v>2419</v>
      </c>
      <c r="G145" s="27" t="n">
        <v>3123</v>
      </c>
      <c r="H145" s="27">
        <f>G145-F145</f>
        <v/>
      </c>
      <c r="I145" s="11">
        <f>IF(F145=0,0,G145/F145-1)</f>
        <v/>
      </c>
    </row>
    <row r="146">
      <c r="A146" s="17" t="n"/>
      <c r="B146" s="31" t="inlineStr">
        <is>
          <t>Program 1100 Total</t>
        </is>
      </c>
      <c r="C146" s="32">
        <f>SUM(C125:C145)</f>
        <v/>
      </c>
      <c r="D146" s="32">
        <f>SUM(D125:D145)</f>
        <v/>
      </c>
      <c r="E146" s="32">
        <f>SUM(E125:E145)</f>
        <v/>
      </c>
      <c r="F146" s="32">
        <f>SUM(F125:F145)</f>
        <v/>
      </c>
      <c r="G146" s="32">
        <f>SUM(G125:G145)</f>
        <v/>
      </c>
      <c r="H146" s="32">
        <f>SUM(H125:H145)</f>
        <v/>
      </c>
      <c r="I146" s="32">
        <f>SUM(I125:I145)</f>
        <v/>
      </c>
    </row>
    <row r="147">
      <c r="A147" s="9" t="inlineStr">
        <is>
          <t>1000.4200.1000.53000.050</t>
        </is>
      </c>
      <c r="B147" s="9" t="inlineStr">
        <is>
          <t>Purchased Professional</t>
        </is>
      </c>
      <c r="C147" s="27" t="n">
        <v>25000</v>
      </c>
      <c r="D147" s="27" t="n">
        <v>25000</v>
      </c>
      <c r="E147" s="27" t="n">
        <v>25000</v>
      </c>
      <c r="F147" s="27" t="n">
        <v>25000</v>
      </c>
      <c r="G147" s="27" t="n">
        <v>25000</v>
      </c>
      <c r="H147" s="27">
        <f>G147-F147</f>
        <v/>
      </c>
      <c r="I147" s="11">
        <f>IF(F147=0,0,G147/F147-1)</f>
        <v/>
      </c>
    </row>
    <row r="148">
      <c r="A148" s="17" t="n"/>
      <c r="B148" s="33" t="inlineStr">
        <is>
          <t>Function 1000 Total</t>
        </is>
      </c>
      <c r="C148" s="34">
        <f>C146</f>
        <v/>
      </c>
      <c r="D148" s="34">
        <f>D146</f>
        <v/>
      </c>
      <c r="E148" s="34">
        <f>E146</f>
        <v/>
      </c>
      <c r="F148" s="34">
        <f>F146</f>
        <v/>
      </c>
      <c r="G148" s="34">
        <f>G146</f>
        <v/>
      </c>
      <c r="H148" s="34">
        <f>H146</f>
        <v/>
      </c>
      <c r="I148" s="34">
        <f>I146</f>
        <v/>
      </c>
    </row>
    <row r="149">
      <c r="A149" s="17" t="n"/>
      <c r="B149" s="20" t="inlineStr">
        <is>
          <t>Cost Center ('050',) Total</t>
        </is>
      </c>
      <c r="C149" s="35">
        <f>C148</f>
        <v/>
      </c>
      <c r="D149" s="35">
        <f>D148</f>
        <v/>
      </c>
      <c r="E149" s="35">
        <f>E148</f>
        <v/>
      </c>
      <c r="F149" s="35">
        <f>F148</f>
        <v/>
      </c>
      <c r="G149" s="35">
        <f>G148</f>
        <v/>
      </c>
      <c r="H149" s="35">
        <f>H148</f>
        <v/>
      </c>
      <c r="I149" s="35">
        <f>I148</f>
        <v/>
      </c>
    </row>
    <row r="151">
      <c r="A151" s="3" t="inlineStr">
        <is>
          <t>Cost Center: ('300',)</t>
        </is>
      </c>
    </row>
    <row r="152">
      <c r="A152" s="9" t="inlineStr">
        <is>
          <t>1000.1200.1000.51010.300</t>
        </is>
      </c>
      <c r="B152" s="9" t="inlineStr">
        <is>
          <t>Teacher Salaries</t>
        </is>
      </c>
      <c r="C152" s="27" t="n">
        <v>2250783</v>
      </c>
      <c r="D152" s="27" t="n">
        <v>2399543.8</v>
      </c>
      <c r="E152" s="27" t="n">
        <v>2564673</v>
      </c>
      <c r="F152" s="27" t="n">
        <v>2690866.22</v>
      </c>
      <c r="G152" s="27" t="n">
        <v>2887277</v>
      </c>
      <c r="H152" s="27">
        <f>G152-F152</f>
        <v/>
      </c>
      <c r="I152" s="11">
        <f>IF(F152=0,0,G152/F152-1)</f>
        <v/>
      </c>
    </row>
    <row r="153">
      <c r="A153" s="9" t="inlineStr">
        <is>
          <t>1000.1200.1000.51020.300</t>
        </is>
      </c>
      <c r="B153" s="9" t="inlineStr">
        <is>
          <t>Ed Tech Salaries</t>
        </is>
      </c>
      <c r="C153" s="27" t="n">
        <v>68198</v>
      </c>
      <c r="D153" s="27" t="n">
        <v>117511.55</v>
      </c>
      <c r="E153" s="27" t="n">
        <v>127025</v>
      </c>
      <c r="F153" s="27" t="n">
        <v>171639.32</v>
      </c>
      <c r="G153" s="27" t="n">
        <v>107193</v>
      </c>
      <c r="H153" s="27">
        <f>G153-F153</f>
        <v/>
      </c>
      <c r="I153" s="11">
        <f>IF(F153=0,0,G153/F153-1)</f>
        <v/>
      </c>
    </row>
    <row r="154">
      <c r="A154" s="9" t="inlineStr">
        <is>
          <t>1000.1200.1000.51230.300</t>
        </is>
      </c>
      <c r="B154" s="9" t="inlineStr">
        <is>
          <t>Substitute Wages</t>
        </is>
      </c>
      <c r="C154" s="27" t="n">
        <v>30000</v>
      </c>
      <c r="D154" s="27" t="n">
        <v>63085.8</v>
      </c>
      <c r="E154" s="27" t="n">
        <v>40000</v>
      </c>
      <c r="F154" s="27" t="n">
        <v>58933.18</v>
      </c>
      <c r="G154" s="27" t="n">
        <v>60000</v>
      </c>
      <c r="H154" s="27">
        <f>G154-F154</f>
        <v/>
      </c>
      <c r="I154" s="11">
        <f>IF(F154=0,0,G154/F154-1)</f>
        <v/>
      </c>
    </row>
    <row r="155">
      <c r="A155" s="9" t="inlineStr">
        <is>
          <t>1000.1200.1000.51500.300</t>
        </is>
      </c>
      <c r="B155" s="9" t="inlineStr">
        <is>
          <t>Stipends</t>
        </is>
      </c>
      <c r="C155" s="27" t="n">
        <v>14195</v>
      </c>
      <c r="D155" s="27" t="n">
        <v>375</v>
      </c>
      <c r="E155" s="27" t="n">
        <v>14621</v>
      </c>
      <c r="F155" s="27" t="n">
        <v>5708</v>
      </c>
      <c r="G155" s="27" t="n">
        <v>7200</v>
      </c>
      <c r="H155" s="27">
        <f>G155-F155</f>
        <v/>
      </c>
      <c r="I155" s="11">
        <f>IF(F155=0,0,G155/F155-1)</f>
        <v/>
      </c>
    </row>
    <row r="156">
      <c r="A156" s="9" t="inlineStr">
        <is>
          <t>1000.1200.1000.52000.300</t>
        </is>
      </c>
      <c r="B156" s="9" t="inlineStr">
        <is>
          <t>Stipend Benefits</t>
        </is>
      </c>
      <c r="C156" s="27" t="n">
        <v>710</v>
      </c>
      <c r="D156" s="27" t="n">
        <v>92.03</v>
      </c>
      <c r="E156" s="27" t="n">
        <v>731</v>
      </c>
      <c r="F156" s="27" t="n">
        <v>85.45</v>
      </c>
      <c r="G156" s="27" t="n">
        <v>420</v>
      </c>
      <c r="H156" s="27">
        <f>G156-F156</f>
        <v/>
      </c>
      <c r="I156" s="11">
        <f>IF(F156=0,0,G156/F156-1)</f>
        <v/>
      </c>
    </row>
    <row r="157">
      <c r="A157" s="9" t="inlineStr">
        <is>
          <t>1000.1200.1000.52010.300</t>
        </is>
      </c>
      <c r="B157" s="9" t="inlineStr">
        <is>
          <t>Teacher Benefits</t>
        </is>
      </c>
      <c r="C157" s="27" t="n">
        <v>727988</v>
      </c>
      <c r="D157" s="27" t="n">
        <v>594086.09</v>
      </c>
      <c r="E157" s="27" t="n">
        <v>631215</v>
      </c>
      <c r="F157" s="27" t="n">
        <v>616867.38</v>
      </c>
      <c r="G157" s="27" t="n">
        <v>693164</v>
      </c>
      <c r="H157" s="27">
        <f>G157-F157</f>
        <v/>
      </c>
      <c r="I157" s="11">
        <f>IF(F157=0,0,G157/F157-1)</f>
        <v/>
      </c>
    </row>
    <row r="158">
      <c r="A158" s="9" t="inlineStr">
        <is>
          <t>1000.1200.1000.52020.300</t>
        </is>
      </c>
      <c r="B158" s="9" t="inlineStr">
        <is>
          <t>Ed Tech Benefits</t>
        </is>
      </c>
      <c r="C158" s="27" t="n">
        <v>33204</v>
      </c>
      <c r="D158" s="27" t="n">
        <v>50268.5</v>
      </c>
      <c r="E158" s="27" t="n">
        <v>77480</v>
      </c>
      <c r="F158" s="27" t="n">
        <v>57825.68</v>
      </c>
      <c r="G158" s="27" t="n">
        <v>67381</v>
      </c>
      <c r="H158" s="27">
        <f>G158-F158</f>
        <v/>
      </c>
      <c r="I158" s="11">
        <f>IF(F158=0,0,G158/F158-1)</f>
        <v/>
      </c>
    </row>
    <row r="159">
      <c r="A159" s="9" t="inlineStr">
        <is>
          <t>1000.1200.1000.52030.300</t>
        </is>
      </c>
      <c r="B159" s="9" t="inlineStr">
        <is>
          <t>Substitute Benefits</t>
        </is>
      </c>
      <c r="C159" s="27" t="n">
        <v>1500</v>
      </c>
      <c r="D159" s="27" t="n">
        <v>4520.74</v>
      </c>
      <c r="E159" s="27" t="n">
        <v>2000</v>
      </c>
      <c r="F159" s="27" t="n">
        <v>2450.48</v>
      </c>
      <c r="G159" s="27" t="n">
        <v>3498</v>
      </c>
      <c r="H159" s="27">
        <f>G159-F159</f>
        <v/>
      </c>
      <c r="I159" s="11">
        <f>IF(F159=0,0,G159/F159-1)</f>
        <v/>
      </c>
    </row>
    <row r="160">
      <c r="A160" s="9" t="inlineStr">
        <is>
          <t>1000.1200.1000.52300.300</t>
        </is>
      </c>
      <c r="B160" s="9" t="inlineStr">
        <is>
          <t>Retirement</t>
        </is>
      </c>
      <c r="C160" s="27" t="n">
        <v>564</v>
      </c>
      <c r="D160" s="27" t="n">
        <v>18.72</v>
      </c>
      <c r="E160" s="27" t="n">
        <v>608</v>
      </c>
      <c r="F160" s="27" t="n">
        <v>12.49</v>
      </c>
      <c r="G160" s="27" t="n">
        <v>300</v>
      </c>
      <c r="H160" s="27">
        <f>G160-F160</f>
        <v/>
      </c>
      <c r="I160" s="11">
        <f>IF(F160=0,0,G160/F160-1)</f>
        <v/>
      </c>
    </row>
    <row r="161">
      <c r="A161" s="9" t="inlineStr">
        <is>
          <t>1000.1200.1000.52310.300</t>
        </is>
      </c>
      <c r="B161" s="9" t="inlineStr">
        <is>
          <t>Retirement</t>
        </is>
      </c>
      <c r="C161" s="27" t="n">
        <v>89356</v>
      </c>
      <c r="D161" s="27" t="n">
        <v>100499.7</v>
      </c>
      <c r="E161" s="27" t="n">
        <v>107106</v>
      </c>
      <c r="F161" s="27" t="n">
        <v>114086.67</v>
      </c>
      <c r="G161" s="27" t="n">
        <v>120111</v>
      </c>
      <c r="H161" s="27">
        <f>G161-F161</f>
        <v/>
      </c>
      <c r="I161" s="11">
        <f>IF(F161=0,0,G161/F161-1)</f>
        <v/>
      </c>
    </row>
    <row r="162">
      <c r="A162" s="9" t="inlineStr">
        <is>
          <t>1000.1200.1000.52320.300</t>
        </is>
      </c>
      <c r="B162" s="9" t="inlineStr">
        <is>
          <t>Retirement</t>
        </is>
      </c>
      <c r="C162" s="27" t="n">
        <v>2707</v>
      </c>
      <c r="D162" s="27" t="n">
        <v>2435.62</v>
      </c>
      <c r="E162" s="27" t="n">
        <v>3086</v>
      </c>
      <c r="F162" s="27" t="n">
        <v>6396.76</v>
      </c>
      <c r="G162" s="27" t="n">
        <v>4662</v>
      </c>
      <c r="H162" s="27">
        <f>G162-F162</f>
        <v/>
      </c>
      <c r="I162" s="11">
        <f>IF(F162=0,0,G162/F162-1)</f>
        <v/>
      </c>
    </row>
    <row r="163">
      <c r="A163" s="9" t="inlineStr">
        <is>
          <t>1000.1200.1000.52330.300</t>
        </is>
      </c>
      <c r="B163" s="9" t="inlineStr">
        <is>
          <t>Retirement</t>
        </is>
      </c>
      <c r="C163" s="27" t="n">
        <v>1191</v>
      </c>
      <c r="D163" s="27" t="n">
        <v>839.03</v>
      </c>
      <c r="E163" s="27" t="n">
        <v>1664</v>
      </c>
      <c r="F163" s="27" t="n">
        <v>1372.75</v>
      </c>
      <c r="G163" s="27" t="n">
        <v>2496</v>
      </c>
      <c r="H163" s="27">
        <f>G163-F163</f>
        <v/>
      </c>
      <c r="I163" s="11">
        <f>IF(F163=0,0,G163/F163-1)</f>
        <v/>
      </c>
    </row>
    <row r="164">
      <c r="A164" s="9" t="inlineStr">
        <is>
          <t>1000.1200.1000.53000.300</t>
        </is>
      </c>
      <c r="B164" s="9" t="inlineStr">
        <is>
          <t>School Resource Officer</t>
        </is>
      </c>
      <c r="C164" s="27" t="n">
        <v>30000</v>
      </c>
      <c r="D164" s="27" t="n">
        <v>30815.2</v>
      </c>
      <c r="E164" s="27" t="n">
        <v>30900</v>
      </c>
      <c r="F164" s="27" t="n">
        <v>32104.8</v>
      </c>
      <c r="G164" s="27" t="n">
        <v>31830</v>
      </c>
      <c r="H164" s="27">
        <f>G164-F164</f>
        <v/>
      </c>
      <c r="I164" s="11">
        <f>IF(F164=0,0,G164/F164-1)</f>
        <v/>
      </c>
    </row>
    <row r="165">
      <c r="A165" s="9" t="inlineStr">
        <is>
          <t>1000.1200.1000.53400.300</t>
        </is>
      </c>
      <c r="B165" s="9" t="inlineStr">
        <is>
          <t>Purchased Professional Services</t>
        </is>
      </c>
      <c r="C165" s="27" t="n">
        <v>70237</v>
      </c>
      <c r="D165" s="27" t="n">
        <v>51047.25</v>
      </c>
      <c r="E165" s="27" t="n">
        <v>51574</v>
      </c>
      <c r="F165" s="27" t="n">
        <v>21743.85</v>
      </c>
      <c r="G165" s="27" t="n">
        <v>43364</v>
      </c>
      <c r="H165" s="27">
        <f>G165-F165</f>
        <v/>
      </c>
      <c r="I165" s="11">
        <f>IF(F165=0,0,G165/F165-1)</f>
        <v/>
      </c>
    </row>
    <row r="166">
      <c r="A166" s="9" t="inlineStr">
        <is>
          <t>1000.1200.1000.54300.300</t>
        </is>
      </c>
      <c r="B166" s="9" t="inlineStr">
        <is>
          <t>Copier Repair/Maint</t>
        </is>
      </c>
      <c r="C166" s="27" t="n">
        <v>40000</v>
      </c>
      <c r="D166" s="27" t="n">
        <v>41246.02</v>
      </c>
      <c r="E166" s="27" t="n">
        <v>40000</v>
      </c>
      <c r="F166" s="27" t="n">
        <v>42666.75</v>
      </c>
      <c r="G166" s="27" t="n">
        <v>42000</v>
      </c>
      <c r="H166" s="27">
        <f>G166-F166</f>
        <v/>
      </c>
      <c r="I166" s="11">
        <f>IF(F166=0,0,G166/F166-1)</f>
        <v/>
      </c>
    </row>
    <row r="167">
      <c r="A167" s="9" t="inlineStr">
        <is>
          <t>1000.1200.1000.55610.300</t>
        </is>
      </c>
      <c r="B167" s="9" t="inlineStr">
        <is>
          <t>Secondary Tuition Paid To Other SAU</t>
        </is>
      </c>
      <c r="C167" s="27" t="n">
        <v>15000</v>
      </c>
      <c r="D167" s="27" t="n">
        <v>0</v>
      </c>
      <c r="E167" s="27" t="n">
        <v>15000</v>
      </c>
      <c r="F167" s="27" t="n">
        <v>0</v>
      </c>
      <c r="G167" s="27" t="n">
        <v>0</v>
      </c>
      <c r="H167" s="27">
        <f>G167-F167</f>
        <v/>
      </c>
      <c r="I167" s="11">
        <f>IF(F167=0,0,G167/F167-1)</f>
        <v/>
      </c>
    </row>
    <row r="168">
      <c r="A168" s="9" t="inlineStr">
        <is>
          <t>1000.1200.1000.55611.300</t>
        </is>
      </c>
      <c r="B168" s="9" t="inlineStr">
        <is>
          <t>16/20 SERVICES</t>
        </is>
      </c>
      <c r="C168" s="27" t="n">
        <v>0</v>
      </c>
      <c r="D168" s="27" t="n">
        <v>0</v>
      </c>
      <c r="E168" s="27" t="n">
        <v>0</v>
      </c>
      <c r="F168" s="27" t="n">
        <v>0</v>
      </c>
      <c r="G168" s="27" t="n">
        <v>0</v>
      </c>
      <c r="H168" s="27">
        <f>G168-F168</f>
        <v/>
      </c>
      <c r="I168" s="11">
        <f>IF(F168=0,0,G168/F168-1)</f>
        <v/>
      </c>
    </row>
    <row r="169">
      <c r="A169" s="9" t="inlineStr">
        <is>
          <t>1000.1200.1000.55630.300</t>
        </is>
      </c>
      <c r="B169" s="9" t="inlineStr">
        <is>
          <t>Secondary Tuition Paid To Private School</t>
        </is>
      </c>
      <c r="C169" s="27" t="n">
        <v>0</v>
      </c>
      <c r="D169" s="27" t="n">
        <v>15000</v>
      </c>
      <c r="E169" s="27" t="n">
        <v>0</v>
      </c>
      <c r="F169" s="27" t="n">
        <v>15000</v>
      </c>
      <c r="G169" s="27" t="n">
        <v>18000</v>
      </c>
      <c r="H169" s="27">
        <f>G169-F169</f>
        <v/>
      </c>
      <c r="I169" s="11">
        <f>IF(F169=0,0,G169/F169-1)</f>
        <v/>
      </c>
    </row>
    <row r="170">
      <c r="A170" s="9" t="inlineStr">
        <is>
          <t>1000.1200.1000.55800.300</t>
        </is>
      </c>
      <c r="B170" s="9" t="inlineStr">
        <is>
          <t>Travel</t>
        </is>
      </c>
      <c r="C170" s="27" t="n">
        <v>750</v>
      </c>
      <c r="D170" s="27" t="n">
        <v>1057.96</v>
      </c>
      <c r="E170" s="27" t="n">
        <v>2000</v>
      </c>
      <c r="F170" s="27" t="n">
        <v>469.68</v>
      </c>
      <c r="G170" s="27" t="n">
        <v>1490</v>
      </c>
      <c r="H170" s="27">
        <f>G170-F170</f>
        <v/>
      </c>
      <c r="I170" s="11">
        <f>IF(F170=0,0,G170/F170-1)</f>
        <v/>
      </c>
    </row>
    <row r="171">
      <c r="A171" s="9" t="inlineStr">
        <is>
          <t>1000.1200.1000.56000.300</t>
        </is>
      </c>
      <c r="B171" s="9" t="inlineStr">
        <is>
          <t>Supplies High School</t>
        </is>
      </c>
      <c r="C171" s="27" t="n">
        <v>0</v>
      </c>
      <c r="D171" s="27" t="n">
        <v>-750</v>
      </c>
      <c r="E171" s="27" t="n">
        <v>0</v>
      </c>
      <c r="F171" s="27" t="n">
        <v>0</v>
      </c>
      <c r="G171" s="27" t="n">
        <v>0</v>
      </c>
      <c r="H171" s="27">
        <f>G171-F171</f>
        <v/>
      </c>
      <c r="I171" s="11">
        <f>IF(F171=0,0,G171/F171-1)</f>
        <v/>
      </c>
    </row>
    <row r="172">
      <c r="A172" s="9" t="inlineStr">
        <is>
          <t>1000.1200.1000.56100.300</t>
        </is>
      </c>
      <c r="B172" s="9" t="inlineStr">
        <is>
          <t>Instructional Supplies High School</t>
        </is>
      </c>
      <c r="C172" s="27" t="n">
        <v>49361</v>
      </c>
      <c r="D172" s="27" t="n">
        <v>49648.11</v>
      </c>
      <c r="E172" s="27" t="n">
        <v>52198</v>
      </c>
      <c r="F172" s="27" t="n">
        <v>40211.58</v>
      </c>
      <c r="G172" s="27" t="n">
        <v>49306</v>
      </c>
      <c r="H172" s="27">
        <f>G172-F172</f>
        <v/>
      </c>
      <c r="I172" s="11">
        <f>IF(F172=0,0,G172/F172-1)</f>
        <v/>
      </c>
    </row>
    <row r="173">
      <c r="A173" s="9" t="inlineStr">
        <is>
          <t>1000.1200.1000.56400.300</t>
        </is>
      </c>
      <c r="B173" s="9" t="inlineStr">
        <is>
          <t>Books High School</t>
        </is>
      </c>
      <c r="C173" s="27" t="n">
        <v>10855</v>
      </c>
      <c r="D173" s="27" t="n">
        <v>10950.48</v>
      </c>
      <c r="E173" s="27" t="n">
        <v>11002</v>
      </c>
      <c r="F173" s="27" t="n">
        <v>6753.91</v>
      </c>
      <c r="G173" s="27" t="n">
        <v>21105</v>
      </c>
      <c r="H173" s="27">
        <f>G173-F173</f>
        <v/>
      </c>
      <c r="I173" s="11">
        <f>IF(F173=0,0,G173/F173-1)</f>
        <v/>
      </c>
    </row>
    <row r="174">
      <c r="A174" s="9" t="inlineStr">
        <is>
          <t>1000.1200.1000.57300.300</t>
        </is>
      </c>
      <c r="B174" s="9" t="inlineStr">
        <is>
          <t>Equipment High School</t>
        </is>
      </c>
      <c r="C174" s="27" t="n">
        <v>61794</v>
      </c>
      <c r="D174" s="27" t="n">
        <v>52213.85</v>
      </c>
      <c r="E174" s="27" t="n">
        <v>34808</v>
      </c>
      <c r="F174" s="27" t="n">
        <v>18914.96</v>
      </c>
      <c r="G174" s="27" t="n">
        <v>12988</v>
      </c>
      <c r="H174" s="27">
        <f>G174-F174</f>
        <v/>
      </c>
      <c r="I174" s="11">
        <f>IF(F174=0,0,G174/F174-1)</f>
        <v/>
      </c>
    </row>
    <row r="175">
      <c r="A175" s="17" t="n"/>
      <c r="B175" s="31" t="inlineStr">
        <is>
          <t>Program 1200 Total</t>
        </is>
      </c>
      <c r="C175" s="32">
        <f>SUM(C152:C174)</f>
        <v/>
      </c>
      <c r="D175" s="32">
        <f>SUM(D152:D174)</f>
        <v/>
      </c>
      <c r="E175" s="32">
        <f>SUM(E152:E174)</f>
        <v/>
      </c>
      <c r="F175" s="32">
        <f>SUM(F152:F174)</f>
        <v/>
      </c>
      <c r="G175" s="32">
        <f>SUM(G152:G174)</f>
        <v/>
      </c>
      <c r="H175" s="32">
        <f>SUM(H152:H174)</f>
        <v/>
      </c>
      <c r="I175" s="32">
        <f>SUM(I152:I174)</f>
        <v/>
      </c>
    </row>
    <row r="176">
      <c r="A176" s="9" t="inlineStr">
        <is>
          <t>1000.4200.1000.53000.300</t>
        </is>
      </c>
      <c r="B176" s="9" t="inlineStr">
        <is>
          <t>JMG</t>
        </is>
      </c>
      <c r="C176" s="27" t="n">
        <v>25000</v>
      </c>
      <c r="D176" s="27" t="n">
        <v>25000</v>
      </c>
      <c r="E176" s="27" t="n">
        <v>25000</v>
      </c>
      <c r="F176" s="27" t="n">
        <v>25000</v>
      </c>
      <c r="G176" s="27" t="n">
        <v>25000</v>
      </c>
      <c r="H176" s="27">
        <f>G176-F176</f>
        <v/>
      </c>
      <c r="I176" s="11">
        <f>IF(F176=0,0,G176/F176-1)</f>
        <v/>
      </c>
    </row>
    <row r="177">
      <c r="A177" s="17" t="n"/>
      <c r="B177" s="33" t="inlineStr">
        <is>
          <t>Function 1000 Total</t>
        </is>
      </c>
      <c r="C177" s="34">
        <f>C175</f>
        <v/>
      </c>
      <c r="D177" s="34">
        <f>D175</f>
        <v/>
      </c>
      <c r="E177" s="34">
        <f>E175</f>
        <v/>
      </c>
      <c r="F177" s="34">
        <f>F175</f>
        <v/>
      </c>
      <c r="G177" s="34">
        <f>G175</f>
        <v/>
      </c>
      <c r="H177" s="34">
        <f>H175</f>
        <v/>
      </c>
      <c r="I177" s="34">
        <f>I175</f>
        <v/>
      </c>
    </row>
    <row r="178">
      <c r="A178" s="17" t="n"/>
      <c r="B178" s="20" t="inlineStr">
        <is>
          <t>Cost Center ('300',) Total</t>
        </is>
      </c>
      <c r="C178" s="35">
        <f>C177</f>
        <v/>
      </c>
      <c r="D178" s="35">
        <f>D177</f>
        <v/>
      </c>
      <c r="E178" s="35">
        <f>E177</f>
        <v/>
      </c>
      <c r="F178" s="35">
        <f>F177</f>
        <v/>
      </c>
      <c r="G178" s="35">
        <f>G177</f>
        <v/>
      </c>
      <c r="H178" s="35">
        <f>H177</f>
        <v/>
      </c>
      <c r="I178" s="35">
        <f>I177</f>
        <v/>
      </c>
    </row>
    <row r="180">
      <c r="A180" s="3" t="inlineStr">
        <is>
          <t>Cost Center: ('900',)</t>
        </is>
      </c>
    </row>
    <row r="181">
      <c r="A181" s="9" t="inlineStr">
        <is>
          <t>1000.1100.1000.59000.900</t>
        </is>
      </c>
      <c r="B181" s="9" t="inlineStr">
        <is>
          <t>Contingency</t>
        </is>
      </c>
      <c r="C181" s="27" t="n">
        <v>175000</v>
      </c>
      <c r="D181" s="27" t="n">
        <v>0</v>
      </c>
      <c r="E181" s="27" t="n">
        <v>175000</v>
      </c>
      <c r="F181" s="27" t="n">
        <v>0</v>
      </c>
      <c r="G181" s="27" t="n">
        <v>0</v>
      </c>
      <c r="H181" s="27">
        <f>G181-F181</f>
        <v/>
      </c>
      <c r="I181" s="11">
        <f>IF(F181=0,0,G181/F181-1)</f>
        <v/>
      </c>
    </row>
    <row r="182">
      <c r="A182" s="3" t="inlineStr">
        <is>
          <t>Cost Center: ('950',)</t>
        </is>
      </c>
    </row>
    <row r="183">
      <c r="A183" s="9" t="inlineStr">
        <is>
          <t>1000.1100.1000.59000.950</t>
        </is>
      </c>
      <c r="B183" s="9" t="inlineStr">
        <is>
          <t>CONTINGENCY</t>
        </is>
      </c>
      <c r="C183" s="27" t="n">
        <v>0</v>
      </c>
      <c r="D183" s="27" t="n">
        <v>0</v>
      </c>
      <c r="E183" s="27" t="n">
        <v>0</v>
      </c>
      <c r="F183" s="27" t="n">
        <v>0</v>
      </c>
      <c r="G183" s="27" t="n">
        <v>159039</v>
      </c>
      <c r="H183" s="27">
        <f>G183-F183</f>
        <v/>
      </c>
      <c r="I183" s="11">
        <f>IF(F183=0,0,G183/F183-1)</f>
        <v/>
      </c>
    </row>
    <row r="184">
      <c r="A184" s="9" t="inlineStr">
        <is>
          <t>1000.4100.1000.51010.950</t>
        </is>
      </c>
      <c r="B184" s="9" t="inlineStr">
        <is>
          <t>Teachers Salary</t>
        </is>
      </c>
      <c r="C184" s="27" t="n">
        <v>44841</v>
      </c>
      <c r="D184" s="27" t="n">
        <v>47921.3</v>
      </c>
      <c r="E184" s="27" t="n">
        <v>50827</v>
      </c>
      <c r="F184" s="27" t="n">
        <v>52617.4</v>
      </c>
      <c r="G184" s="27" t="n">
        <v>20089</v>
      </c>
      <c r="H184" s="27">
        <f>G184-F184</f>
        <v/>
      </c>
      <c r="I184" s="11">
        <f>IF(F184=0,0,G184/F184-1)</f>
        <v/>
      </c>
    </row>
    <row r="185">
      <c r="A185" s="9" t="inlineStr">
        <is>
          <t>1000.4100.1000.52010.950</t>
        </is>
      </c>
      <c r="B185" s="9" t="inlineStr">
        <is>
          <t>Teacher Benefits</t>
        </is>
      </c>
      <c r="C185" s="27" t="n">
        <v>10798</v>
      </c>
      <c r="D185" s="27" t="n">
        <v>8024.46</v>
      </c>
      <c r="E185" s="27" t="n">
        <v>8124</v>
      </c>
      <c r="F185" s="27" t="n">
        <v>7980.55</v>
      </c>
      <c r="G185" s="27" t="n">
        <v>3098</v>
      </c>
      <c r="H185" s="27">
        <f>G185-F185</f>
        <v/>
      </c>
      <c r="I185" s="11">
        <f>IF(F185=0,0,G185/F185-1)</f>
        <v/>
      </c>
    </row>
    <row r="186">
      <c r="A186" s="9" t="inlineStr">
        <is>
          <t>1000.4100.1000.52310.950</t>
        </is>
      </c>
      <c r="B186" s="9" t="inlineStr">
        <is>
          <t>Retirement</t>
        </is>
      </c>
      <c r="C186" s="27" t="n">
        <v>1780</v>
      </c>
      <c r="D186" s="27" t="n">
        <v>1916.6</v>
      </c>
      <c r="E186" s="27" t="n">
        <v>2114</v>
      </c>
      <c r="F186" s="27" t="n">
        <v>2189.02</v>
      </c>
      <c r="G186" s="27" t="n">
        <v>836</v>
      </c>
      <c r="H186" s="27">
        <f>G186-F186</f>
        <v/>
      </c>
      <c r="I186" s="11">
        <f>IF(F186=0,0,G186/F186-1)</f>
        <v/>
      </c>
    </row>
    <row r="187">
      <c r="A187" s="9" t="inlineStr">
        <is>
          <t>1000.4100.1000.53000.950</t>
        </is>
      </c>
      <c r="B187" s="9" t="inlineStr">
        <is>
          <t>Purchased Professional Services</t>
        </is>
      </c>
      <c r="C187" s="27" t="n">
        <v>0</v>
      </c>
      <c r="D187" s="27" t="n">
        <v>0</v>
      </c>
      <c r="E187" s="27" t="n">
        <v>0</v>
      </c>
      <c r="F187" s="27" t="n">
        <v>0</v>
      </c>
      <c r="G187" s="27" t="n">
        <v>200</v>
      </c>
      <c r="H187" s="27">
        <f>G187-F187</f>
        <v/>
      </c>
      <c r="I187" s="11">
        <f>IF(F187=0,0,G187/F187-1)</f>
        <v/>
      </c>
    </row>
    <row r="188">
      <c r="A188" s="9" t="inlineStr">
        <is>
          <t>1000.4100.1000.53400.950</t>
        </is>
      </c>
      <c r="B188" s="9" t="inlineStr">
        <is>
          <t>Professional Services</t>
        </is>
      </c>
      <c r="C188" s="27" t="n">
        <v>0</v>
      </c>
      <c r="D188" s="27" t="n">
        <v>0</v>
      </c>
      <c r="E188" s="27" t="n">
        <v>0</v>
      </c>
      <c r="F188" s="27" t="n">
        <v>642.7</v>
      </c>
      <c r="G188" s="27" t="n">
        <v>0</v>
      </c>
      <c r="H188" s="27">
        <f>G188-F188</f>
        <v/>
      </c>
      <c r="I188" s="11">
        <f>IF(F188=0,0,G188/F188-1)</f>
        <v/>
      </c>
    </row>
    <row r="189">
      <c r="A189" s="9" t="inlineStr">
        <is>
          <t>1000.4100.1000.55800.950</t>
        </is>
      </c>
      <c r="B189" s="9" t="inlineStr">
        <is>
          <t>Travel</t>
        </is>
      </c>
      <c r="C189" s="27" t="n">
        <v>310</v>
      </c>
      <c r="D189" s="27" t="n">
        <v>169.77</v>
      </c>
      <c r="E189" s="27" t="n">
        <v>450</v>
      </c>
      <c r="F189" s="27" t="n">
        <v>164.29</v>
      </c>
      <c r="G189" s="27" t="n">
        <v>170</v>
      </c>
      <c r="H189" s="27">
        <f>G189-F189</f>
        <v/>
      </c>
      <c r="I189" s="11">
        <f>IF(F189=0,0,G189/F189-1)</f>
        <v/>
      </c>
    </row>
    <row r="190">
      <c r="A190" s="9" t="inlineStr">
        <is>
          <t>1000.4100.1000.56100.950</t>
        </is>
      </c>
      <c r="B190" s="9" t="inlineStr">
        <is>
          <t>Instructional Supplies</t>
        </is>
      </c>
      <c r="C190" s="27" t="n">
        <v>0</v>
      </c>
      <c r="D190" s="27" t="n">
        <v>236.58</v>
      </c>
      <c r="E190" s="27" t="n">
        <v>650</v>
      </c>
      <c r="F190" s="27" t="n">
        <v>264.25</v>
      </c>
      <c r="G190" s="27" t="n">
        <v>350</v>
      </c>
      <c r="H190" s="27">
        <f>G190-F190</f>
        <v/>
      </c>
      <c r="I190" s="11">
        <f>IF(F190=0,0,G190/F190-1)</f>
        <v/>
      </c>
    </row>
    <row r="191">
      <c r="A191" s="17" t="n"/>
      <c r="B191" s="31" t="inlineStr">
        <is>
          <t>Program 4100 Total</t>
        </is>
      </c>
      <c r="C191" s="32">
        <f>SUM(C184:C190)</f>
        <v/>
      </c>
      <c r="D191" s="32">
        <f>SUM(D184:D190)</f>
        <v/>
      </c>
      <c r="E191" s="32">
        <f>SUM(E184:E190)</f>
        <v/>
      </c>
      <c r="F191" s="32">
        <f>SUM(F184:F190)</f>
        <v/>
      </c>
      <c r="G191" s="32">
        <f>SUM(G184:G190)</f>
        <v/>
      </c>
      <c r="H191" s="32">
        <f>SUM(H184:H190)</f>
        <v/>
      </c>
      <c r="I191" s="32">
        <f>SUM(I184:I190)</f>
        <v/>
      </c>
    </row>
    <row r="192">
      <c r="A192" s="9" t="inlineStr">
        <is>
          <t>1000.4900.1000.51010.950</t>
        </is>
      </c>
      <c r="B192" s="9" t="inlineStr">
        <is>
          <t>Teacher Salaries</t>
        </is>
      </c>
      <c r="C192" s="27" t="n">
        <v>137141</v>
      </c>
      <c r="D192" s="27" t="n">
        <v>121382.96</v>
      </c>
      <c r="E192" s="27" t="n">
        <v>165231</v>
      </c>
      <c r="F192" s="27" t="n">
        <v>126717.76</v>
      </c>
      <c r="G192" s="27" t="n">
        <v>170286</v>
      </c>
      <c r="H192" s="27">
        <f>G192-F192</f>
        <v/>
      </c>
      <c r="I192" s="11">
        <f>IF(F192=0,0,G192/F192-1)</f>
        <v/>
      </c>
    </row>
    <row r="193">
      <c r="A193" s="9" t="inlineStr">
        <is>
          <t>1000.4900.1000.51500.950</t>
        </is>
      </c>
      <c r="B193" s="9" t="inlineStr">
        <is>
          <t>Stipends</t>
        </is>
      </c>
      <c r="C193" s="27" t="n">
        <v>13095</v>
      </c>
      <c r="D193" s="27" t="n">
        <v>5000</v>
      </c>
      <c r="E193" s="27" t="n">
        <v>12744</v>
      </c>
      <c r="F193" s="27" t="n">
        <v>3000</v>
      </c>
      <c r="G193" s="27" t="n">
        <v>15444</v>
      </c>
      <c r="H193" s="27">
        <f>G193-F193</f>
        <v/>
      </c>
      <c r="I193" s="11">
        <f>IF(F193=0,0,G193/F193-1)</f>
        <v/>
      </c>
    </row>
    <row r="194">
      <c r="A194" s="9" t="inlineStr">
        <is>
          <t>1000.4900.1000.52000.950</t>
        </is>
      </c>
      <c r="B194" s="9" t="inlineStr">
        <is>
          <t>Stipends</t>
        </is>
      </c>
      <c r="C194" s="27" t="n">
        <v>655</v>
      </c>
      <c r="D194" s="27" t="n">
        <v>28.5</v>
      </c>
      <c r="E194" s="27" t="n">
        <v>637</v>
      </c>
      <c r="F194" s="27" t="n">
        <v>15</v>
      </c>
      <c r="G194" s="27" t="n">
        <v>772</v>
      </c>
      <c r="H194" s="27">
        <f>G194-F194</f>
        <v/>
      </c>
      <c r="I194" s="11">
        <f>IF(F194=0,0,G194/F194-1)</f>
        <v/>
      </c>
    </row>
    <row r="195">
      <c r="A195" s="9" t="inlineStr">
        <is>
          <t>1000.4900.1000.52010.950</t>
        </is>
      </c>
      <c r="B195" s="9" t="inlineStr">
        <is>
          <t>Teacher Benefits</t>
        </is>
      </c>
      <c r="C195" s="27" t="n">
        <v>48435</v>
      </c>
      <c r="D195" s="27" t="n">
        <v>29627.92</v>
      </c>
      <c r="E195" s="27" t="n">
        <v>46178</v>
      </c>
      <c r="F195" s="27" t="n">
        <v>29456.62</v>
      </c>
      <c r="G195" s="27" t="n">
        <v>46496</v>
      </c>
      <c r="H195" s="27">
        <f>G195-F195</f>
        <v/>
      </c>
      <c r="I195" s="11">
        <f>IF(F195=0,0,G195/F195-1)</f>
        <v/>
      </c>
    </row>
    <row r="196">
      <c r="A196" s="9" t="inlineStr">
        <is>
          <t>1000.4900.1000.52300.950</t>
        </is>
      </c>
      <c r="B196" s="9" t="inlineStr">
        <is>
          <t>Retirement</t>
        </is>
      </c>
      <c r="C196" s="27" t="n">
        <v>520</v>
      </c>
      <c r="D196" s="27" t="n">
        <v>0</v>
      </c>
      <c r="E196" s="27" t="n">
        <v>530</v>
      </c>
      <c r="F196" s="27" t="n">
        <v>0</v>
      </c>
      <c r="G196" s="27" t="n">
        <v>642</v>
      </c>
      <c r="H196" s="27">
        <f>G196-F196</f>
        <v/>
      </c>
      <c r="I196" s="11">
        <f>IF(F196=0,0,G196/F196-1)</f>
        <v/>
      </c>
    </row>
    <row r="197">
      <c r="A197" s="9" t="inlineStr">
        <is>
          <t>1000.4900.1000.52310.950</t>
        </is>
      </c>
      <c r="B197" s="9" t="inlineStr">
        <is>
          <t>Retirement</t>
        </is>
      </c>
      <c r="C197" s="27" t="n">
        <v>5444</v>
      </c>
      <c r="D197" s="27" t="n">
        <v>5242.59</v>
      </c>
      <c r="E197" s="27" t="n">
        <v>6874</v>
      </c>
      <c r="F197" s="27" t="n">
        <v>5580.2</v>
      </c>
      <c r="G197" s="27" t="n">
        <v>7084</v>
      </c>
      <c r="H197" s="27">
        <f>G197-F197</f>
        <v/>
      </c>
      <c r="I197" s="11">
        <f>IF(F197=0,0,G197/F197-1)</f>
        <v/>
      </c>
    </row>
    <row r="198">
      <c r="A198" s="9" t="inlineStr">
        <is>
          <t>1000.4900.1000.53000.950</t>
        </is>
      </c>
      <c r="B198" s="9" t="inlineStr">
        <is>
          <t>Purchased Professional Services</t>
        </is>
      </c>
      <c r="C198" s="27" t="n">
        <v>0</v>
      </c>
      <c r="D198" s="27" t="n">
        <v>0</v>
      </c>
      <c r="E198" s="27" t="n">
        <v>0</v>
      </c>
      <c r="F198" s="27" t="n">
        <v>0</v>
      </c>
      <c r="G198" s="27" t="n">
        <v>4167</v>
      </c>
      <c r="H198" s="27">
        <f>G198-F198</f>
        <v/>
      </c>
      <c r="I198" s="11">
        <f>IF(F198=0,0,G198/F198-1)</f>
        <v/>
      </c>
    </row>
    <row r="199">
      <c r="A199" s="9" t="inlineStr">
        <is>
          <t>1000.4900.1000.53400.950</t>
        </is>
      </c>
      <c r="B199" s="9" t="inlineStr">
        <is>
          <t>Professional Services Testing</t>
        </is>
      </c>
      <c r="C199" s="27" t="n">
        <v>0</v>
      </c>
      <c r="D199" s="27" t="n">
        <v>176.92</v>
      </c>
      <c r="E199" s="27" t="n">
        <v>0</v>
      </c>
      <c r="F199" s="27" t="n">
        <v>1403.64</v>
      </c>
      <c r="G199" s="27" t="n">
        <v>0</v>
      </c>
      <c r="H199" s="27">
        <f>G199-F199</f>
        <v/>
      </c>
      <c r="I199" s="11">
        <f>IF(F199=0,0,G199/F199-1)</f>
        <v/>
      </c>
    </row>
    <row r="200">
      <c r="A200" s="9" t="inlineStr">
        <is>
          <t>1000.4900.1000.53440.950</t>
        </is>
      </c>
      <c r="B200" s="9" t="inlineStr">
        <is>
          <t>GaTE K-8 Professional Servies</t>
        </is>
      </c>
      <c r="C200" s="27" t="n">
        <v>4020</v>
      </c>
      <c r="D200" s="27" t="n">
        <v>4107.18</v>
      </c>
      <c r="E200" s="27" t="n">
        <v>4120</v>
      </c>
      <c r="F200" s="27" t="n">
        <v>1410</v>
      </c>
      <c r="G200" s="27" t="n">
        <v>0</v>
      </c>
      <c r="H200" s="27">
        <f>G200-F200</f>
        <v/>
      </c>
      <c r="I200" s="11">
        <f>IF(F200=0,0,G200/F200-1)</f>
        <v/>
      </c>
    </row>
    <row r="201">
      <c r="A201" s="9" t="inlineStr">
        <is>
          <t>1000.4900.1000.55800.950</t>
        </is>
      </c>
      <c r="B201" s="9" t="inlineStr">
        <is>
          <t>Travel</t>
        </is>
      </c>
      <c r="C201" s="27" t="n">
        <v>700</v>
      </c>
      <c r="D201" s="27" t="n">
        <v>431.08</v>
      </c>
      <c r="E201" s="27" t="n">
        <v>1218</v>
      </c>
      <c r="F201" s="27" t="n">
        <v>448.09</v>
      </c>
      <c r="G201" s="27" t="n">
        <v>908</v>
      </c>
      <c r="H201" s="27">
        <f>G201-F201</f>
        <v/>
      </c>
      <c r="I201" s="11">
        <f>IF(F201=0,0,G201/F201-1)</f>
        <v/>
      </c>
    </row>
    <row r="202">
      <c r="A202" s="9" t="inlineStr">
        <is>
          <t>1000.4900.1000.56100.950</t>
        </is>
      </c>
      <c r="B202" s="9" t="inlineStr">
        <is>
          <t>GaTE K-8 Instructional Supplies</t>
        </is>
      </c>
      <c r="C202" s="27" t="n">
        <v>5298</v>
      </c>
      <c r="D202" s="27" t="n">
        <v>1223.01</v>
      </c>
      <c r="E202" s="27" t="n">
        <v>4827</v>
      </c>
      <c r="F202" s="27" t="n">
        <v>1780.34</v>
      </c>
      <c r="G202" s="27" t="n">
        <v>4419</v>
      </c>
      <c r="H202" s="27">
        <f>G202-F202</f>
        <v/>
      </c>
      <c r="I202" s="11">
        <f>IF(F202=0,0,G202/F202-1)</f>
        <v/>
      </c>
    </row>
    <row r="203">
      <c r="A203" s="9" t="inlineStr">
        <is>
          <t>1000.4900.1000.56400.950</t>
        </is>
      </c>
      <c r="B203" s="9" t="inlineStr">
        <is>
          <t>GaTE K-8 Books</t>
        </is>
      </c>
      <c r="C203" s="27" t="n">
        <v>1200</v>
      </c>
      <c r="D203" s="27" t="n">
        <v>710.88</v>
      </c>
      <c r="E203" s="27" t="n">
        <v>1200</v>
      </c>
      <c r="F203" s="27" t="n">
        <v>494.96</v>
      </c>
      <c r="G203" s="27" t="n">
        <v>1200</v>
      </c>
      <c r="H203" s="27">
        <f>G203-F203</f>
        <v/>
      </c>
      <c r="I203" s="11">
        <f>IF(F203=0,0,G203/F203-1)</f>
        <v/>
      </c>
    </row>
    <row r="204">
      <c r="A204" s="9" t="inlineStr">
        <is>
          <t>1000.4900.1000.58100.950</t>
        </is>
      </c>
      <c r="B204" s="9" t="inlineStr">
        <is>
          <t>Dues and Fees</t>
        </is>
      </c>
      <c r="C204" s="27" t="n">
        <v>0</v>
      </c>
      <c r="D204" s="27" t="n">
        <v>0</v>
      </c>
      <c r="E204" s="27" t="n">
        <v>0</v>
      </c>
      <c r="F204" s="27" t="n">
        <v>0</v>
      </c>
      <c r="G204" s="27" t="n">
        <v>2692</v>
      </c>
      <c r="H204" s="27">
        <f>G204-F204</f>
        <v/>
      </c>
      <c r="I204" s="11">
        <f>IF(F204=0,0,G204/F204-1)</f>
        <v/>
      </c>
    </row>
    <row r="205">
      <c r="A205" s="17" t="n"/>
      <c r="B205" s="31" t="inlineStr">
        <is>
          <t>Program 4900 Total</t>
        </is>
      </c>
      <c r="C205" s="32">
        <f>SUM(C192:C204)</f>
        <v/>
      </c>
      <c r="D205" s="32">
        <f>SUM(D192:D204)</f>
        <v/>
      </c>
      <c r="E205" s="32">
        <f>SUM(E192:E204)</f>
        <v/>
      </c>
      <c r="F205" s="32">
        <f>SUM(F192:F204)</f>
        <v/>
      </c>
      <c r="G205" s="32">
        <f>SUM(G192:G204)</f>
        <v/>
      </c>
      <c r="H205" s="32">
        <f>SUM(H192:H204)</f>
        <v/>
      </c>
      <c r="I205" s="32">
        <f>SUM(I192:I204)</f>
        <v/>
      </c>
    </row>
    <row r="206">
      <c r="A206" s="17" t="n"/>
      <c r="B206" s="33" t="inlineStr">
        <is>
          <t>Function 1000 Total</t>
        </is>
      </c>
      <c r="C206" s="34">
        <f>C191+C205</f>
        <v/>
      </c>
      <c r="D206" s="34">
        <f>D191+D205</f>
        <v/>
      </c>
      <c r="E206" s="34">
        <f>E191+E205</f>
        <v/>
      </c>
      <c r="F206" s="34">
        <f>F191+F205</f>
        <v/>
      </c>
      <c r="G206" s="34">
        <f>G191+G205</f>
        <v/>
      </c>
      <c r="H206" s="34">
        <f>H191+H205</f>
        <v/>
      </c>
      <c r="I206" s="34">
        <f>I191+I205</f>
        <v/>
      </c>
    </row>
    <row r="207">
      <c r="A207" s="17" t="n"/>
      <c r="B207" s="20" t="inlineStr">
        <is>
          <t>Cost Center ('950',) Total</t>
        </is>
      </c>
      <c r="C207" s="35">
        <f>C206</f>
        <v/>
      </c>
      <c r="D207" s="35">
        <f>D206</f>
        <v/>
      </c>
      <c r="E207" s="35">
        <f>E206</f>
        <v/>
      </c>
      <c r="F207" s="35">
        <f>F206</f>
        <v/>
      </c>
      <c r="G207" s="35">
        <f>G206</f>
        <v/>
      </c>
      <c r="H207" s="35">
        <f>H206</f>
        <v/>
      </c>
      <c r="I207" s="35">
        <f>I206</f>
        <v/>
      </c>
    </row>
    <row r="209">
      <c r="A209" s="3" t="inlineStr">
        <is>
          <t>Cost Center: ('990',)</t>
        </is>
      </c>
    </row>
    <row r="210">
      <c r="A210" s="9" t="inlineStr">
        <is>
          <t>1000.4100.1000.51010.990</t>
        </is>
      </c>
      <c r="B210" s="9" t="inlineStr">
        <is>
          <t>Teacher Salaries</t>
        </is>
      </c>
      <c r="C210" s="27" t="n">
        <v>11210</v>
      </c>
      <c r="D210" s="27" t="n">
        <v>11980.27</v>
      </c>
      <c r="E210" s="27" t="n">
        <v>12707</v>
      </c>
      <c r="F210" s="27" t="n">
        <v>12706.98</v>
      </c>
      <c r="G210" s="27" t="n">
        <v>13392</v>
      </c>
      <c r="H210" s="27">
        <f>G210-F210</f>
        <v/>
      </c>
      <c r="I210" s="11">
        <f>IF(F210=0,0,G210/F210-1)</f>
        <v/>
      </c>
    </row>
    <row r="211">
      <c r="A211" s="9" t="inlineStr">
        <is>
          <t>1000.4100.1000.52010.990</t>
        </is>
      </c>
      <c r="B211" s="9" t="inlineStr">
        <is>
          <t>Teacher Benefits</t>
        </is>
      </c>
      <c r="C211" s="27" t="n">
        <v>2700</v>
      </c>
      <c r="D211" s="27" t="n">
        <v>2006.25</v>
      </c>
      <c r="E211" s="27" t="n">
        <v>2031</v>
      </c>
      <c r="F211" s="27" t="n">
        <v>1940.39</v>
      </c>
      <c r="G211" s="27" t="n">
        <v>2066</v>
      </c>
      <c r="H211" s="27">
        <f>G211-F211</f>
        <v/>
      </c>
      <c r="I211" s="11">
        <f>IF(F211=0,0,G211/F211-1)</f>
        <v/>
      </c>
    </row>
    <row r="212">
      <c r="A212" s="9" t="inlineStr">
        <is>
          <t>1000.4100.1000.52310.990</t>
        </is>
      </c>
      <c r="B212" s="9" t="inlineStr">
        <is>
          <t>Retirement</t>
        </is>
      </c>
      <c r="C212" s="27" t="n">
        <v>445</v>
      </c>
      <c r="D212" s="27" t="n">
        <v>479.05</v>
      </c>
      <c r="E212" s="27" t="n">
        <v>529</v>
      </c>
      <c r="F212" s="27" t="n">
        <v>528.58</v>
      </c>
      <c r="G212" s="27" t="n">
        <v>557</v>
      </c>
      <c r="H212" s="27">
        <f>G212-F212</f>
        <v/>
      </c>
      <c r="I212" s="11">
        <f>IF(F212=0,0,G212/F212-1)</f>
        <v/>
      </c>
    </row>
    <row r="213">
      <c r="A213" s="9" t="inlineStr">
        <is>
          <t>1000.4100.1000.53000.990</t>
        </is>
      </c>
      <c r="B213" s="9" t="inlineStr">
        <is>
          <t>Purchased Professional Services</t>
        </is>
      </c>
      <c r="C213" s="27" t="n">
        <v>0</v>
      </c>
      <c r="D213" s="27" t="n">
        <v>0</v>
      </c>
      <c r="E213" s="27" t="n">
        <v>0</v>
      </c>
      <c r="F213" s="27" t="n">
        <v>0</v>
      </c>
      <c r="G213" s="27" t="n">
        <v>200</v>
      </c>
      <c r="H213" s="27">
        <f>G213-F213</f>
        <v/>
      </c>
      <c r="I213" s="11">
        <f>IF(F213=0,0,G213/F213-1)</f>
        <v/>
      </c>
    </row>
    <row r="214">
      <c r="A214" s="9" t="inlineStr">
        <is>
          <t>1000.4100.1000.55800.990</t>
        </is>
      </c>
      <c r="B214" s="9" t="inlineStr">
        <is>
          <t>Travel-Other</t>
        </is>
      </c>
      <c r="C214" s="27" t="n">
        <v>200</v>
      </c>
      <c r="D214" s="27" t="n">
        <v>140.4</v>
      </c>
      <c r="E214" s="27" t="n">
        <v>450</v>
      </c>
      <c r="F214" s="27" t="n">
        <v>29.52</v>
      </c>
      <c r="G214" s="27" t="n">
        <v>140</v>
      </c>
      <c r="H214" s="27">
        <f>G214-F214</f>
        <v/>
      </c>
      <c r="I214" s="11">
        <f>IF(F214=0,0,G214/F214-1)</f>
        <v/>
      </c>
    </row>
    <row r="215">
      <c r="A215" s="9" t="inlineStr">
        <is>
          <t>1000.4100.1000.56100.990</t>
        </is>
      </c>
      <c r="B215" s="9" t="inlineStr">
        <is>
          <t>Instructional Supplies</t>
        </is>
      </c>
      <c r="C215" s="27" t="n">
        <v>0</v>
      </c>
      <c r="D215" s="27" t="n">
        <v>0</v>
      </c>
      <c r="E215" s="27" t="n">
        <v>650</v>
      </c>
      <c r="F215" s="27" t="n">
        <v>590.39</v>
      </c>
      <c r="G215" s="27" t="n">
        <v>400</v>
      </c>
      <c r="H215" s="27">
        <f>G215-F215</f>
        <v/>
      </c>
      <c r="I215" s="11">
        <f>IF(F215=0,0,G215/F215-1)</f>
        <v/>
      </c>
    </row>
    <row r="216">
      <c r="A216" s="17" t="n"/>
      <c r="B216" s="31" t="inlineStr">
        <is>
          <t>Program 4100 Total</t>
        </is>
      </c>
      <c r="C216" s="32">
        <f>SUM(C210:C215)</f>
        <v/>
      </c>
      <c r="D216" s="32">
        <f>SUM(D210:D215)</f>
        <v/>
      </c>
      <c r="E216" s="32">
        <f>SUM(E210:E215)</f>
        <v/>
      </c>
      <c r="F216" s="32">
        <f>SUM(F210:F215)</f>
        <v/>
      </c>
      <c r="G216" s="32">
        <f>SUM(G210:G215)</f>
        <v/>
      </c>
      <c r="H216" s="32">
        <f>SUM(H210:H215)</f>
        <v/>
      </c>
      <c r="I216" s="32">
        <f>SUM(I210:I215)</f>
        <v/>
      </c>
    </row>
    <row r="217">
      <c r="A217" s="9" t="inlineStr">
        <is>
          <t>1000.4900.1000.51010.990</t>
        </is>
      </c>
      <c r="B217" s="9" t="inlineStr">
        <is>
          <t>Teacher Salaries</t>
        </is>
      </c>
      <c r="C217" s="27" t="n">
        <v>21042</v>
      </c>
      <c r="D217" s="27" t="n">
        <v>48485.34</v>
      </c>
      <c r="E217" s="27" t="n">
        <v>17163</v>
      </c>
      <c r="F217" s="27" t="n">
        <v>55634.87</v>
      </c>
      <c r="G217" s="27" t="n">
        <v>18121</v>
      </c>
      <c r="H217" s="27">
        <f>G217-F217</f>
        <v/>
      </c>
      <c r="I217" s="11">
        <f>IF(F217=0,0,G217/F217-1)</f>
        <v/>
      </c>
    </row>
    <row r="218">
      <c r="A218" s="9" t="inlineStr">
        <is>
          <t>1000.4900.1000.51500.990</t>
        </is>
      </c>
      <c r="B218" s="9" t="inlineStr">
        <is>
          <t>Stipends</t>
        </is>
      </c>
      <c r="C218" s="27" t="n">
        <v>480</v>
      </c>
      <c r="D218" s="27" t="n">
        <v>0</v>
      </c>
      <c r="E218" s="27" t="n">
        <v>0</v>
      </c>
      <c r="F218" s="27" t="n">
        <v>0</v>
      </c>
      <c r="G218" s="27" t="n">
        <v>300</v>
      </c>
      <c r="H218" s="27">
        <f>G218-F218</f>
        <v/>
      </c>
      <c r="I218" s="11">
        <f>IF(F218=0,0,G218/F218-1)</f>
        <v/>
      </c>
    </row>
    <row r="219">
      <c r="A219" s="9" t="inlineStr">
        <is>
          <t>1000.4900.1000.52000.990</t>
        </is>
      </c>
      <c r="B219" s="9" t="inlineStr">
        <is>
          <t>Stipends</t>
        </is>
      </c>
      <c r="C219" s="27" t="n">
        <v>24</v>
      </c>
      <c r="D219" s="27" t="n">
        <v>0</v>
      </c>
      <c r="E219" s="27" t="n">
        <v>0</v>
      </c>
      <c r="F219" s="27" t="n">
        <v>0</v>
      </c>
      <c r="G219" s="27" t="n">
        <v>15</v>
      </c>
      <c r="H219" s="27">
        <f>G219-F219</f>
        <v/>
      </c>
      <c r="I219" s="11">
        <f>IF(F219=0,0,G219/F219-1)</f>
        <v/>
      </c>
    </row>
    <row r="220">
      <c r="A220" s="9" t="inlineStr">
        <is>
          <t>1000.4900.1000.52010.990</t>
        </is>
      </c>
      <c r="B220" s="9" t="inlineStr">
        <is>
          <t>Teacher Benefits</t>
        </is>
      </c>
      <c r="C220" s="27" t="n">
        <v>11809</v>
      </c>
      <c r="D220" s="27" t="n">
        <v>20973.25</v>
      </c>
      <c r="E220" s="27" t="n">
        <v>4700</v>
      </c>
      <c r="F220" s="27" t="n">
        <v>21107.03</v>
      </c>
      <c r="G220" s="27" t="n">
        <v>4714</v>
      </c>
      <c r="H220" s="27">
        <f>G220-F220</f>
        <v/>
      </c>
      <c r="I220" s="11">
        <f>IF(F220=0,0,G220/F220-1)</f>
        <v/>
      </c>
    </row>
    <row r="221">
      <c r="A221" s="9" t="inlineStr">
        <is>
          <t>1000.4900.1000.52300.990</t>
        </is>
      </c>
      <c r="B221" s="9" t="inlineStr">
        <is>
          <t>Retirement</t>
        </is>
      </c>
      <c r="C221" s="27" t="n">
        <v>19</v>
      </c>
      <c r="D221" s="27" t="n">
        <v>0</v>
      </c>
      <c r="E221" s="27" t="n">
        <v>0</v>
      </c>
      <c r="F221" s="27" t="n">
        <v>0</v>
      </c>
      <c r="G221" s="27" t="n">
        <v>12</v>
      </c>
      <c r="H221" s="27">
        <f>G221-F221</f>
        <v/>
      </c>
      <c r="I221" s="11">
        <f>IF(F221=0,0,G221/F221-1)</f>
        <v/>
      </c>
    </row>
    <row r="222">
      <c r="A222" s="9" t="inlineStr">
        <is>
          <t>1000.4900.1000.52310.990</t>
        </is>
      </c>
      <c r="B222" s="9" t="inlineStr">
        <is>
          <t>Retirement</t>
        </is>
      </c>
      <c r="C222" s="27" t="n">
        <v>835</v>
      </c>
      <c r="D222" s="27" t="n">
        <v>2016.52</v>
      </c>
      <c r="E222" s="27" t="n">
        <v>714</v>
      </c>
      <c r="F222" s="27" t="n">
        <v>2317.84</v>
      </c>
      <c r="G222" s="27" t="n">
        <v>754</v>
      </c>
      <c r="H222" s="27">
        <f>G222-F222</f>
        <v/>
      </c>
      <c r="I222" s="11">
        <f>IF(F222=0,0,G222/F222-1)</f>
        <v/>
      </c>
    </row>
    <row r="223">
      <c r="A223" s="9" t="inlineStr">
        <is>
          <t>1000.4900.1000.53000.990</t>
        </is>
      </c>
      <c r="B223" s="9" t="inlineStr">
        <is>
          <t>Purchase Professional Services</t>
        </is>
      </c>
      <c r="C223" s="27" t="n">
        <v>0</v>
      </c>
      <c r="D223" s="27" t="n">
        <v>0</v>
      </c>
      <c r="E223" s="27" t="n">
        <v>0</v>
      </c>
      <c r="F223" s="27" t="n">
        <v>0</v>
      </c>
      <c r="G223" s="27" t="n">
        <v>345</v>
      </c>
      <c r="H223" s="27">
        <f>G223-F223</f>
        <v/>
      </c>
      <c r="I223" s="11">
        <f>IF(F223=0,0,G223/F223-1)</f>
        <v/>
      </c>
    </row>
    <row r="224">
      <c r="A224" s="9" t="inlineStr">
        <is>
          <t>1000.4900.1000.53440.990</t>
        </is>
      </c>
      <c r="B224" s="9" t="inlineStr">
        <is>
          <t>GaTE HS Professional Services</t>
        </is>
      </c>
      <c r="C224" s="27" t="n">
        <v>7000</v>
      </c>
      <c r="D224" s="27" t="n">
        <v>2990.06</v>
      </c>
      <c r="E224" s="27" t="n">
        <v>9370</v>
      </c>
      <c r="F224" s="27" t="n">
        <v>2406.88</v>
      </c>
      <c r="G224" s="27" t="n">
        <v>9325</v>
      </c>
      <c r="H224" s="27">
        <f>G224-F224</f>
        <v/>
      </c>
      <c r="I224" s="11">
        <f>IF(F224=0,0,G224/F224-1)</f>
        <v/>
      </c>
    </row>
    <row r="225">
      <c r="A225" s="9" t="inlineStr">
        <is>
          <t>1000.4900.1000.55800.990</t>
        </is>
      </c>
      <c r="B225" s="9" t="inlineStr">
        <is>
          <t>Travel</t>
        </is>
      </c>
      <c r="C225" s="27" t="n">
        <v>300</v>
      </c>
      <c r="D225" s="27" t="n">
        <v>293.24</v>
      </c>
      <c r="E225" s="27" t="n">
        <v>300</v>
      </c>
      <c r="F225" s="27" t="n">
        <v>483.3</v>
      </c>
      <c r="G225" s="27" t="n">
        <v>300</v>
      </c>
      <c r="H225" s="27">
        <f>G225-F225</f>
        <v/>
      </c>
      <c r="I225" s="11">
        <f>IF(F225=0,0,G225/F225-1)</f>
        <v/>
      </c>
    </row>
    <row r="226">
      <c r="A226" s="9" t="inlineStr">
        <is>
          <t>1000.4900.1000.56100.990</t>
        </is>
      </c>
      <c r="B226" s="9" t="inlineStr">
        <is>
          <t>GaTE HS Instructional Supplies</t>
        </is>
      </c>
      <c r="C226" s="27" t="n">
        <v>634</v>
      </c>
      <c r="D226" s="27" t="n">
        <v>0</v>
      </c>
      <c r="E226" s="27" t="n">
        <v>563</v>
      </c>
      <c r="F226" s="27" t="n">
        <v>0</v>
      </c>
      <c r="G226" s="27" t="n">
        <v>563</v>
      </c>
      <c r="H226" s="27">
        <f>G226-F226</f>
        <v/>
      </c>
      <c r="I226" s="11">
        <f>IF(F226=0,0,G226/F226-1)</f>
        <v/>
      </c>
    </row>
    <row r="227">
      <c r="A227" s="17" t="n"/>
      <c r="B227" s="31" t="inlineStr">
        <is>
          <t>Program 4900 Total</t>
        </is>
      </c>
      <c r="C227" s="32">
        <f>SUM(C217:C226)</f>
        <v/>
      </c>
      <c r="D227" s="32">
        <f>SUM(D217:D226)</f>
        <v/>
      </c>
      <c r="E227" s="32">
        <f>SUM(E217:E226)</f>
        <v/>
      </c>
      <c r="F227" s="32">
        <f>SUM(F217:F226)</f>
        <v/>
      </c>
      <c r="G227" s="32">
        <f>SUM(G217:G226)</f>
        <v/>
      </c>
      <c r="H227" s="32">
        <f>SUM(H217:H226)</f>
        <v/>
      </c>
      <c r="I227" s="32">
        <f>SUM(I217:I226)</f>
        <v/>
      </c>
    </row>
    <row r="228">
      <c r="A228" s="17" t="n"/>
      <c r="B228" s="33" t="inlineStr">
        <is>
          <t>Function 1000 Total</t>
        </is>
      </c>
      <c r="C228" s="34">
        <f>C216+C227</f>
        <v/>
      </c>
      <c r="D228" s="34">
        <f>D216+D227</f>
        <v/>
      </c>
      <c r="E228" s="34">
        <f>E216+E227</f>
        <v/>
      </c>
      <c r="F228" s="34">
        <f>F216+F227</f>
        <v/>
      </c>
      <c r="G228" s="34">
        <f>G216+G227</f>
        <v/>
      </c>
      <c r="H228" s="34">
        <f>H216+H227</f>
        <v/>
      </c>
      <c r="I228" s="34">
        <f>I216+I227</f>
        <v/>
      </c>
    </row>
    <row r="229">
      <c r="A229" s="17" t="n"/>
      <c r="B229" s="20" t="inlineStr">
        <is>
          <t>Cost Center ('990',) Total</t>
        </is>
      </c>
      <c r="C229" s="35">
        <f>C228</f>
        <v/>
      </c>
      <c r="D229" s="35">
        <f>D228</f>
        <v/>
      </c>
      <c r="E229" s="35">
        <f>E228</f>
        <v/>
      </c>
      <c r="F229" s="35">
        <f>F228</f>
        <v/>
      </c>
      <c r="G229" s="35">
        <f>G228</f>
        <v/>
      </c>
      <c r="H229" s="35">
        <f>H228</f>
        <v/>
      </c>
      <c r="I229" s="35">
        <f>I228</f>
        <v/>
      </c>
    </row>
    <row r="231">
      <c r="A231" s="17" t="n"/>
      <c r="B231" s="36" t="inlineStr">
        <is>
          <t>ARTICLE 1 TOTAL</t>
        </is>
      </c>
      <c r="C231" s="37">
        <f>C37+C68+C101+C122+C149+C178+C207+C229</f>
        <v/>
      </c>
      <c r="D231" s="37">
        <f>D37+D68+D101+D122+D149+D178+D207+D229</f>
        <v/>
      </c>
      <c r="E231" s="37">
        <f>E37+E68+E101+E122+E149+E178+E207+E229</f>
        <v/>
      </c>
      <c r="F231" s="37">
        <f>F37+F68+F101+F122+F149+F178+F207+F229</f>
        <v/>
      </c>
      <c r="G231" s="37">
        <f>G37+G68+G101+G122+G149+G178+G207+G229</f>
        <v/>
      </c>
      <c r="H231" s="37">
        <f>H37+H68+H101+H122+H149+H178+H207+H229</f>
        <v/>
      </c>
      <c r="I231" s="37">
        <f>I37+I68+I101+I122+I149+I178+I207+I229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I29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2 - Special Education</t>
        </is>
      </c>
    </row>
    <row r="2">
      <c r="A2" s="16" t="inlineStr">
        <is>
          <t>Source: FY22 Proposed Budget, RSU 5</t>
        </is>
      </c>
    </row>
    <row r="3">
      <c r="A3" s="16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FY18 Actual</t>
        </is>
      </c>
      <c r="D5" s="8" t="inlineStr">
        <is>
          <t>FY19 Actual</t>
        </is>
      </c>
      <c r="E5" s="8" t="inlineStr">
        <is>
          <t>FY20 Actual</t>
        </is>
      </c>
      <c r="F5" s="8" t="inlineStr">
        <is>
          <t>FY21 Adopted</t>
        </is>
      </c>
      <c r="G5" s="8" t="inlineStr">
        <is>
          <t>FY22 Adopted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('010',)</t>
        </is>
      </c>
    </row>
    <row r="7">
      <c r="A7" s="9" t="inlineStr">
        <is>
          <t>1000.2200.1000.51010.010</t>
        </is>
      </c>
      <c r="B7" s="9" t="inlineStr">
        <is>
          <t>Teacher Salaries</t>
        </is>
      </c>
      <c r="C7" s="27" t="n">
        <v>176030</v>
      </c>
      <c r="D7" s="27" t="n">
        <v>152481.18</v>
      </c>
      <c r="E7" s="27" t="n">
        <v>178655</v>
      </c>
      <c r="F7" s="27" t="n">
        <v>141049.22</v>
      </c>
      <c r="G7" s="27" t="n">
        <v>201979</v>
      </c>
      <c r="H7" s="27">
        <f>G7-F7</f>
        <v/>
      </c>
      <c r="I7" s="11">
        <f>IF(F7=0,0,G7/F7-1)</f>
        <v/>
      </c>
    </row>
    <row r="8">
      <c r="A8" s="9" t="inlineStr">
        <is>
          <t>1000.2200.1000.51020.010</t>
        </is>
      </c>
      <c r="B8" s="9" t="inlineStr">
        <is>
          <t>Ed Tech Salaries</t>
        </is>
      </c>
      <c r="C8" s="27" t="n">
        <v>73742</v>
      </c>
      <c r="D8" s="27" t="n">
        <v>61754.72</v>
      </c>
      <c r="E8" s="27" t="n">
        <v>71007</v>
      </c>
      <c r="F8" s="27" t="n">
        <v>71661.69</v>
      </c>
      <c r="G8" s="27" t="n">
        <v>139997</v>
      </c>
      <c r="H8" s="27">
        <f>G8-F8</f>
        <v/>
      </c>
      <c r="I8" s="11">
        <f>IF(F8=0,0,G8/F8-1)</f>
        <v/>
      </c>
    </row>
    <row r="9">
      <c r="A9" s="9" t="inlineStr">
        <is>
          <t>1000.2200.1000.52010.010</t>
        </is>
      </c>
      <c r="B9" s="9" t="inlineStr">
        <is>
          <t>Teacher Benefits</t>
        </is>
      </c>
      <c r="C9" s="27" t="n">
        <v>63477</v>
      </c>
      <c r="D9" s="27" t="n">
        <v>41148.71</v>
      </c>
      <c r="E9" s="27" t="n">
        <v>52531</v>
      </c>
      <c r="F9" s="27" t="n">
        <v>36075.21</v>
      </c>
      <c r="G9" s="27" t="n">
        <v>47550</v>
      </c>
      <c r="H9" s="27">
        <f>G9-F9</f>
        <v/>
      </c>
      <c r="I9" s="11">
        <f>IF(F9=0,0,G9/F9-1)</f>
        <v/>
      </c>
    </row>
    <row r="10">
      <c r="A10" s="9" t="inlineStr">
        <is>
          <t>1000.2200.1000.52020.010</t>
        </is>
      </c>
      <c r="B10" s="9" t="inlineStr">
        <is>
          <t>Ed Tech Benefits</t>
        </is>
      </c>
      <c r="C10" s="27" t="n">
        <v>29153</v>
      </c>
      <c r="D10" s="27" t="n">
        <v>22141.94</v>
      </c>
      <c r="E10" s="27" t="n">
        <v>25356</v>
      </c>
      <c r="F10" s="27" t="n">
        <v>28738.77</v>
      </c>
      <c r="G10" s="27" t="n">
        <v>44488</v>
      </c>
      <c r="H10" s="27">
        <f>G10-F10</f>
        <v/>
      </c>
      <c r="I10" s="11">
        <f>IF(F10=0,0,G10/F10-1)</f>
        <v/>
      </c>
    </row>
    <row r="11">
      <c r="A11" s="9" t="inlineStr">
        <is>
          <t>1000.2200.1000.52310.010</t>
        </is>
      </c>
      <c r="B11" s="9" t="inlineStr">
        <is>
          <t>Retirement</t>
        </is>
      </c>
      <c r="C11" s="27" t="n">
        <v>6988</v>
      </c>
      <c r="D11" s="27" t="n">
        <v>6174.61</v>
      </c>
      <c r="E11" s="27" t="n">
        <v>7432</v>
      </c>
      <c r="F11" s="27" t="n">
        <v>6020.37</v>
      </c>
      <c r="G11" s="27" t="n">
        <v>8402</v>
      </c>
      <c r="H11" s="27">
        <f>G11-F11</f>
        <v/>
      </c>
      <c r="I11" s="11">
        <f>IF(F11=0,0,G11/F11-1)</f>
        <v/>
      </c>
    </row>
    <row r="12">
      <c r="A12" s="9" t="inlineStr">
        <is>
          <t>1000.2200.1000.52320.010</t>
        </is>
      </c>
      <c r="B12" s="9" t="inlineStr">
        <is>
          <t>Retirement</t>
        </is>
      </c>
      <c r="C12" s="27" t="n">
        <v>2928</v>
      </c>
      <c r="D12" s="27" t="n">
        <v>2433.6</v>
      </c>
      <c r="E12" s="27" t="n">
        <v>2954</v>
      </c>
      <c r="F12" s="27" t="n">
        <v>3068.6</v>
      </c>
      <c r="G12" s="27" t="n">
        <v>6057</v>
      </c>
      <c r="H12" s="27">
        <f>G12-F12</f>
        <v/>
      </c>
      <c r="I12" s="11">
        <f>IF(F12=0,0,G12/F12-1)</f>
        <v/>
      </c>
    </row>
    <row r="13">
      <c r="A13" s="17" t="n"/>
      <c r="B13" s="31" t="inlineStr">
        <is>
          <t>Program 2200 Total</t>
        </is>
      </c>
      <c r="C13" s="32">
        <f>SUM(C7:C12)</f>
        <v/>
      </c>
      <c r="D13" s="32">
        <f>SUM(D7:D12)</f>
        <v/>
      </c>
      <c r="E13" s="32">
        <f>SUM(E7:E12)</f>
        <v/>
      </c>
      <c r="F13" s="32">
        <f>SUM(F7:F12)</f>
        <v/>
      </c>
      <c r="G13" s="32">
        <f>SUM(G7:G12)</f>
        <v/>
      </c>
      <c r="H13" s="32">
        <f>SUM(H7:H12)</f>
        <v/>
      </c>
      <c r="I13" s="32">
        <f>SUM(I7:I12)</f>
        <v/>
      </c>
    </row>
    <row r="14">
      <c r="A14" s="9" t="inlineStr">
        <is>
          <t>1000.2300.1000.51010.010</t>
        </is>
      </c>
      <c r="B14" s="9" t="inlineStr">
        <is>
          <t>Teacher Salaries</t>
        </is>
      </c>
      <c r="C14" s="27" t="n">
        <v>46438</v>
      </c>
      <c r="D14" s="27" t="n">
        <v>48527.76</v>
      </c>
      <c r="E14" s="27" t="n">
        <v>50179</v>
      </c>
      <c r="F14" s="27" t="n">
        <v>51548.12</v>
      </c>
      <c r="G14" s="27" t="n">
        <v>48002</v>
      </c>
      <c r="H14" s="27">
        <f>G14-F14</f>
        <v/>
      </c>
      <c r="I14" s="11">
        <f>IF(F14=0,0,G14/F14-1)</f>
        <v/>
      </c>
    </row>
    <row r="15">
      <c r="A15" s="9" t="inlineStr">
        <is>
          <t>1000.2300.1000.51020.010</t>
        </is>
      </c>
      <c r="B15" s="9" t="inlineStr">
        <is>
          <t>Ed Tech Salaries</t>
        </is>
      </c>
      <c r="C15" s="27" t="n">
        <v>166346</v>
      </c>
      <c r="D15" s="27" t="n">
        <v>103881.46</v>
      </c>
      <c r="E15" s="27" t="n">
        <v>145543</v>
      </c>
      <c r="F15" s="27" t="n">
        <v>92140.17</v>
      </c>
      <c r="G15" s="27" t="n">
        <v>101448</v>
      </c>
      <c r="H15" s="27">
        <f>G15-F15</f>
        <v/>
      </c>
      <c r="I15" s="11">
        <f>IF(F15=0,0,G15/F15-1)</f>
        <v/>
      </c>
    </row>
    <row r="16">
      <c r="A16" s="9" t="inlineStr">
        <is>
          <t>1000.2300.1000.52010.010</t>
        </is>
      </c>
      <c r="B16" s="9" t="inlineStr">
        <is>
          <t>Teacher Benefits</t>
        </is>
      </c>
      <c r="C16" s="27" t="n">
        <v>7401</v>
      </c>
      <c r="D16" s="27" t="n">
        <v>14751.04</v>
      </c>
      <c r="E16" s="27" t="n">
        <v>4579</v>
      </c>
      <c r="F16" s="27" t="n">
        <v>14686.8</v>
      </c>
      <c r="G16" s="27" t="n">
        <v>20961</v>
      </c>
      <c r="H16" s="27">
        <f>G16-F16</f>
        <v/>
      </c>
      <c r="I16" s="11">
        <f>IF(F16=0,0,G16/F16-1)</f>
        <v/>
      </c>
    </row>
    <row r="17">
      <c r="A17" s="9" t="inlineStr">
        <is>
          <t>1000.2300.1000.52020.010</t>
        </is>
      </c>
      <c r="B17" s="9" t="inlineStr">
        <is>
          <t>Ed Tech Benefits</t>
        </is>
      </c>
      <c r="C17" s="27" t="n">
        <v>78907</v>
      </c>
      <c r="D17" s="27" t="n">
        <v>25998.43</v>
      </c>
      <c r="E17" s="27" t="n">
        <v>56702</v>
      </c>
      <c r="F17" s="27" t="n">
        <v>26830.71</v>
      </c>
      <c r="G17" s="27" t="n">
        <v>40143</v>
      </c>
      <c r="H17" s="27">
        <f>G17-F17</f>
        <v/>
      </c>
      <c r="I17" s="11">
        <f>IF(F17=0,0,G17/F17-1)</f>
        <v/>
      </c>
    </row>
    <row r="18">
      <c r="A18" s="9" t="inlineStr">
        <is>
          <t>1000.2300.1000.52310.010</t>
        </is>
      </c>
      <c r="B18" s="9" t="inlineStr">
        <is>
          <t>Retirement</t>
        </is>
      </c>
      <c r="C18" s="27" t="n">
        <v>1844</v>
      </c>
      <c r="D18" s="27" t="n">
        <v>1940.76</v>
      </c>
      <c r="E18" s="27" t="n">
        <v>2087</v>
      </c>
      <c r="F18" s="27" t="n">
        <v>2195.84</v>
      </c>
      <c r="G18" s="27" t="n">
        <v>1997</v>
      </c>
      <c r="H18" s="27">
        <f>G18-F18</f>
        <v/>
      </c>
      <c r="I18" s="11">
        <f>IF(F18=0,0,G18/F18-1)</f>
        <v/>
      </c>
    </row>
    <row r="19">
      <c r="A19" s="9" t="inlineStr">
        <is>
          <t>1000.2300.1000.52320.010</t>
        </is>
      </c>
      <c r="B19" s="9" t="inlineStr">
        <is>
          <t>Retirement</t>
        </is>
      </c>
      <c r="C19" s="27" t="n">
        <v>6604</v>
      </c>
      <c r="D19" s="27" t="n">
        <v>4124.09</v>
      </c>
      <c r="E19" s="27" t="n">
        <v>6055</v>
      </c>
      <c r="F19" s="27" t="n">
        <v>3863.93</v>
      </c>
      <c r="G19" s="27" t="n">
        <v>4389</v>
      </c>
      <c r="H19" s="27">
        <f>G19-F19</f>
        <v/>
      </c>
      <c r="I19" s="11">
        <f>IF(F19=0,0,G19/F19-1)</f>
        <v/>
      </c>
    </row>
    <row r="20">
      <c r="A20" s="17" t="n"/>
      <c r="B20" s="31" t="inlineStr">
        <is>
          <t>Program 2300 Total</t>
        </is>
      </c>
      <c r="C20" s="32">
        <f>SUM(C14:C19)</f>
        <v/>
      </c>
      <c r="D20" s="32">
        <f>SUM(D14:D19)</f>
        <v/>
      </c>
      <c r="E20" s="32">
        <f>SUM(E14:E19)</f>
        <v/>
      </c>
      <c r="F20" s="32">
        <f>SUM(F14:F19)</f>
        <v/>
      </c>
      <c r="G20" s="32">
        <f>SUM(G14:G19)</f>
        <v/>
      </c>
      <c r="H20" s="32">
        <f>SUM(H14:H19)</f>
        <v/>
      </c>
      <c r="I20" s="32">
        <f>SUM(I14:I19)</f>
        <v/>
      </c>
    </row>
    <row r="21">
      <c r="A21" s="17" t="n"/>
      <c r="B21" s="33" t="inlineStr">
        <is>
          <t>Function 1000 Total</t>
        </is>
      </c>
      <c r="C21" s="34">
        <f>C13+C20</f>
        <v/>
      </c>
      <c r="D21" s="34">
        <f>D13+D20</f>
        <v/>
      </c>
      <c r="E21" s="34">
        <f>E13+E20</f>
        <v/>
      </c>
      <c r="F21" s="34">
        <f>F13+F20</f>
        <v/>
      </c>
      <c r="G21" s="34">
        <f>G13+G20</f>
        <v/>
      </c>
      <c r="H21" s="34">
        <f>H13+H20</f>
        <v/>
      </c>
      <c r="I21" s="34">
        <f>I13+I20</f>
        <v/>
      </c>
    </row>
    <row r="22">
      <c r="A22" s="9" t="inlineStr">
        <is>
          <t>1000.2800.2110.51010.010</t>
        </is>
      </c>
      <c r="B22" s="9" t="inlineStr">
        <is>
          <t>Teacher Salaries</t>
        </is>
      </c>
      <c r="C22" s="27" t="n">
        <v>53149</v>
      </c>
      <c r="D22" s="27" t="n">
        <v>56742.85</v>
      </c>
      <c r="E22" s="27" t="n">
        <v>60723</v>
      </c>
      <c r="F22" s="27" t="n">
        <v>60722.74</v>
      </c>
      <c r="G22" s="27" t="n">
        <v>64001</v>
      </c>
      <c r="H22" s="27">
        <f>G22-F22</f>
        <v/>
      </c>
      <c r="I22" s="11">
        <f>IF(F22=0,0,G22/F22-1)</f>
        <v/>
      </c>
    </row>
    <row r="23">
      <c r="A23" s="9" t="inlineStr">
        <is>
          <t>1000.2800.2110.52010.010</t>
        </is>
      </c>
      <c r="B23" s="9" t="inlineStr">
        <is>
          <t>Teacher Benefits</t>
        </is>
      </c>
      <c r="C23" s="27" t="n">
        <v>13254</v>
      </c>
      <c r="D23" s="27" t="n">
        <v>10030.38</v>
      </c>
      <c r="E23" s="27" t="n">
        <v>10094</v>
      </c>
      <c r="F23" s="27" t="n">
        <v>10009.94</v>
      </c>
      <c r="G23" s="27" t="n">
        <v>10261</v>
      </c>
      <c r="H23" s="27">
        <f>G23-F23</f>
        <v/>
      </c>
      <c r="I23" s="11">
        <f>IF(F23=0,0,G23/F23-1)</f>
        <v/>
      </c>
    </row>
    <row r="24">
      <c r="A24" s="9" t="inlineStr">
        <is>
          <t>1000.2800.2110.52310.010</t>
        </is>
      </c>
      <c r="B24" s="9" t="inlineStr">
        <is>
          <t>Retirement</t>
        </is>
      </c>
      <c r="C24" s="27" t="n">
        <v>2110</v>
      </c>
      <c r="D24" s="27" t="n">
        <v>2264.73</v>
      </c>
      <c r="E24" s="27" t="n">
        <v>2526</v>
      </c>
      <c r="F24" s="27" t="n">
        <v>2526.16</v>
      </c>
      <c r="G24" s="27" t="n">
        <v>2662</v>
      </c>
      <c r="H24" s="27">
        <f>G24-F24</f>
        <v/>
      </c>
      <c r="I24" s="11">
        <f>IF(F24=0,0,G24/F24-1)</f>
        <v/>
      </c>
    </row>
    <row r="25">
      <c r="A25" s="17" t="n"/>
      <c r="B25" s="31" t="inlineStr">
        <is>
          <t>Program 2800 Total</t>
        </is>
      </c>
      <c r="C25" s="32">
        <f>SUM(C22:C24)</f>
        <v/>
      </c>
      <c r="D25" s="32">
        <f>SUM(D22:D24)</f>
        <v/>
      </c>
      <c r="E25" s="32">
        <f>SUM(E22:E24)</f>
        <v/>
      </c>
      <c r="F25" s="32">
        <f>SUM(F22:F24)</f>
        <v/>
      </c>
      <c r="G25" s="32">
        <f>SUM(G22:G24)</f>
        <v/>
      </c>
      <c r="H25" s="32">
        <f>SUM(H22:H24)</f>
        <v/>
      </c>
      <c r="I25" s="32">
        <f>SUM(I22:I24)</f>
        <v/>
      </c>
    </row>
    <row r="26">
      <c r="A26" s="9" t="inlineStr">
        <is>
          <t>1000.2800.2140.51010.010</t>
        </is>
      </c>
      <c r="B26" s="9" t="inlineStr">
        <is>
          <t>Teacher Salaries</t>
        </is>
      </c>
      <c r="C26" s="27" t="n">
        <v>27521</v>
      </c>
      <c r="D26" s="27" t="n">
        <v>47829.91</v>
      </c>
      <c r="E26" s="27" t="n">
        <v>26423</v>
      </c>
      <c r="F26" s="27" t="n">
        <v>58587.83</v>
      </c>
      <c r="G26" s="27" t="n">
        <v>25842</v>
      </c>
      <c r="H26" s="27">
        <f>G26-F26</f>
        <v/>
      </c>
      <c r="I26" s="11">
        <f>IF(F26=0,0,G26/F26-1)</f>
        <v/>
      </c>
    </row>
    <row r="27">
      <c r="A27" s="9" t="inlineStr">
        <is>
          <t>1000.2800.2140.52010.010</t>
        </is>
      </c>
      <c r="B27" s="9" t="inlineStr">
        <is>
          <t>Teacher Benefit</t>
        </is>
      </c>
      <c r="C27" s="27" t="n">
        <v>6963</v>
      </c>
      <c r="D27" s="27" t="n">
        <v>6225.42</v>
      </c>
      <c r="E27" s="27" t="n">
        <v>4868</v>
      </c>
      <c r="F27" s="27" t="n">
        <v>7763.26</v>
      </c>
      <c r="G27" s="27" t="n">
        <v>5123</v>
      </c>
      <c r="H27" s="27">
        <f>G27-F27</f>
        <v/>
      </c>
      <c r="I27" s="11">
        <f>IF(F27=0,0,G27/F27-1)</f>
        <v/>
      </c>
    </row>
    <row r="28">
      <c r="A28" s="9" t="inlineStr">
        <is>
          <t>1000.2800.2140.52310.010</t>
        </is>
      </c>
      <c r="B28" s="9" t="inlineStr">
        <is>
          <t>Retirement</t>
        </is>
      </c>
      <c r="C28" s="27" t="n">
        <v>1093</v>
      </c>
      <c r="D28" s="27" t="n">
        <v>1912.78</v>
      </c>
      <c r="E28" s="27" t="n">
        <v>1099</v>
      </c>
      <c r="F28" s="27" t="n">
        <v>2484.69</v>
      </c>
      <c r="G28" s="27" t="n">
        <v>1075</v>
      </c>
      <c r="H28" s="27">
        <f>G28-F28</f>
        <v/>
      </c>
      <c r="I28" s="11">
        <f>IF(F28=0,0,G28/F28-1)</f>
        <v/>
      </c>
    </row>
    <row r="29">
      <c r="A29" s="9" t="inlineStr">
        <is>
          <t>1000.2800.2140.55800.010</t>
        </is>
      </c>
      <c r="B29" s="9" t="inlineStr">
        <is>
          <t>Travel</t>
        </is>
      </c>
      <c r="C29" s="27" t="n">
        <v>360</v>
      </c>
      <c r="D29" s="27" t="n">
        <v>0</v>
      </c>
      <c r="E29" s="27" t="n">
        <v>320</v>
      </c>
      <c r="F29" s="27" t="n">
        <v>0</v>
      </c>
      <c r="G29" s="27" t="n">
        <v>116</v>
      </c>
      <c r="H29" s="27">
        <f>G29-F29</f>
        <v/>
      </c>
      <c r="I29" s="11">
        <f>IF(F29=0,0,G29/F29-1)</f>
        <v/>
      </c>
    </row>
    <row r="30">
      <c r="A30" s="17" t="n"/>
      <c r="B30" s="31" t="inlineStr">
        <is>
          <t>Program 2800 Total</t>
        </is>
      </c>
      <c r="C30" s="32">
        <f>SUM(C26:C29)</f>
        <v/>
      </c>
      <c r="D30" s="32">
        <f>SUM(D26:D29)</f>
        <v/>
      </c>
      <c r="E30" s="32">
        <f>SUM(E26:E29)</f>
        <v/>
      </c>
      <c r="F30" s="32">
        <f>SUM(F26:F29)</f>
        <v/>
      </c>
      <c r="G30" s="32">
        <f>SUM(G26:G29)</f>
        <v/>
      </c>
      <c r="H30" s="32">
        <f>SUM(H26:H29)</f>
        <v/>
      </c>
      <c r="I30" s="32">
        <f>SUM(I26:I29)</f>
        <v/>
      </c>
    </row>
    <row r="31">
      <c r="A31" s="9" t="inlineStr">
        <is>
          <t>1000.2800.2150.51010.010</t>
        </is>
      </c>
      <c r="B31" s="9" t="inlineStr">
        <is>
          <t>Teacher Salaries</t>
        </is>
      </c>
      <c r="C31" s="27" t="n">
        <v>68824</v>
      </c>
      <c r="D31" s="27" t="n">
        <v>84749.53</v>
      </c>
      <c r="E31" s="27" t="n">
        <v>76905</v>
      </c>
      <c r="F31" s="27" t="n">
        <v>79061.75999999999</v>
      </c>
      <c r="G31" s="27" t="n">
        <v>82282</v>
      </c>
      <c r="H31" s="27">
        <f>G31-F31</f>
        <v/>
      </c>
      <c r="I31" s="11">
        <f>IF(F31=0,0,G31/F31-1)</f>
        <v/>
      </c>
    </row>
    <row r="32">
      <c r="A32" s="9" t="inlineStr">
        <is>
          <t>1000.2800.2150.52010.010</t>
        </is>
      </c>
      <c r="B32" s="9" t="inlineStr">
        <is>
          <t>Teacher Benefits</t>
        </is>
      </c>
      <c r="C32" s="27" t="n">
        <v>14571</v>
      </c>
      <c r="D32" s="27" t="n">
        <v>11544.53</v>
      </c>
      <c r="E32" s="27" t="n">
        <v>10442</v>
      </c>
      <c r="F32" s="27" t="n">
        <v>10545.46</v>
      </c>
      <c r="G32" s="27" t="n">
        <v>10672</v>
      </c>
      <c r="H32" s="27">
        <f>G32-F32</f>
        <v/>
      </c>
      <c r="I32" s="11">
        <f>IF(F32=0,0,G32/F32-1)</f>
        <v/>
      </c>
    </row>
    <row r="33">
      <c r="A33" s="9" t="inlineStr">
        <is>
          <t>1000.2800.2150.52310.010</t>
        </is>
      </c>
      <c r="B33" s="9" t="inlineStr">
        <is>
          <t>Retirement</t>
        </is>
      </c>
      <c r="C33" s="27" t="n">
        <v>2732</v>
      </c>
      <c r="D33" s="27" t="n">
        <v>3385.82</v>
      </c>
      <c r="E33" s="27" t="n">
        <v>3199</v>
      </c>
      <c r="F33" s="27" t="n">
        <v>3288.84</v>
      </c>
      <c r="G33" s="27" t="n">
        <v>3423</v>
      </c>
      <c r="H33" s="27">
        <f>G33-F33</f>
        <v/>
      </c>
      <c r="I33" s="11">
        <f>IF(F33=0,0,G33/F33-1)</f>
        <v/>
      </c>
    </row>
    <row r="34">
      <c r="A34" s="9" t="inlineStr">
        <is>
          <t>1000.2800.2150.53440.010</t>
        </is>
      </c>
      <c r="B34" s="9" t="inlineStr">
        <is>
          <t>Professional Services</t>
        </is>
      </c>
      <c r="C34" s="27" t="n">
        <v>0</v>
      </c>
      <c r="D34" s="27" t="n">
        <v>559.11</v>
      </c>
      <c r="E34" s="27" t="n">
        <v>0</v>
      </c>
      <c r="F34" s="27" t="n">
        <v>0</v>
      </c>
      <c r="G34" s="27" t="n">
        <v>0</v>
      </c>
      <c r="H34" s="27">
        <f>G34-F34</f>
        <v/>
      </c>
      <c r="I34" s="11">
        <f>IF(F34=0,0,G34/F34-1)</f>
        <v/>
      </c>
    </row>
    <row r="35">
      <c r="A35" s="17" t="n"/>
      <c r="B35" s="31" t="inlineStr">
        <is>
          <t>Program 2800 Total</t>
        </is>
      </c>
      <c r="C35" s="32">
        <f>SUM(C31:C34)</f>
        <v/>
      </c>
      <c r="D35" s="32">
        <f>SUM(D31:D34)</f>
        <v/>
      </c>
      <c r="E35" s="32">
        <f>SUM(E31:E34)</f>
        <v/>
      </c>
      <c r="F35" s="32">
        <f>SUM(F31:F34)</f>
        <v/>
      </c>
      <c r="G35" s="32">
        <f>SUM(G31:G34)</f>
        <v/>
      </c>
      <c r="H35" s="32">
        <f>SUM(H31:H34)</f>
        <v/>
      </c>
      <c r="I35" s="32">
        <f>SUM(I31:I34)</f>
        <v/>
      </c>
    </row>
    <row r="36">
      <c r="A36" s="9" t="inlineStr">
        <is>
          <t>1000.2800.2160.51010.010</t>
        </is>
      </c>
      <c r="B36" s="9" t="inlineStr">
        <is>
          <t>Teacher Salaries</t>
        </is>
      </c>
      <c r="C36" s="27" t="n">
        <v>26992</v>
      </c>
      <c r="D36" s="27" t="n">
        <v>5979.68</v>
      </c>
      <c r="E36" s="27" t="n">
        <v>52796</v>
      </c>
      <c r="F36" s="27" t="n">
        <v>0</v>
      </c>
      <c r="G36" s="27" t="n">
        <v>54401</v>
      </c>
      <c r="H36" s="27">
        <f>G36-F36</f>
        <v/>
      </c>
      <c r="I36" s="11">
        <f>IF(F36=0,0,G36/F36-1)</f>
        <v/>
      </c>
    </row>
    <row r="37">
      <c r="A37" s="9" t="inlineStr">
        <is>
          <t>1000.2800.2160.52010.010</t>
        </is>
      </c>
      <c r="B37" s="9" t="inlineStr">
        <is>
          <t>Teacher Benefits</t>
        </is>
      </c>
      <c r="C37" s="27" t="n">
        <v>7541</v>
      </c>
      <c r="D37" s="27" t="n">
        <v>1098.11</v>
      </c>
      <c r="E37" s="27" t="n">
        <v>3935</v>
      </c>
      <c r="F37" s="27" t="n">
        <v>0</v>
      </c>
      <c r="G37" s="27" t="n">
        <v>4433</v>
      </c>
      <c r="H37" s="27">
        <f>G37-F37</f>
        <v/>
      </c>
      <c r="I37" s="11">
        <f>IF(F37=0,0,G37/F37-1)</f>
        <v/>
      </c>
    </row>
    <row r="38">
      <c r="A38" s="9" t="inlineStr">
        <is>
          <t>1000.2800.2160.52310.010</t>
        </is>
      </c>
      <c r="B38" s="9" t="inlineStr">
        <is>
          <t>Retirement</t>
        </is>
      </c>
      <c r="C38" s="27" t="n">
        <v>1072</v>
      </c>
      <c r="D38" s="27" t="n">
        <v>237.41</v>
      </c>
      <c r="E38" s="27" t="n">
        <v>2196</v>
      </c>
      <c r="F38" s="27" t="n">
        <v>0</v>
      </c>
      <c r="G38" s="27" t="n">
        <v>2263</v>
      </c>
      <c r="H38" s="27">
        <f>G38-F38</f>
        <v/>
      </c>
      <c r="I38" s="11">
        <f>IF(F38=0,0,G38/F38-1)</f>
        <v/>
      </c>
    </row>
    <row r="39">
      <c r="A39" s="9" t="inlineStr">
        <is>
          <t>1000.2800.2160.55800.010</t>
        </is>
      </c>
      <c r="B39" s="9" t="inlineStr">
        <is>
          <t>Travel</t>
        </is>
      </c>
      <c r="C39" s="27" t="n">
        <v>150</v>
      </c>
      <c r="D39" s="27" t="n">
        <v>201.96</v>
      </c>
      <c r="E39" s="27" t="n">
        <v>160</v>
      </c>
      <c r="F39" s="27" t="n">
        <v>0</v>
      </c>
      <c r="G39" s="27" t="n">
        <v>210</v>
      </c>
      <c r="H39" s="27">
        <f>G39-F39</f>
        <v/>
      </c>
      <c r="I39" s="11">
        <f>IF(F39=0,0,G39/F39-1)</f>
        <v/>
      </c>
    </row>
    <row r="40">
      <c r="A40" s="17" t="n"/>
      <c r="B40" s="31" t="inlineStr">
        <is>
          <t>Program 2800 Total</t>
        </is>
      </c>
      <c r="C40" s="32">
        <f>SUM(C36:C39)</f>
        <v/>
      </c>
      <c r="D40" s="32">
        <f>SUM(D36:D39)</f>
        <v/>
      </c>
      <c r="E40" s="32">
        <f>SUM(E36:E39)</f>
        <v/>
      </c>
      <c r="F40" s="32">
        <f>SUM(F36:F39)</f>
        <v/>
      </c>
      <c r="G40" s="32">
        <f>SUM(G36:G39)</f>
        <v/>
      </c>
      <c r="H40" s="32">
        <f>SUM(H36:H39)</f>
        <v/>
      </c>
      <c r="I40" s="32">
        <f>SUM(I36:I39)</f>
        <v/>
      </c>
    </row>
    <row r="41">
      <c r="A41" s="17" t="n"/>
      <c r="B41" s="20" t="inlineStr">
        <is>
          <t>Cost Center ('010',) Total</t>
        </is>
      </c>
      <c r="C41" s="35">
        <f>C21+C25+C30+C35+C40</f>
        <v/>
      </c>
      <c r="D41" s="35">
        <f>D21+D25+D30+D35+D40</f>
        <v/>
      </c>
      <c r="E41" s="35">
        <f>E21+E25+E30+E35+E40</f>
        <v/>
      </c>
      <c r="F41" s="35">
        <f>F21+F25+F30+F35+F40</f>
        <v/>
      </c>
      <c r="G41" s="35">
        <f>G21+G25+G30+G35+G40</f>
        <v/>
      </c>
      <c r="H41" s="35">
        <f>H21+H25+H30+H35+H40</f>
        <v/>
      </c>
      <c r="I41" s="35">
        <f>I21+I25+I30+I35+I40</f>
        <v/>
      </c>
    </row>
    <row r="43">
      <c r="A43" s="3" t="inlineStr">
        <is>
          <t>Cost Center: ('020',)</t>
        </is>
      </c>
    </row>
    <row r="44">
      <c r="A44" s="9" t="inlineStr">
        <is>
          <t>1000.2200.1000.51010.020</t>
        </is>
      </c>
      <c r="B44" s="9" t="inlineStr">
        <is>
          <t>Teacher Salaries</t>
        </is>
      </c>
      <c r="C44" s="27" t="n">
        <v>63298</v>
      </c>
      <c r="D44" s="27" t="n">
        <v>203278.45</v>
      </c>
      <c r="E44" s="27" t="n">
        <v>68132</v>
      </c>
      <c r="F44" s="27" t="n">
        <v>258883.42</v>
      </c>
      <c r="G44" s="27" t="n">
        <v>69630</v>
      </c>
      <c r="H44" s="27">
        <f>G44-F44</f>
        <v/>
      </c>
      <c r="I44" s="11">
        <f>IF(F44=0,0,G44/F44-1)</f>
        <v/>
      </c>
    </row>
    <row r="45">
      <c r="A45" s="9" t="inlineStr">
        <is>
          <t>1000.2200.1000.51020.020</t>
        </is>
      </c>
      <c r="B45" s="9" t="inlineStr">
        <is>
          <t>Ed Tech Salaries</t>
        </is>
      </c>
      <c r="C45" s="27" t="n">
        <v>52499</v>
      </c>
      <c r="D45" s="27" t="n">
        <v>80372.28</v>
      </c>
      <c r="E45" s="27" t="n">
        <v>53489</v>
      </c>
      <c r="F45" s="27" t="n">
        <v>90148.66</v>
      </c>
      <c r="G45" s="27" t="n">
        <v>0</v>
      </c>
      <c r="H45" s="27">
        <f>G45-F45</f>
        <v/>
      </c>
      <c r="I45" s="11">
        <f>IF(F45=0,0,G45/F45-1)</f>
        <v/>
      </c>
    </row>
    <row r="46">
      <c r="A46" s="9" t="inlineStr">
        <is>
          <t>1000.2200.1000.51230.020</t>
        </is>
      </c>
      <c r="B46" s="9" t="inlineStr">
        <is>
          <t>Sub Wages</t>
        </is>
      </c>
      <c r="C46" s="27" t="n">
        <v>0</v>
      </c>
      <c r="D46" s="27" t="n">
        <v>3432.5</v>
      </c>
      <c r="E46" s="27" t="n">
        <v>0</v>
      </c>
      <c r="F46" s="27" t="n">
        <v>596.48</v>
      </c>
      <c r="G46" s="27" t="n">
        <v>0</v>
      </c>
      <c r="H46" s="27">
        <f>G46-F46</f>
        <v/>
      </c>
      <c r="I46" s="11">
        <f>IF(F46=0,0,G46/F46-1)</f>
        <v/>
      </c>
    </row>
    <row r="47">
      <c r="A47" s="9" t="inlineStr">
        <is>
          <t>1000.2200.1000.52010.020</t>
        </is>
      </c>
      <c r="B47" s="9" t="inlineStr">
        <is>
          <t>Teacher Benefits</t>
        </is>
      </c>
      <c r="C47" s="27" t="n">
        <v>8817</v>
      </c>
      <c r="D47" s="27" t="n">
        <v>35612.39</v>
      </c>
      <c r="E47" s="27" t="n">
        <v>4965</v>
      </c>
      <c r="F47" s="27" t="n">
        <v>46586.46</v>
      </c>
      <c r="G47" s="27" t="n">
        <v>5578</v>
      </c>
      <c r="H47" s="27">
        <f>G47-F47</f>
        <v/>
      </c>
      <c r="I47" s="11">
        <f>IF(F47=0,0,G47/F47-1)</f>
        <v/>
      </c>
    </row>
    <row r="48">
      <c r="A48" s="9" t="inlineStr">
        <is>
          <t>1000.2200.1000.52020.020</t>
        </is>
      </c>
      <c r="B48" s="9" t="inlineStr">
        <is>
          <t>Ed Tech Benefits</t>
        </is>
      </c>
      <c r="C48" s="27" t="n">
        <v>5650</v>
      </c>
      <c r="D48" s="27" t="n">
        <v>23608.34</v>
      </c>
      <c r="E48" s="27" t="n">
        <v>20801</v>
      </c>
      <c r="F48" s="27" t="n">
        <v>18762.07</v>
      </c>
      <c r="G48" s="27" t="n">
        <v>0</v>
      </c>
      <c r="H48" s="27">
        <f>G48-F48</f>
        <v/>
      </c>
      <c r="I48" s="11">
        <f>IF(F48=0,0,G48/F48-1)</f>
        <v/>
      </c>
    </row>
    <row r="49">
      <c r="A49" s="9" t="inlineStr">
        <is>
          <t>1000.2200.1000.52030.020</t>
        </is>
      </c>
      <c r="B49" s="9" t="inlineStr">
        <is>
          <t>Substitute Benefits</t>
        </is>
      </c>
      <c r="C49" s="27" t="n">
        <v>0</v>
      </c>
      <c r="D49" s="27" t="n">
        <v>207.17</v>
      </c>
      <c r="E49" s="27" t="n">
        <v>0</v>
      </c>
      <c r="F49" s="27" t="n">
        <v>18.09</v>
      </c>
      <c r="G49" s="27" t="n">
        <v>0</v>
      </c>
      <c r="H49" s="27">
        <f>G49-F49</f>
        <v/>
      </c>
      <c r="I49" s="11">
        <f>IF(F49=0,0,G49/F49-1)</f>
        <v/>
      </c>
    </row>
    <row r="50">
      <c r="A50" s="9" t="inlineStr">
        <is>
          <t>1000.2200.1000.52310.020</t>
        </is>
      </c>
      <c r="B50" s="9" t="inlineStr">
        <is>
          <t>Retirement</t>
        </is>
      </c>
      <c r="C50" s="27" t="n">
        <v>2513</v>
      </c>
      <c r="D50" s="27" t="n">
        <v>8180.68</v>
      </c>
      <c r="E50" s="27" t="n">
        <v>2834</v>
      </c>
      <c r="F50" s="27" t="n">
        <v>10815.45</v>
      </c>
      <c r="G50" s="27" t="n">
        <v>2897</v>
      </c>
      <c r="H50" s="27">
        <f>G50-F50</f>
        <v/>
      </c>
      <c r="I50" s="11">
        <f>IF(F50=0,0,G50/F50-1)</f>
        <v/>
      </c>
    </row>
    <row r="51">
      <c r="A51" s="9" t="inlineStr">
        <is>
          <t>1000.2200.1000.52320.020</t>
        </is>
      </c>
      <c r="B51" s="9" t="inlineStr">
        <is>
          <t>Retirement</t>
        </is>
      </c>
      <c r="C51" s="27" t="n">
        <v>805</v>
      </c>
      <c r="D51" s="27" t="n">
        <v>3190.84</v>
      </c>
      <c r="E51" s="27" t="n">
        <v>2225</v>
      </c>
      <c r="F51" s="27" t="n">
        <v>3669.93</v>
      </c>
      <c r="G51" s="27" t="n">
        <v>0</v>
      </c>
      <c r="H51" s="27">
        <f>G51-F51</f>
        <v/>
      </c>
      <c r="I51" s="11">
        <f>IF(F51=0,0,G51/F51-1)</f>
        <v/>
      </c>
    </row>
    <row r="52">
      <c r="A52" s="9" t="inlineStr">
        <is>
          <t>1000.2200.1000.52330.020</t>
        </is>
      </c>
      <c r="B52" s="9" t="inlineStr">
        <is>
          <t>Retirement</t>
        </is>
      </c>
      <c r="C52" s="27" t="n">
        <v>0</v>
      </c>
      <c r="D52" s="27" t="n">
        <v>52.3</v>
      </c>
      <c r="E52" s="27" t="n">
        <v>0</v>
      </c>
      <c r="F52" s="27" t="n">
        <v>12.37</v>
      </c>
      <c r="G52" s="27" t="n">
        <v>0</v>
      </c>
      <c r="H52" s="27">
        <f>G52-F52</f>
        <v/>
      </c>
      <c r="I52" s="11">
        <f>IF(F52=0,0,G52/F52-1)</f>
        <v/>
      </c>
    </row>
    <row r="53">
      <c r="A53" s="17" t="n"/>
      <c r="B53" s="31" t="inlineStr">
        <is>
          <t>Program 2200 Total</t>
        </is>
      </c>
      <c r="C53" s="32">
        <f>SUM(C44:C52)</f>
        <v/>
      </c>
      <c r="D53" s="32">
        <f>SUM(D44:D52)</f>
        <v/>
      </c>
      <c r="E53" s="32">
        <f>SUM(E44:E52)</f>
        <v/>
      </c>
      <c r="F53" s="32">
        <f>SUM(F44:F52)</f>
        <v/>
      </c>
      <c r="G53" s="32">
        <f>SUM(G44:G52)</f>
        <v/>
      </c>
      <c r="H53" s="32">
        <f>SUM(H44:H52)</f>
        <v/>
      </c>
      <c r="I53" s="32">
        <f>SUM(I44:I52)</f>
        <v/>
      </c>
    </row>
    <row r="54">
      <c r="A54" s="9" t="inlineStr">
        <is>
          <t>1000.2300.1000.51010.020</t>
        </is>
      </c>
      <c r="B54" s="9" t="inlineStr">
        <is>
          <t>Teacher Salaries</t>
        </is>
      </c>
      <c r="C54" s="27" t="n">
        <v>63998</v>
      </c>
      <c r="D54" s="27" t="n">
        <v>121457.72</v>
      </c>
      <c r="E54" s="27" t="n">
        <v>128395</v>
      </c>
      <c r="F54" s="27" t="n">
        <v>57792.8</v>
      </c>
      <c r="G54" s="27" t="n">
        <v>114206</v>
      </c>
      <c r="H54" s="27">
        <f>G54-F54</f>
        <v/>
      </c>
      <c r="I54" s="11">
        <f>IF(F54=0,0,G54/F54-1)</f>
        <v/>
      </c>
    </row>
    <row r="55">
      <c r="A55" s="9" t="inlineStr">
        <is>
          <t>1000.2300.1000.51020.020</t>
        </is>
      </c>
      <c r="B55" s="9" t="inlineStr">
        <is>
          <t>Ed Tech Salaries</t>
        </is>
      </c>
      <c r="C55" s="27" t="n">
        <v>76799</v>
      </c>
      <c r="D55" s="27" t="n">
        <v>71713.75999999999</v>
      </c>
      <c r="E55" s="27" t="n">
        <v>62219</v>
      </c>
      <c r="F55" s="27" t="n">
        <v>52849.45</v>
      </c>
      <c r="G55" s="27" t="n">
        <v>107951</v>
      </c>
      <c r="H55" s="27">
        <f>G55-F55</f>
        <v/>
      </c>
      <c r="I55" s="11">
        <f>IF(F55=0,0,G55/F55-1)</f>
        <v/>
      </c>
    </row>
    <row r="56">
      <c r="A56" s="9" t="inlineStr">
        <is>
          <t>1000.2300.1000.52010.020</t>
        </is>
      </c>
      <c r="B56" s="9" t="inlineStr">
        <is>
          <t>Teacher Benefits</t>
        </is>
      </c>
      <c r="C56" s="27" t="n">
        <v>9355</v>
      </c>
      <c r="D56" s="27" t="n">
        <v>26440.54</v>
      </c>
      <c r="E56" s="27" t="n">
        <v>26823</v>
      </c>
      <c r="F56" s="27" t="n">
        <v>21736.38</v>
      </c>
      <c r="G56" s="27" t="n">
        <v>26696</v>
      </c>
      <c r="H56" s="27">
        <f>G56-F56</f>
        <v/>
      </c>
      <c r="I56" s="11">
        <f>IF(F56=0,0,G56/F56-1)</f>
        <v/>
      </c>
    </row>
    <row r="57">
      <c r="A57" s="9" t="inlineStr">
        <is>
          <t>1000.2300.1000.52020.020</t>
        </is>
      </c>
      <c r="B57" s="9" t="inlineStr">
        <is>
          <t>Ed Tech Benefits</t>
        </is>
      </c>
      <c r="C57" s="27" t="n">
        <v>29461</v>
      </c>
      <c r="D57" s="27" t="n">
        <v>25330.2</v>
      </c>
      <c r="E57" s="27" t="n">
        <v>21327</v>
      </c>
      <c r="F57" s="27" t="n">
        <v>26654.85</v>
      </c>
      <c r="G57" s="27" t="n">
        <v>36967</v>
      </c>
      <c r="H57" s="27">
        <f>G57-F57</f>
        <v/>
      </c>
      <c r="I57" s="11">
        <f>IF(F57=0,0,G57/F57-1)</f>
        <v/>
      </c>
    </row>
    <row r="58">
      <c r="A58" s="9" t="inlineStr">
        <is>
          <t>1000.2300.1000.52310.020</t>
        </is>
      </c>
      <c r="B58" s="9" t="inlineStr">
        <is>
          <t>Retirement</t>
        </is>
      </c>
      <c r="C58" s="27" t="n">
        <v>2541</v>
      </c>
      <c r="D58" s="27" t="n">
        <v>4867.52</v>
      </c>
      <c r="E58" s="27" t="n">
        <v>5341</v>
      </c>
      <c r="F58" s="27" t="n">
        <v>2404.2</v>
      </c>
      <c r="G58" s="27" t="n">
        <v>4751</v>
      </c>
      <c r="H58" s="27">
        <f>G58-F58</f>
        <v/>
      </c>
      <c r="I58" s="11">
        <f>IF(F58=0,0,G58/F58-1)</f>
        <v/>
      </c>
    </row>
    <row r="59">
      <c r="A59" s="9" t="inlineStr">
        <is>
          <t>1000.2300.1000.52320.020</t>
        </is>
      </c>
      <c r="B59" s="9" t="inlineStr">
        <is>
          <t>Retirement</t>
        </is>
      </c>
      <c r="C59" s="27" t="n">
        <v>3049</v>
      </c>
      <c r="D59" s="27" t="n">
        <v>2846.93</v>
      </c>
      <c r="E59" s="27" t="n">
        <v>2588</v>
      </c>
      <c r="F59" s="27" t="n">
        <v>2198.5</v>
      </c>
      <c r="G59" s="27" t="n">
        <v>4670</v>
      </c>
      <c r="H59" s="27">
        <f>G59-F59</f>
        <v/>
      </c>
      <c r="I59" s="11">
        <f>IF(F59=0,0,G59/F59-1)</f>
        <v/>
      </c>
    </row>
    <row r="60">
      <c r="A60" s="17" t="n"/>
      <c r="B60" s="31" t="inlineStr">
        <is>
          <t>Program 2300 Total</t>
        </is>
      </c>
      <c r="C60" s="32">
        <f>SUM(C54:C59)</f>
        <v/>
      </c>
      <c r="D60" s="32">
        <f>SUM(D54:D59)</f>
        <v/>
      </c>
      <c r="E60" s="32">
        <f>SUM(E54:E59)</f>
        <v/>
      </c>
      <c r="F60" s="32">
        <f>SUM(F54:F59)</f>
        <v/>
      </c>
      <c r="G60" s="32">
        <f>SUM(G54:G59)</f>
        <v/>
      </c>
      <c r="H60" s="32">
        <f>SUM(H54:H59)</f>
        <v/>
      </c>
      <c r="I60" s="32">
        <f>SUM(I54:I59)</f>
        <v/>
      </c>
    </row>
    <row r="61">
      <c r="A61" s="17" t="n"/>
      <c r="B61" s="33" t="inlineStr">
        <is>
          <t>Function 1000 Total</t>
        </is>
      </c>
      <c r="C61" s="34">
        <f>C53+C60</f>
        <v/>
      </c>
      <c r="D61" s="34">
        <f>D53+D60</f>
        <v/>
      </c>
      <c r="E61" s="34">
        <f>E53+E60</f>
        <v/>
      </c>
      <c r="F61" s="34">
        <f>F53+F60</f>
        <v/>
      </c>
      <c r="G61" s="34">
        <f>G53+G60</f>
        <v/>
      </c>
      <c r="H61" s="34">
        <f>H53+H60</f>
        <v/>
      </c>
      <c r="I61" s="34">
        <f>I53+I60</f>
        <v/>
      </c>
    </row>
    <row r="62">
      <c r="A62" s="9" t="inlineStr">
        <is>
          <t>1000.2800.2110.51010.020</t>
        </is>
      </c>
      <c r="B62" s="9" t="inlineStr">
        <is>
          <t>Teacher Salaries</t>
        </is>
      </c>
      <c r="C62" s="27" t="n">
        <v>19918</v>
      </c>
      <c r="D62" s="27" t="n">
        <v>64837.5</v>
      </c>
      <c r="E62" s="27" t="n">
        <v>37487</v>
      </c>
      <c r="F62" s="27" t="n">
        <v>67888.08</v>
      </c>
      <c r="G62" s="27" t="n">
        <v>31511</v>
      </c>
      <c r="H62" s="27">
        <f>G62-F62</f>
        <v/>
      </c>
      <c r="I62" s="11">
        <f>IF(F62=0,0,G62/F62-1)</f>
        <v/>
      </c>
    </row>
    <row r="63">
      <c r="A63" s="9" t="inlineStr">
        <is>
          <t>1000.2800.2110.52010.020</t>
        </is>
      </c>
      <c r="B63" s="9" t="inlineStr">
        <is>
          <t>Teacher Benefits</t>
        </is>
      </c>
      <c r="C63" s="27" t="n">
        <v>5964</v>
      </c>
      <c r="D63" s="27" t="n">
        <v>16987.48</v>
      </c>
      <c r="E63" s="27" t="n">
        <v>9388</v>
      </c>
      <c r="F63" s="27" t="n">
        <v>16978.76</v>
      </c>
      <c r="G63" s="27" t="n">
        <v>2109</v>
      </c>
      <c r="H63" s="27">
        <f>G63-F63</f>
        <v/>
      </c>
      <c r="I63" s="11">
        <f>IF(F63=0,0,G63/F63-1)</f>
        <v/>
      </c>
    </row>
    <row r="64">
      <c r="A64" s="9" t="inlineStr">
        <is>
          <t>1000.2800.2110.52310.020</t>
        </is>
      </c>
      <c r="B64" s="9" t="inlineStr">
        <is>
          <t>Retirement</t>
        </is>
      </c>
      <c r="C64" s="27" t="n">
        <v>791</v>
      </c>
      <c r="D64" s="27" t="n">
        <v>2592.85</v>
      </c>
      <c r="E64" s="27" t="n">
        <v>1559</v>
      </c>
      <c r="F64" s="27" t="n">
        <v>2824.38</v>
      </c>
      <c r="G64" s="27" t="n">
        <v>1311</v>
      </c>
      <c r="H64" s="27">
        <f>G64-F64</f>
        <v/>
      </c>
      <c r="I64" s="11">
        <f>IF(F64=0,0,G64/F64-1)</f>
        <v/>
      </c>
    </row>
    <row r="65">
      <c r="A65" s="9" t="inlineStr">
        <is>
          <t>1000.2800.2110.55800.020</t>
        </is>
      </c>
      <c r="B65" s="9" t="inlineStr">
        <is>
          <t>Travel</t>
        </is>
      </c>
      <c r="C65" s="27" t="n">
        <v>100</v>
      </c>
      <c r="D65" s="27" t="n">
        <v>203.05</v>
      </c>
      <c r="E65" s="27" t="n">
        <v>0</v>
      </c>
      <c r="F65" s="27" t="n">
        <v>0</v>
      </c>
      <c r="G65" s="27" t="n">
        <v>210</v>
      </c>
      <c r="H65" s="27">
        <f>G65-F65</f>
        <v/>
      </c>
      <c r="I65" s="11">
        <f>IF(F65=0,0,G65/F65-1)</f>
        <v/>
      </c>
    </row>
    <row r="66">
      <c r="A66" s="17" t="n"/>
      <c r="B66" s="31" t="inlineStr">
        <is>
          <t>Program 2800 Total</t>
        </is>
      </c>
      <c r="C66" s="32">
        <f>SUM(C62:C65)</f>
        <v/>
      </c>
      <c r="D66" s="32">
        <f>SUM(D62:D65)</f>
        <v/>
      </c>
      <c r="E66" s="32">
        <f>SUM(E62:E65)</f>
        <v/>
      </c>
      <c r="F66" s="32">
        <f>SUM(F62:F65)</f>
        <v/>
      </c>
      <c r="G66" s="32">
        <f>SUM(G62:G65)</f>
        <v/>
      </c>
      <c r="H66" s="32">
        <f>SUM(H62:H65)</f>
        <v/>
      </c>
      <c r="I66" s="32">
        <f>SUM(I62:I65)</f>
        <v/>
      </c>
    </row>
    <row r="67">
      <c r="A67" s="9" t="inlineStr">
        <is>
          <t>1000.2800.2140.51010.020</t>
        </is>
      </c>
      <c r="B67" s="9" t="inlineStr">
        <is>
          <t>Teacher Salaries</t>
        </is>
      </c>
      <c r="C67" s="27" t="n">
        <v>27521</v>
      </c>
      <c r="D67" s="27" t="n">
        <v>16650.91</v>
      </c>
      <c r="E67" s="27" t="n">
        <v>26423</v>
      </c>
      <c r="F67" s="27" t="n">
        <v>25390.19</v>
      </c>
      <c r="G67" s="27" t="n">
        <v>25842</v>
      </c>
      <c r="H67" s="27">
        <f>G67-F67</f>
        <v/>
      </c>
      <c r="I67" s="11">
        <f>IF(F67=0,0,G67/F67-1)</f>
        <v/>
      </c>
    </row>
    <row r="68">
      <c r="A68" s="9" t="inlineStr">
        <is>
          <t>1000.2800.2140.52010.020</t>
        </is>
      </c>
      <c r="B68" s="9" t="inlineStr">
        <is>
          <t>Teacher Benefit</t>
        </is>
      </c>
      <c r="C68" s="27" t="n">
        <v>6963</v>
      </c>
      <c r="D68" s="27" t="n">
        <v>3953</v>
      </c>
      <c r="E68" s="27" t="n">
        <v>4868</v>
      </c>
      <c r="F68" s="27" t="n">
        <v>5028.74</v>
      </c>
      <c r="G68" s="27" t="n">
        <v>5123</v>
      </c>
      <c r="H68" s="27">
        <f>G68-F68</f>
        <v/>
      </c>
      <c r="I68" s="11">
        <f>IF(F68=0,0,G68/F68-1)</f>
        <v/>
      </c>
    </row>
    <row r="69">
      <c r="A69" s="9" t="inlineStr">
        <is>
          <t>1000.2800.2140.52310.020</t>
        </is>
      </c>
      <c r="B69" s="9" t="inlineStr">
        <is>
          <t>Retirement</t>
        </is>
      </c>
      <c r="C69" s="27" t="n">
        <v>1093</v>
      </c>
      <c r="D69" s="27" t="n">
        <v>665.8099999999999</v>
      </c>
      <c r="E69" s="27" t="n">
        <v>1099</v>
      </c>
      <c r="F69" s="27" t="n">
        <v>1056.13</v>
      </c>
      <c r="G69" s="27" t="n">
        <v>1075</v>
      </c>
      <c r="H69" s="27">
        <f>G69-F69</f>
        <v/>
      </c>
      <c r="I69" s="11">
        <f>IF(F69=0,0,G69/F69-1)</f>
        <v/>
      </c>
    </row>
    <row r="70">
      <c r="A70" s="9" t="inlineStr">
        <is>
          <t>1000.2800.2140.55800.020</t>
        </is>
      </c>
      <c r="B70" s="9" t="inlineStr">
        <is>
          <t>Travel</t>
        </is>
      </c>
      <c r="C70" s="27" t="n">
        <v>360</v>
      </c>
      <c r="D70" s="27" t="n">
        <v>0</v>
      </c>
      <c r="E70" s="27" t="n">
        <v>320</v>
      </c>
      <c r="F70" s="27" t="n">
        <v>0</v>
      </c>
      <c r="G70" s="27" t="n">
        <v>116</v>
      </c>
      <c r="H70" s="27">
        <f>G70-F70</f>
        <v/>
      </c>
      <c r="I70" s="11">
        <f>IF(F70=0,0,G70/F70-1)</f>
        <v/>
      </c>
    </row>
    <row r="71">
      <c r="A71" s="17" t="n"/>
      <c r="B71" s="31" t="inlineStr">
        <is>
          <t>Program 2800 Total</t>
        </is>
      </c>
      <c r="C71" s="32">
        <f>SUM(C67:C70)</f>
        <v/>
      </c>
      <c r="D71" s="32">
        <f>SUM(D67:D70)</f>
        <v/>
      </c>
      <c r="E71" s="32">
        <f>SUM(E67:E70)</f>
        <v/>
      </c>
      <c r="F71" s="32">
        <f>SUM(F67:F70)</f>
        <v/>
      </c>
      <c r="G71" s="32">
        <f>SUM(G67:G70)</f>
        <v/>
      </c>
      <c r="H71" s="32">
        <f>SUM(H67:H70)</f>
        <v/>
      </c>
      <c r="I71" s="32">
        <f>SUM(I67:I70)</f>
        <v/>
      </c>
    </row>
    <row r="72">
      <c r="A72" s="9" t="inlineStr">
        <is>
          <t>1000.2800.2150.51010.020</t>
        </is>
      </c>
      <c r="B72" s="9" t="inlineStr">
        <is>
          <t>Teacher Salaries</t>
        </is>
      </c>
      <c r="C72" s="27" t="n">
        <v>76212</v>
      </c>
      <c r="D72" s="27" t="n">
        <v>73445.12</v>
      </c>
      <c r="E72" s="27" t="n">
        <v>51937</v>
      </c>
      <c r="F72" s="27" t="n">
        <v>68602.24000000001</v>
      </c>
      <c r="G72" s="27" t="n">
        <v>55307</v>
      </c>
      <c r="H72" s="27">
        <f>G72-F72</f>
        <v/>
      </c>
      <c r="I72" s="11">
        <f>IF(F72=0,0,G72/F72-1)</f>
        <v/>
      </c>
    </row>
    <row r="73">
      <c r="A73" s="9" t="inlineStr">
        <is>
          <t>1000.2800.2150.52010.020</t>
        </is>
      </c>
      <c r="B73" s="9" t="inlineStr">
        <is>
          <t>Teacher Benefits</t>
        </is>
      </c>
      <c r="C73" s="27" t="n">
        <v>15191</v>
      </c>
      <c r="D73" s="27" t="n">
        <v>11706.91</v>
      </c>
      <c r="E73" s="27" t="n">
        <v>9906</v>
      </c>
      <c r="F73" s="27" t="n">
        <v>10678.06</v>
      </c>
      <c r="G73" s="27" t="n">
        <v>10065</v>
      </c>
      <c r="H73" s="27">
        <f>G73-F73</f>
        <v/>
      </c>
      <c r="I73" s="11">
        <f>IF(F73=0,0,G73/F73-1)</f>
        <v/>
      </c>
    </row>
    <row r="74">
      <c r="A74" s="9" t="inlineStr">
        <is>
          <t>1000.2800.2150.52310.020</t>
        </is>
      </c>
      <c r="B74" s="9" t="inlineStr">
        <is>
          <t>Retirement</t>
        </is>
      </c>
      <c r="C74" s="27" t="n">
        <v>3026</v>
      </c>
      <c r="D74" s="27" t="n">
        <v>2443.04</v>
      </c>
      <c r="E74" s="27" t="n">
        <v>2161</v>
      </c>
      <c r="F74" s="27" t="n">
        <v>2343.48</v>
      </c>
      <c r="G74" s="27" t="n">
        <v>2301</v>
      </c>
      <c r="H74" s="27">
        <f>G74-F74</f>
        <v/>
      </c>
      <c r="I74" s="11">
        <f>IF(F74=0,0,G74/F74-1)</f>
        <v/>
      </c>
    </row>
    <row r="75">
      <c r="A75" s="17" t="n"/>
      <c r="B75" s="31" t="inlineStr">
        <is>
          <t>Program 2800 Total</t>
        </is>
      </c>
      <c r="C75" s="32">
        <f>SUM(C72:C74)</f>
        <v/>
      </c>
      <c r="D75" s="32">
        <f>SUM(D72:D74)</f>
        <v/>
      </c>
      <c r="E75" s="32">
        <f>SUM(E72:E74)</f>
        <v/>
      </c>
      <c r="F75" s="32">
        <f>SUM(F72:F74)</f>
        <v/>
      </c>
      <c r="G75" s="32">
        <f>SUM(G72:G74)</f>
        <v/>
      </c>
      <c r="H75" s="32">
        <f>SUM(H72:H74)</f>
        <v/>
      </c>
      <c r="I75" s="32">
        <f>SUM(I72:I74)</f>
        <v/>
      </c>
    </row>
    <row r="76">
      <c r="A76" s="9" t="inlineStr">
        <is>
          <t>1000.2800.2160.51010.020</t>
        </is>
      </c>
      <c r="B76" s="9" t="inlineStr">
        <is>
          <t>Teacher Salaries</t>
        </is>
      </c>
      <c r="C76" s="27" t="n">
        <v>14110</v>
      </c>
      <c r="D76" s="27" t="n">
        <v>21331.19</v>
      </c>
      <c r="E76" s="27" t="n">
        <v>32217</v>
      </c>
      <c r="F76" s="27" t="n">
        <v>32217.35</v>
      </c>
      <c r="G76" s="27" t="n">
        <v>34081</v>
      </c>
      <c r="H76" s="27">
        <f>G76-F76</f>
        <v/>
      </c>
      <c r="I76" s="11">
        <f>IF(F76=0,0,G76/F76-1)</f>
        <v/>
      </c>
    </row>
    <row r="77">
      <c r="A77" s="9" t="inlineStr">
        <is>
          <t>1000.2800.2160.52010.020</t>
        </is>
      </c>
      <c r="B77" s="9" t="inlineStr">
        <is>
          <t>Teacher Benefits</t>
        </is>
      </c>
      <c r="C77" s="27" t="n">
        <v>4802</v>
      </c>
      <c r="D77" s="27" t="n">
        <v>2193.07</v>
      </c>
      <c r="E77" s="27" t="n">
        <v>2793</v>
      </c>
      <c r="F77" s="27" t="n">
        <v>4734.25</v>
      </c>
      <c r="G77" s="27" t="n">
        <v>2867</v>
      </c>
      <c r="H77" s="27">
        <f>G77-F77</f>
        <v/>
      </c>
      <c r="I77" s="11">
        <f>IF(F77=0,0,G77/F77-1)</f>
        <v/>
      </c>
    </row>
    <row r="78">
      <c r="A78" s="9" t="inlineStr">
        <is>
          <t>1000.2800.2160.52310.020</t>
        </is>
      </c>
      <c r="B78" s="9" t="inlineStr">
        <is>
          <t>Retirement</t>
        </is>
      </c>
      <c r="C78" s="27" t="n">
        <v>560</v>
      </c>
      <c r="D78" s="27" t="n">
        <v>794.35</v>
      </c>
      <c r="E78" s="27" t="n">
        <v>1340</v>
      </c>
      <c r="F78" s="27" t="n">
        <v>1340.28</v>
      </c>
      <c r="G78" s="27" t="n">
        <v>1418</v>
      </c>
      <c r="H78" s="27">
        <f>G78-F78</f>
        <v/>
      </c>
      <c r="I78" s="11">
        <f>IF(F78=0,0,G78/F78-1)</f>
        <v/>
      </c>
    </row>
    <row r="79">
      <c r="A79" s="9" t="inlineStr">
        <is>
          <t>1000.2800.2160.55800.020</t>
        </is>
      </c>
      <c r="B79" s="9" t="inlineStr">
        <is>
          <t>Travel</t>
        </is>
      </c>
      <c r="C79" s="27" t="n">
        <v>150</v>
      </c>
      <c r="D79" s="27" t="n">
        <v>79.95</v>
      </c>
      <c r="E79" s="27" t="n">
        <v>160</v>
      </c>
      <c r="F79" s="27" t="n">
        <v>0</v>
      </c>
      <c r="G79" s="27" t="n">
        <v>80</v>
      </c>
      <c r="H79" s="27">
        <f>G79-F79</f>
        <v/>
      </c>
      <c r="I79" s="11">
        <f>IF(F79=0,0,G79/F79-1)</f>
        <v/>
      </c>
    </row>
    <row r="80">
      <c r="A80" s="17" t="n"/>
      <c r="B80" s="31" t="inlineStr">
        <is>
          <t>Program 2800 Total</t>
        </is>
      </c>
      <c r="C80" s="32">
        <f>SUM(C76:C79)</f>
        <v/>
      </c>
      <c r="D80" s="32">
        <f>SUM(D76:D79)</f>
        <v/>
      </c>
      <c r="E80" s="32">
        <f>SUM(E76:E79)</f>
        <v/>
      </c>
      <c r="F80" s="32">
        <f>SUM(F76:F79)</f>
        <v/>
      </c>
      <c r="G80" s="32">
        <f>SUM(G76:G79)</f>
        <v/>
      </c>
      <c r="H80" s="32">
        <f>SUM(H76:H79)</f>
        <v/>
      </c>
      <c r="I80" s="32">
        <f>SUM(I76:I79)</f>
        <v/>
      </c>
    </row>
    <row r="81">
      <c r="A81" s="17" t="n"/>
      <c r="B81" s="20" t="inlineStr">
        <is>
          <t>Cost Center ('020',) Total</t>
        </is>
      </c>
      <c r="C81" s="35">
        <f>C61+C66+C71+C75+C80</f>
        <v/>
      </c>
      <c r="D81" s="35">
        <f>D61+D66+D71+D75+D80</f>
        <v/>
      </c>
      <c r="E81" s="35">
        <f>E61+E66+E71+E75+E80</f>
        <v/>
      </c>
      <c r="F81" s="35">
        <f>F61+F66+F71+F75+F80</f>
        <v/>
      </c>
      <c r="G81" s="35">
        <f>G61+G66+G71+G75+G80</f>
        <v/>
      </c>
      <c r="H81" s="35">
        <f>H61+H66+H71+H75+H80</f>
        <v/>
      </c>
      <c r="I81" s="35">
        <f>I61+I66+I71+I75+I80</f>
        <v/>
      </c>
    </row>
    <row r="83">
      <c r="A83" s="3" t="inlineStr">
        <is>
          <t>Cost Center: ('030',)</t>
        </is>
      </c>
    </row>
    <row r="84">
      <c r="A84" s="9" t="inlineStr">
        <is>
          <t>1000.2200.1000.51010.030</t>
        </is>
      </c>
      <c r="B84" s="9" t="inlineStr">
        <is>
          <t>Teacher Salaries</t>
        </is>
      </c>
      <c r="C84" s="27" t="n">
        <v>35990</v>
      </c>
      <c r="D84" s="27" t="n">
        <v>49137.36</v>
      </c>
      <c r="E84" s="27" t="n">
        <v>40612</v>
      </c>
      <c r="F84" s="27" t="n">
        <v>92909.86</v>
      </c>
      <c r="G84" s="27" t="n">
        <v>34562</v>
      </c>
      <c r="H84" s="27">
        <f>G84-F84</f>
        <v/>
      </c>
      <c r="I84" s="11">
        <f>IF(F84=0,0,G84/F84-1)</f>
        <v/>
      </c>
    </row>
    <row r="85">
      <c r="A85" s="9" t="inlineStr">
        <is>
          <t>1000.2200.1000.51020.030</t>
        </is>
      </c>
      <c r="B85" s="9" t="inlineStr">
        <is>
          <t>Ed Tech Salaries</t>
        </is>
      </c>
      <c r="C85" s="27" t="n">
        <v>20273</v>
      </c>
      <c r="D85" s="27" t="n">
        <v>21829.8</v>
      </c>
      <c r="E85" s="27" t="n">
        <v>47838</v>
      </c>
      <c r="F85" s="27" t="n">
        <v>21644.17</v>
      </c>
      <c r="G85" s="27" t="n">
        <v>23919</v>
      </c>
      <c r="H85" s="27">
        <f>G85-F85</f>
        <v/>
      </c>
      <c r="I85" s="11">
        <f>IF(F85=0,0,G85/F85-1)</f>
        <v/>
      </c>
    </row>
    <row r="86">
      <c r="A86" s="9" t="inlineStr">
        <is>
          <t>1000.2200.1000.51210.030</t>
        </is>
      </c>
      <c r="B86" s="9" t="inlineStr">
        <is>
          <t>Tutor Wages</t>
        </is>
      </c>
      <c r="C86" s="27" t="n">
        <v>0</v>
      </c>
      <c r="D86" s="27" t="n">
        <v>0</v>
      </c>
      <c r="E86" s="27" t="n">
        <v>0</v>
      </c>
      <c r="F86" s="27" t="n">
        <v>0</v>
      </c>
      <c r="G86" s="27" t="n">
        <v>0</v>
      </c>
      <c r="H86" s="27">
        <f>G86-F86</f>
        <v/>
      </c>
      <c r="I86" s="11">
        <f>IF(F86=0,0,G86/F86-1)</f>
        <v/>
      </c>
    </row>
    <row r="87">
      <c r="A87" s="9" t="inlineStr">
        <is>
          <t>1000.2200.1000.52010.030</t>
        </is>
      </c>
      <c r="B87" s="9" t="inlineStr">
        <is>
          <t>Teacher Benefits</t>
        </is>
      </c>
      <c r="C87" s="27" t="n">
        <v>10054</v>
      </c>
      <c r="D87" s="27" t="n">
        <v>19107.06</v>
      </c>
      <c r="E87" s="27" t="n">
        <v>9662</v>
      </c>
      <c r="F87" s="27" t="n">
        <v>28672.35</v>
      </c>
      <c r="G87" s="27" t="n">
        <v>7834</v>
      </c>
      <c r="H87" s="27">
        <f>G87-F87</f>
        <v/>
      </c>
      <c r="I87" s="11">
        <f>IF(F87=0,0,G87/F87-1)</f>
        <v/>
      </c>
    </row>
    <row r="88">
      <c r="A88" s="9" t="inlineStr">
        <is>
          <t>1000.2200.1000.52020.030</t>
        </is>
      </c>
      <c r="B88" s="9" t="inlineStr">
        <is>
          <t>Ed Tech Benefits</t>
        </is>
      </c>
      <c r="C88" s="27" t="n">
        <v>5650</v>
      </c>
      <c r="D88" s="27" t="n">
        <v>636.78</v>
      </c>
      <c r="E88" s="27" t="n">
        <v>15171</v>
      </c>
      <c r="F88" s="27" t="n">
        <v>634.97</v>
      </c>
      <c r="G88" s="27" t="n">
        <v>5982</v>
      </c>
      <c r="H88" s="27">
        <f>G88-F88</f>
        <v/>
      </c>
      <c r="I88" s="11">
        <f>IF(F88=0,0,G88/F88-1)</f>
        <v/>
      </c>
    </row>
    <row r="89">
      <c r="A89" s="9" t="inlineStr">
        <is>
          <t>1000.2200.1000.52310.030</t>
        </is>
      </c>
      <c r="B89" s="9" t="inlineStr">
        <is>
          <t>Retirement</t>
        </is>
      </c>
      <c r="C89" s="27" t="n">
        <v>1429</v>
      </c>
      <c r="D89" s="27" t="n">
        <v>2013.39</v>
      </c>
      <c r="E89" s="27" t="n">
        <v>1689</v>
      </c>
      <c r="F89" s="27" t="n">
        <v>3849.24</v>
      </c>
      <c r="G89" s="27" t="n">
        <v>1438</v>
      </c>
      <c r="H89" s="27">
        <f>G89-F89</f>
        <v/>
      </c>
      <c r="I89" s="11">
        <f>IF(F89=0,0,G89/F89-1)</f>
        <v/>
      </c>
    </row>
    <row r="90">
      <c r="A90" s="9" t="inlineStr">
        <is>
          <t>1000.2200.1000.52320.030</t>
        </is>
      </c>
      <c r="B90" s="9" t="inlineStr">
        <is>
          <t>Retirement</t>
        </is>
      </c>
      <c r="C90" s="27" t="n">
        <v>2084</v>
      </c>
      <c r="D90" s="27" t="n">
        <v>866.64</v>
      </c>
      <c r="E90" s="27" t="n">
        <v>2225</v>
      </c>
      <c r="F90" s="27" t="n">
        <v>937.64</v>
      </c>
      <c r="G90" s="27" t="n">
        <v>1035</v>
      </c>
      <c r="H90" s="27">
        <f>G90-F90</f>
        <v/>
      </c>
      <c r="I90" s="11">
        <f>IF(F90=0,0,G90/F90-1)</f>
        <v/>
      </c>
    </row>
    <row r="91">
      <c r="A91" s="17" t="n"/>
      <c r="B91" s="31" t="inlineStr">
        <is>
          <t>Program 2200 Total</t>
        </is>
      </c>
      <c r="C91" s="32">
        <f>SUM(C84:C90)</f>
        <v/>
      </c>
      <c r="D91" s="32">
        <f>SUM(D84:D90)</f>
        <v/>
      </c>
      <c r="E91" s="32">
        <f>SUM(E84:E90)</f>
        <v/>
      </c>
      <c r="F91" s="32">
        <f>SUM(F84:F90)</f>
        <v/>
      </c>
      <c r="G91" s="32">
        <f>SUM(G84:G90)</f>
        <v/>
      </c>
      <c r="H91" s="32">
        <f>SUM(H84:H90)</f>
        <v/>
      </c>
      <c r="I91" s="32">
        <f>SUM(I84:I90)</f>
        <v/>
      </c>
    </row>
    <row r="92">
      <c r="A92" s="9" t="inlineStr">
        <is>
          <t>1000.2300.1000.51010.030</t>
        </is>
      </c>
      <c r="B92" s="9" t="inlineStr">
        <is>
          <t>Teacher Salaries</t>
        </is>
      </c>
      <c r="C92" s="27" t="n">
        <v>50792</v>
      </c>
      <c r="D92" s="27" t="n">
        <v>0</v>
      </c>
      <c r="E92" s="27" t="n">
        <v>0</v>
      </c>
      <c r="F92" s="27" t="n">
        <v>0</v>
      </c>
      <c r="G92" s="27" t="n">
        <v>0</v>
      </c>
      <c r="H92" s="27">
        <f>G92-F92</f>
        <v/>
      </c>
      <c r="I92" s="11">
        <f>IF(F92=0,0,G92/F92-1)</f>
        <v/>
      </c>
    </row>
    <row r="93">
      <c r="A93" s="9" t="inlineStr">
        <is>
          <t>1000.2300.1000.51020.030</t>
        </is>
      </c>
      <c r="B93" s="9" t="inlineStr">
        <is>
          <t>Ed Tech Salaries</t>
        </is>
      </c>
      <c r="C93" s="27" t="n">
        <v>72724</v>
      </c>
      <c r="D93" s="27" t="n">
        <v>35465.6</v>
      </c>
      <c r="E93" s="27" t="n">
        <v>23919</v>
      </c>
      <c r="F93" s="27" t="n">
        <v>23995.25</v>
      </c>
      <c r="G93" s="27" t="n">
        <v>23919</v>
      </c>
      <c r="H93" s="27">
        <f>G93-F93</f>
        <v/>
      </c>
      <c r="I93" s="11">
        <f>IF(F93=0,0,G93/F93-1)</f>
        <v/>
      </c>
    </row>
    <row r="94">
      <c r="A94" s="9" t="inlineStr">
        <is>
          <t>1000.2300.1000.52010.030</t>
        </is>
      </c>
      <c r="B94" s="9" t="inlineStr">
        <is>
          <t>Teacher Benefits</t>
        </is>
      </c>
      <c r="C94" s="27" t="n">
        <v>24350</v>
      </c>
      <c r="D94" s="27" t="n">
        <v>0</v>
      </c>
      <c r="E94" s="27" t="n">
        <v>0</v>
      </c>
      <c r="F94" s="27" t="n">
        <v>0</v>
      </c>
      <c r="G94" s="27" t="n">
        <v>0</v>
      </c>
      <c r="H94" s="27">
        <f>G94-F94</f>
        <v/>
      </c>
      <c r="I94" s="11">
        <f>IF(F94=0,0,G94/F94-1)</f>
        <v/>
      </c>
    </row>
    <row r="95">
      <c r="A95" s="9" t="inlineStr">
        <is>
          <t>1000.2300.1000.52020.030</t>
        </is>
      </c>
      <c r="B95" s="9" t="inlineStr">
        <is>
          <t>Ed Tech Benefits</t>
        </is>
      </c>
      <c r="C95" s="27" t="n">
        <v>34886</v>
      </c>
      <c r="D95" s="27" t="n">
        <v>13401.61</v>
      </c>
      <c r="E95" s="27" t="n">
        <v>15891</v>
      </c>
      <c r="F95" s="27" t="n">
        <v>9066.459999999999</v>
      </c>
      <c r="G95" s="27" t="n">
        <v>16964</v>
      </c>
      <c r="H95" s="27">
        <f>G95-F95</f>
        <v/>
      </c>
      <c r="I95" s="11">
        <f>IF(F95=0,0,G95/F95-1)</f>
        <v/>
      </c>
    </row>
    <row r="96">
      <c r="A96" s="9" t="inlineStr">
        <is>
          <t>1000.2300.1000.52310.030</t>
        </is>
      </c>
      <c r="B96" s="9" t="inlineStr">
        <is>
          <t>Retirement</t>
        </is>
      </c>
      <c r="C96" s="27" t="n">
        <v>2016</v>
      </c>
      <c r="D96" s="27" t="n">
        <v>0</v>
      </c>
      <c r="E96" s="27" t="n">
        <v>0</v>
      </c>
      <c r="F96" s="27" t="n">
        <v>0</v>
      </c>
      <c r="G96" s="27" t="n">
        <v>0</v>
      </c>
      <c r="H96" s="27">
        <f>G96-F96</f>
        <v/>
      </c>
      <c r="I96" s="11">
        <f>IF(F96=0,0,G96/F96-1)</f>
        <v/>
      </c>
    </row>
    <row r="97">
      <c r="A97" s="9" t="inlineStr">
        <is>
          <t>1000.2300.1000.52320.030</t>
        </is>
      </c>
      <c r="B97" s="9" t="inlineStr">
        <is>
          <t>Retirement</t>
        </is>
      </c>
      <c r="C97" s="27" t="n">
        <v>2887</v>
      </c>
      <c r="D97" s="27" t="n">
        <v>428.57</v>
      </c>
      <c r="E97" s="27" t="n">
        <v>995</v>
      </c>
      <c r="F97" s="27" t="n">
        <v>998.23</v>
      </c>
      <c r="G97" s="27" t="n">
        <v>1035</v>
      </c>
      <c r="H97" s="27">
        <f>G97-F97</f>
        <v/>
      </c>
      <c r="I97" s="11">
        <f>IF(F97=0,0,G97/F97-1)</f>
        <v/>
      </c>
    </row>
    <row r="98">
      <c r="A98" s="17" t="n"/>
      <c r="B98" s="31" t="inlineStr">
        <is>
          <t>Program 2300 Total</t>
        </is>
      </c>
      <c r="C98" s="32">
        <f>SUM(C92:C97)</f>
        <v/>
      </c>
      <c r="D98" s="32">
        <f>SUM(D92:D97)</f>
        <v/>
      </c>
      <c r="E98" s="32">
        <f>SUM(E92:E97)</f>
        <v/>
      </c>
      <c r="F98" s="32">
        <f>SUM(F92:F97)</f>
        <v/>
      </c>
      <c r="G98" s="32">
        <f>SUM(G92:G97)</f>
        <v/>
      </c>
      <c r="H98" s="32">
        <f>SUM(H92:H97)</f>
        <v/>
      </c>
      <c r="I98" s="32">
        <f>SUM(I92:I97)</f>
        <v/>
      </c>
    </row>
    <row r="99">
      <c r="A99" s="17" t="n"/>
      <c r="B99" s="33" t="inlineStr">
        <is>
          <t>Function 1000 Total</t>
        </is>
      </c>
      <c r="C99" s="34">
        <f>C91+C98</f>
        <v/>
      </c>
      <c r="D99" s="34">
        <f>D91+D98</f>
        <v/>
      </c>
      <c r="E99" s="34">
        <f>E91+E98</f>
        <v/>
      </c>
      <c r="F99" s="34">
        <f>F91+F98</f>
        <v/>
      </c>
      <c r="G99" s="34">
        <f>G91+G98</f>
        <v/>
      </c>
      <c r="H99" s="34">
        <f>H91+H98</f>
        <v/>
      </c>
      <c r="I99" s="34">
        <f>I91+I98</f>
        <v/>
      </c>
    </row>
    <row r="100">
      <c r="A100" s="9" t="inlineStr">
        <is>
          <t>1000.2800.2110.51010.030</t>
        </is>
      </c>
      <c r="B100" s="9" t="inlineStr">
        <is>
          <t>Teacher Salaries</t>
        </is>
      </c>
      <c r="C100" s="27" t="n">
        <v>24960</v>
      </c>
      <c r="D100" s="27" t="n">
        <v>25458.28</v>
      </c>
      <c r="E100" s="27" t="n">
        <v>29866</v>
      </c>
      <c r="F100" s="27" t="n">
        <v>30603.82</v>
      </c>
      <c r="G100" s="27" t="n">
        <v>31685</v>
      </c>
      <c r="H100" s="27">
        <f>G100-F100</f>
        <v/>
      </c>
      <c r="I100" s="11">
        <f>IF(F100=0,0,G100/F100-1)</f>
        <v/>
      </c>
    </row>
    <row r="101">
      <c r="A101" s="9" t="inlineStr">
        <is>
          <t>1000.2800.2110.52010.030</t>
        </is>
      </c>
      <c r="B101" s="9" t="inlineStr">
        <is>
          <t>Teacher Benefits</t>
        </is>
      </c>
      <c r="C101" s="27" t="n">
        <v>2097</v>
      </c>
      <c r="D101" s="27" t="n">
        <v>1702.97</v>
      </c>
      <c r="E101" s="27" t="n">
        <v>2042</v>
      </c>
      <c r="F101" s="27" t="n">
        <v>859.83</v>
      </c>
      <c r="G101" s="27" t="n">
        <v>2113</v>
      </c>
      <c r="H101" s="27">
        <f>G101-F101</f>
        <v/>
      </c>
      <c r="I101" s="11">
        <f>IF(F101=0,0,G101/F101-1)</f>
        <v/>
      </c>
    </row>
    <row r="102">
      <c r="A102" s="9" t="inlineStr">
        <is>
          <t>1000.2800.2110.52310.030</t>
        </is>
      </c>
      <c r="B102" s="9" t="inlineStr">
        <is>
          <t>Retirement</t>
        </is>
      </c>
      <c r="C102" s="27" t="n">
        <v>991</v>
      </c>
      <c r="D102" s="27" t="n">
        <v>931.1900000000001</v>
      </c>
      <c r="E102" s="27" t="n">
        <v>1242</v>
      </c>
      <c r="F102" s="27" t="n">
        <v>1197.3</v>
      </c>
      <c r="G102" s="27" t="n">
        <v>1318</v>
      </c>
      <c r="H102" s="27">
        <f>G102-F102</f>
        <v/>
      </c>
      <c r="I102" s="11">
        <f>IF(F102=0,0,G102/F102-1)</f>
        <v/>
      </c>
    </row>
    <row r="103">
      <c r="A103" s="17" t="n"/>
      <c r="B103" s="31" t="inlineStr">
        <is>
          <t>Program 2800 Total</t>
        </is>
      </c>
      <c r="C103" s="32">
        <f>SUM(C100:C102)</f>
        <v/>
      </c>
      <c r="D103" s="32">
        <f>SUM(D100:D102)</f>
        <v/>
      </c>
      <c r="E103" s="32">
        <f>SUM(E100:E102)</f>
        <v/>
      </c>
      <c r="F103" s="32">
        <f>SUM(F100:F102)</f>
        <v/>
      </c>
      <c r="G103" s="32">
        <f>SUM(G100:G102)</f>
        <v/>
      </c>
      <c r="H103" s="32">
        <f>SUM(H100:H102)</f>
        <v/>
      </c>
      <c r="I103" s="32">
        <f>SUM(I100:I102)</f>
        <v/>
      </c>
    </row>
    <row r="104">
      <c r="A104" s="9" t="inlineStr">
        <is>
          <t>1000.2800.2140.51010.030</t>
        </is>
      </c>
      <c r="B104" s="9" t="inlineStr">
        <is>
          <t>Teacher Salaries</t>
        </is>
      </c>
      <c r="C104" s="27" t="n">
        <v>27521</v>
      </c>
      <c r="D104" s="27" t="n">
        <v>47829.91</v>
      </c>
      <c r="E104" s="27" t="n">
        <v>26423</v>
      </c>
      <c r="F104" s="27" t="n">
        <v>58387.57</v>
      </c>
      <c r="G104" s="27" t="n">
        <v>25842</v>
      </c>
      <c r="H104" s="27">
        <f>G104-F104</f>
        <v/>
      </c>
      <c r="I104" s="11">
        <f>IF(F104=0,0,G104/F104-1)</f>
        <v/>
      </c>
    </row>
    <row r="105">
      <c r="A105" s="9" t="inlineStr">
        <is>
          <t>1000.2800.2140.52010.030</t>
        </is>
      </c>
      <c r="B105" s="9" t="inlineStr">
        <is>
          <t>Teacher Benefit</t>
        </is>
      </c>
      <c r="C105" s="27" t="n">
        <v>6963</v>
      </c>
      <c r="D105" s="27" t="n">
        <v>6224.95</v>
      </c>
      <c r="E105" s="27" t="n">
        <v>4868</v>
      </c>
      <c r="F105" s="27" t="n">
        <v>7759.3</v>
      </c>
      <c r="G105" s="27" t="n">
        <v>5123</v>
      </c>
      <c r="H105" s="27">
        <f>G105-F105</f>
        <v/>
      </c>
      <c r="I105" s="11">
        <f>IF(F105=0,0,G105/F105-1)</f>
        <v/>
      </c>
    </row>
    <row r="106">
      <c r="A106" s="9" t="inlineStr">
        <is>
          <t>1000.2800.2140.52310.030</t>
        </is>
      </c>
      <c r="B106" s="9" t="inlineStr">
        <is>
          <t>Retirement</t>
        </is>
      </c>
      <c r="C106" s="27" t="n">
        <v>1093</v>
      </c>
      <c r="D106" s="27" t="n">
        <v>1912.77</v>
      </c>
      <c r="E106" s="27" t="n">
        <v>1099</v>
      </c>
      <c r="F106" s="27" t="n">
        <v>2476.13</v>
      </c>
      <c r="G106" s="27" t="n">
        <v>1075</v>
      </c>
      <c r="H106" s="27">
        <f>G106-F106</f>
        <v/>
      </c>
      <c r="I106" s="11">
        <f>IF(F106=0,0,G106/F106-1)</f>
        <v/>
      </c>
    </row>
    <row r="107">
      <c r="A107" s="9" t="inlineStr">
        <is>
          <t>1000.2800.2140.55800.030</t>
        </is>
      </c>
      <c r="B107" s="9" t="inlineStr">
        <is>
          <t>Travel</t>
        </is>
      </c>
      <c r="C107" s="27" t="n">
        <v>360</v>
      </c>
      <c r="D107" s="27" t="n">
        <v>0</v>
      </c>
      <c r="E107" s="27" t="n">
        <v>320</v>
      </c>
      <c r="F107" s="27" t="n">
        <v>0</v>
      </c>
      <c r="G107" s="27" t="n">
        <v>116</v>
      </c>
      <c r="H107" s="27">
        <f>G107-F107</f>
        <v/>
      </c>
      <c r="I107" s="11">
        <f>IF(F107=0,0,G107/F107-1)</f>
        <v/>
      </c>
    </row>
    <row r="108">
      <c r="A108" s="17" t="n"/>
      <c r="B108" s="31" t="inlineStr">
        <is>
          <t>Program 2800 Total</t>
        </is>
      </c>
      <c r="C108" s="32">
        <f>SUM(C104:C107)</f>
        <v/>
      </c>
      <c r="D108" s="32">
        <f>SUM(D104:D107)</f>
        <v/>
      </c>
      <c r="E108" s="32">
        <f>SUM(E104:E107)</f>
        <v/>
      </c>
      <c r="F108" s="32">
        <f>SUM(F104:F107)</f>
        <v/>
      </c>
      <c r="G108" s="32">
        <f>SUM(G104:G107)</f>
        <v/>
      </c>
      <c r="H108" s="32">
        <f>SUM(H104:H107)</f>
        <v/>
      </c>
      <c r="I108" s="32">
        <f>SUM(I104:I107)</f>
        <v/>
      </c>
    </row>
    <row r="109">
      <c r="A109" s="9" t="inlineStr">
        <is>
          <t>1000.2800.2150.51010.030</t>
        </is>
      </c>
      <c r="B109" s="9" t="inlineStr">
        <is>
          <t>Teacher Salaries</t>
        </is>
      </c>
      <c r="C109" s="27" t="n">
        <v>30838</v>
      </c>
      <c r="D109" s="27" t="n">
        <v>44864.27</v>
      </c>
      <c r="E109" s="27" t="n">
        <v>27210</v>
      </c>
      <c r="F109" s="27" t="n">
        <v>32653.6</v>
      </c>
      <c r="G109" s="27" t="n">
        <v>28380</v>
      </c>
      <c r="H109" s="27">
        <f>G109-F109</f>
        <v/>
      </c>
      <c r="I109" s="11">
        <f>IF(F109=0,0,G109/F109-1)</f>
        <v/>
      </c>
    </row>
    <row r="110">
      <c r="A110" s="9" t="inlineStr">
        <is>
          <t>1000.2800.2150.52010.030</t>
        </is>
      </c>
      <c r="B110" s="9" t="inlineStr">
        <is>
          <t>Teacher Benefits</t>
        </is>
      </c>
      <c r="C110" s="27" t="n">
        <v>4341</v>
      </c>
      <c r="D110" s="27" t="n">
        <v>14148.54</v>
      </c>
      <c r="E110" s="27" t="n">
        <v>8618</v>
      </c>
      <c r="F110" s="27" t="n">
        <v>6587.03</v>
      </c>
      <c r="G110" s="27" t="n">
        <v>8685</v>
      </c>
      <c r="H110" s="27">
        <f>G110-F110</f>
        <v/>
      </c>
      <c r="I110" s="11">
        <f>IF(F110=0,0,G110/F110-1)</f>
        <v/>
      </c>
    </row>
    <row r="111">
      <c r="A111" s="9" t="inlineStr">
        <is>
          <t>1000.2800.2150.52310.030</t>
        </is>
      </c>
      <c r="B111" s="9" t="inlineStr">
        <is>
          <t>Retirement</t>
        </is>
      </c>
      <c r="C111" s="27" t="n">
        <v>1224</v>
      </c>
      <c r="D111" s="27" t="n">
        <v>1790.76</v>
      </c>
      <c r="E111" s="27" t="n">
        <v>1132</v>
      </c>
      <c r="F111" s="27" t="n">
        <v>1358.44</v>
      </c>
      <c r="G111" s="27" t="n">
        <v>1181</v>
      </c>
      <c r="H111" s="27">
        <f>G111-F111</f>
        <v/>
      </c>
      <c r="I111" s="11">
        <f>IF(F111=0,0,G111/F111-1)</f>
        <v/>
      </c>
    </row>
    <row r="112">
      <c r="A112" s="9" t="inlineStr">
        <is>
          <t>1000.2800.2150.55800.030</t>
        </is>
      </c>
      <c r="B112" s="9" t="inlineStr">
        <is>
          <t>Travel</t>
        </is>
      </c>
      <c r="C112" s="27" t="n">
        <v>150</v>
      </c>
      <c r="D112" s="27" t="n">
        <v>0</v>
      </c>
      <c r="E112" s="27" t="n">
        <v>0</v>
      </c>
      <c r="F112" s="27" t="n">
        <v>0</v>
      </c>
      <c r="G112" s="27" t="n">
        <v>0</v>
      </c>
      <c r="H112" s="27">
        <f>G112-F112</f>
        <v/>
      </c>
      <c r="I112" s="11">
        <f>IF(F112=0,0,G112/F112-1)</f>
        <v/>
      </c>
    </row>
    <row r="113">
      <c r="A113" s="17" t="n"/>
      <c r="B113" s="31" t="inlineStr">
        <is>
          <t>Program 2800 Total</t>
        </is>
      </c>
      <c r="C113" s="32">
        <f>SUM(C109:C112)</f>
        <v/>
      </c>
      <c r="D113" s="32">
        <f>SUM(D109:D112)</f>
        <v/>
      </c>
      <c r="E113" s="32">
        <f>SUM(E109:E112)</f>
        <v/>
      </c>
      <c r="F113" s="32">
        <f>SUM(F109:F112)</f>
        <v/>
      </c>
      <c r="G113" s="32">
        <f>SUM(G109:G112)</f>
        <v/>
      </c>
      <c r="H113" s="32">
        <f>SUM(H109:H112)</f>
        <v/>
      </c>
      <c r="I113" s="32">
        <f>SUM(I109:I112)</f>
        <v/>
      </c>
    </row>
    <row r="114">
      <c r="A114" s="9" t="inlineStr">
        <is>
          <t>1000.2800.2160.51010.030</t>
        </is>
      </c>
      <c r="B114" s="9" t="inlineStr">
        <is>
          <t>Teacher Salaries</t>
        </is>
      </c>
      <c r="C114" s="27" t="n">
        <v>14110</v>
      </c>
      <c r="D114" s="27" t="n">
        <v>1520.4</v>
      </c>
      <c r="E114" s="27" t="n">
        <v>13199</v>
      </c>
      <c r="F114" s="27" t="n">
        <v>0</v>
      </c>
      <c r="G114" s="27" t="n">
        <v>13675</v>
      </c>
      <c r="H114" s="27">
        <f>G114-F114</f>
        <v/>
      </c>
      <c r="I114" s="11">
        <f>IF(F114=0,0,G114/F114-1)</f>
        <v/>
      </c>
    </row>
    <row r="115">
      <c r="A115" s="9" t="inlineStr">
        <is>
          <t>1000.2800.2160.52010.030</t>
        </is>
      </c>
      <c r="B115" s="9" t="inlineStr">
        <is>
          <t>Teacher Benefits</t>
        </is>
      </c>
      <c r="C115" s="27" t="n">
        <v>4802</v>
      </c>
      <c r="D115" s="27" t="n">
        <v>64.5</v>
      </c>
      <c r="E115" s="27" t="n">
        <v>984</v>
      </c>
      <c r="F115" s="27" t="n">
        <v>0</v>
      </c>
      <c r="G115" s="27" t="n">
        <v>1110</v>
      </c>
      <c r="H115" s="27">
        <f>G115-F115</f>
        <v/>
      </c>
      <c r="I115" s="11">
        <f>IF(F115=0,0,G115/F115-1)</f>
        <v/>
      </c>
    </row>
    <row r="116">
      <c r="A116" s="9" t="inlineStr">
        <is>
          <t>1000.2800.2160.52310.030</t>
        </is>
      </c>
      <c r="B116" s="9" t="inlineStr">
        <is>
          <t>Retirement</t>
        </is>
      </c>
      <c r="C116" s="27" t="n">
        <v>560</v>
      </c>
      <c r="D116" s="27" t="n">
        <v>0</v>
      </c>
      <c r="E116" s="27" t="n">
        <v>549</v>
      </c>
      <c r="F116" s="27" t="n">
        <v>0</v>
      </c>
      <c r="G116" s="27" t="n">
        <v>569</v>
      </c>
      <c r="H116" s="27">
        <f>G116-F116</f>
        <v/>
      </c>
      <c r="I116" s="11">
        <f>IF(F116=0,0,G116/F116-1)</f>
        <v/>
      </c>
    </row>
    <row r="117">
      <c r="A117" s="9" t="inlineStr">
        <is>
          <t>1000.2800.2160.55800.030</t>
        </is>
      </c>
      <c r="B117" s="9" t="inlineStr">
        <is>
          <t>Travel</t>
        </is>
      </c>
      <c r="C117" s="27" t="n">
        <v>150</v>
      </c>
      <c r="D117" s="27" t="n">
        <v>161.08</v>
      </c>
      <c r="E117" s="27" t="n">
        <v>160</v>
      </c>
      <c r="F117" s="27" t="n">
        <v>0</v>
      </c>
      <c r="G117" s="27" t="n">
        <v>160</v>
      </c>
      <c r="H117" s="27">
        <f>G117-F117</f>
        <v/>
      </c>
      <c r="I117" s="11">
        <f>IF(F117=0,0,G117/F117-1)</f>
        <v/>
      </c>
    </row>
    <row r="118">
      <c r="A118" s="17" t="n"/>
      <c r="B118" s="31" t="inlineStr">
        <is>
          <t>Program 2800 Total</t>
        </is>
      </c>
      <c r="C118" s="32">
        <f>SUM(C114:C117)</f>
        <v/>
      </c>
      <c r="D118" s="32">
        <f>SUM(D114:D117)</f>
        <v/>
      </c>
      <c r="E118" s="32">
        <f>SUM(E114:E117)</f>
        <v/>
      </c>
      <c r="F118" s="32">
        <f>SUM(F114:F117)</f>
        <v/>
      </c>
      <c r="G118" s="32">
        <f>SUM(G114:G117)</f>
        <v/>
      </c>
      <c r="H118" s="32">
        <f>SUM(H114:H117)</f>
        <v/>
      </c>
      <c r="I118" s="32">
        <f>SUM(I114:I117)</f>
        <v/>
      </c>
    </row>
    <row r="119">
      <c r="A119" s="17" t="n"/>
      <c r="B119" s="20" t="inlineStr">
        <is>
          <t>Cost Center ('030',) Total</t>
        </is>
      </c>
      <c r="C119" s="35">
        <f>C99+C103+C108+C113+C118</f>
        <v/>
      </c>
      <c r="D119" s="35">
        <f>D99+D103+D108+D113+D118</f>
        <v/>
      </c>
      <c r="E119" s="35">
        <f>E99+E103+E108+E113+E118</f>
        <v/>
      </c>
      <c r="F119" s="35">
        <f>F99+F103+F108+F113+F118</f>
        <v/>
      </c>
      <c r="G119" s="35">
        <f>G99+G103+G108+G113+G118</f>
        <v/>
      </c>
      <c r="H119" s="35">
        <f>H99+H103+H108+H113+H118</f>
        <v/>
      </c>
      <c r="I119" s="35">
        <f>I99+I103+I108+I113+I118</f>
        <v/>
      </c>
    </row>
    <row r="121">
      <c r="A121" s="3" t="inlineStr">
        <is>
          <t>Cost Center: ('040',)</t>
        </is>
      </c>
    </row>
    <row r="122">
      <c r="A122" s="9" t="inlineStr">
        <is>
          <t>1000.2200.1000.51010.040</t>
        </is>
      </c>
      <c r="B122" s="9" t="inlineStr">
        <is>
          <t>Teacher Salaries</t>
        </is>
      </c>
      <c r="C122" s="27" t="n">
        <v>122085</v>
      </c>
      <c r="D122" s="27" t="n">
        <v>136310.32</v>
      </c>
      <c r="E122" s="27" t="n">
        <v>141244</v>
      </c>
      <c r="F122" s="27" t="n">
        <v>142126.2</v>
      </c>
      <c r="G122" s="27" t="n">
        <v>145565</v>
      </c>
      <c r="H122" s="27">
        <f>G122-F122</f>
        <v/>
      </c>
      <c r="I122" s="11">
        <f>IF(F122=0,0,G122/F122-1)</f>
        <v/>
      </c>
    </row>
    <row r="123">
      <c r="A123" s="9" t="inlineStr">
        <is>
          <t>1000.2200.1000.51020.040</t>
        </is>
      </c>
      <c r="B123" s="9" t="inlineStr">
        <is>
          <t>Ed Tech Salaries</t>
        </is>
      </c>
      <c r="C123" s="27" t="n">
        <v>71318</v>
      </c>
      <c r="D123" s="27" t="n">
        <v>73312.52</v>
      </c>
      <c r="E123" s="27" t="n">
        <v>96597</v>
      </c>
      <c r="F123" s="27" t="n">
        <v>1415.13</v>
      </c>
      <c r="G123" s="27" t="n">
        <v>26744</v>
      </c>
      <c r="H123" s="27">
        <f>G123-F123</f>
        <v/>
      </c>
      <c r="I123" s="11">
        <f>IF(F123=0,0,G123/F123-1)</f>
        <v/>
      </c>
    </row>
    <row r="124">
      <c r="A124" s="9" t="inlineStr">
        <is>
          <t>1000.2200.1000.52010.040</t>
        </is>
      </c>
      <c r="B124" s="9" t="inlineStr">
        <is>
          <t>Teacher Benefits</t>
        </is>
      </c>
      <c r="C124" s="27" t="n">
        <v>39128</v>
      </c>
      <c r="D124" s="27" t="n">
        <v>39603.03</v>
      </c>
      <c r="E124" s="27" t="n">
        <v>43203</v>
      </c>
      <c r="F124" s="27" t="n">
        <v>42787.67</v>
      </c>
      <c r="G124" s="27" t="n">
        <v>43505</v>
      </c>
      <c r="H124" s="27">
        <f>G124-F124</f>
        <v/>
      </c>
      <c r="I124" s="11">
        <f>IF(F124=0,0,G124/F124-1)</f>
        <v/>
      </c>
    </row>
    <row r="125">
      <c r="A125" s="9" t="inlineStr">
        <is>
          <t>1000.2200.1000.52020.040</t>
        </is>
      </c>
      <c r="B125" s="9" t="inlineStr">
        <is>
          <t>Ed Tech Benefits</t>
        </is>
      </c>
      <c r="C125" s="27" t="n">
        <v>38683</v>
      </c>
      <c r="D125" s="27" t="n">
        <v>21115</v>
      </c>
      <c r="E125" s="27" t="n">
        <v>15171</v>
      </c>
      <c r="F125" s="27" t="n">
        <v>676.38</v>
      </c>
      <c r="G125" s="27" t="n">
        <v>13744</v>
      </c>
      <c r="H125" s="27">
        <f>G125-F125</f>
        <v/>
      </c>
      <c r="I125" s="11">
        <f>IF(F125=0,0,G125/F125-1)</f>
        <v/>
      </c>
    </row>
    <row r="126">
      <c r="A126" s="9" t="inlineStr">
        <is>
          <t>1000.2200.1000.52310.040</t>
        </is>
      </c>
      <c r="B126" s="9" t="inlineStr">
        <is>
          <t>Retirement</t>
        </is>
      </c>
      <c r="C126" s="27" t="n">
        <v>4847</v>
      </c>
      <c r="D126" s="27" t="n">
        <v>5496.53</v>
      </c>
      <c r="E126" s="27" t="n">
        <v>5876</v>
      </c>
      <c r="F126" s="27" t="n">
        <v>5959.96</v>
      </c>
      <c r="G126" s="27" t="n">
        <v>6056</v>
      </c>
      <c r="H126" s="27">
        <f>G126-F126</f>
        <v/>
      </c>
      <c r="I126" s="11">
        <f>IF(F126=0,0,G126/F126-1)</f>
        <v/>
      </c>
    </row>
    <row r="127">
      <c r="A127" s="9" t="inlineStr">
        <is>
          <t>1000.2200.1000.52320.040</t>
        </is>
      </c>
      <c r="B127" s="9" t="inlineStr">
        <is>
          <t>Retirement</t>
        </is>
      </c>
      <c r="C127" s="27" t="n">
        <v>2831</v>
      </c>
      <c r="D127" s="27" t="n">
        <v>2910.57</v>
      </c>
      <c r="E127" s="27" t="n">
        <v>1990</v>
      </c>
      <c r="F127" s="27" t="n">
        <v>0</v>
      </c>
      <c r="G127" s="27" t="n">
        <v>1157</v>
      </c>
      <c r="H127" s="27">
        <f>G127-F127</f>
        <v/>
      </c>
      <c r="I127" s="11">
        <f>IF(F127=0,0,G127/F127-1)</f>
        <v/>
      </c>
    </row>
    <row r="128">
      <c r="A128" s="17" t="n"/>
      <c r="B128" s="31" t="inlineStr">
        <is>
          <t>Program 2200 Total</t>
        </is>
      </c>
      <c r="C128" s="32">
        <f>SUM(C122:C127)</f>
        <v/>
      </c>
      <c r="D128" s="32">
        <f>SUM(D122:D127)</f>
        <v/>
      </c>
      <c r="E128" s="32">
        <f>SUM(E122:E127)</f>
        <v/>
      </c>
      <c r="F128" s="32">
        <f>SUM(F122:F127)</f>
        <v/>
      </c>
      <c r="G128" s="32">
        <f>SUM(G122:G127)</f>
        <v/>
      </c>
      <c r="H128" s="32">
        <f>SUM(H122:H127)</f>
        <v/>
      </c>
      <c r="I128" s="32">
        <f>SUM(I122:I127)</f>
        <v/>
      </c>
    </row>
    <row r="129">
      <c r="A129" s="9" t="inlineStr">
        <is>
          <t>1000.2300.1000.51010.040</t>
        </is>
      </c>
      <c r="B129" s="9" t="inlineStr">
        <is>
          <t>Teacher Salaries</t>
        </is>
      </c>
      <c r="C129" s="27" t="n">
        <v>0</v>
      </c>
      <c r="D129" s="27" t="n">
        <v>0</v>
      </c>
      <c r="E129" s="27" t="n">
        <v>53108</v>
      </c>
      <c r="F129" s="27" t="n">
        <v>0</v>
      </c>
      <c r="G129" s="27" t="n">
        <v>54401</v>
      </c>
      <c r="H129" s="27">
        <f>G129-F129</f>
        <v/>
      </c>
      <c r="I129" s="11">
        <f>IF(F129=0,0,G129/F129-1)</f>
        <v/>
      </c>
    </row>
    <row r="130">
      <c r="A130" s="9" t="inlineStr">
        <is>
          <t>1000.2300.1000.51020.040</t>
        </is>
      </c>
      <c r="B130" s="9" t="inlineStr">
        <is>
          <t>Ed Tech Salaries</t>
        </is>
      </c>
      <c r="C130" s="27" t="n">
        <v>38682</v>
      </c>
      <c r="D130" s="27" t="n">
        <v>0</v>
      </c>
      <c r="E130" s="27" t="n">
        <v>22015</v>
      </c>
      <c r="F130" s="27" t="n">
        <v>0</v>
      </c>
      <c r="G130" s="27" t="n">
        <v>115872</v>
      </c>
      <c r="H130" s="27">
        <f>G130-F130</f>
        <v/>
      </c>
      <c r="I130" s="11">
        <f>IF(F130=0,0,G130/F130-1)</f>
        <v/>
      </c>
    </row>
    <row r="131">
      <c r="A131" s="9" t="inlineStr">
        <is>
          <t>1000.2300.1000.52010.040</t>
        </is>
      </c>
      <c r="B131" s="9" t="inlineStr">
        <is>
          <t>Teacher Benefits</t>
        </is>
      </c>
      <c r="C131" s="27" t="n">
        <v>0</v>
      </c>
      <c r="D131" s="27" t="n">
        <v>0</v>
      </c>
      <c r="E131" s="27" t="n">
        <v>21225</v>
      </c>
      <c r="F131" s="27" t="n">
        <v>0</v>
      </c>
      <c r="G131" s="27" t="n">
        <v>5235</v>
      </c>
      <c r="H131" s="27">
        <f>G131-F131</f>
        <v/>
      </c>
      <c r="I131" s="11">
        <f>IF(F131=0,0,G131/F131-1)</f>
        <v/>
      </c>
    </row>
    <row r="132">
      <c r="A132" s="9" t="inlineStr">
        <is>
          <t>1000.2300.1000.52020.040</t>
        </is>
      </c>
      <c r="B132" s="9" t="inlineStr">
        <is>
          <t>Ed Tech Benefits</t>
        </is>
      </c>
      <c r="C132" s="27" t="n">
        <v>15674</v>
      </c>
      <c r="D132" s="27" t="n">
        <v>0</v>
      </c>
      <c r="E132" s="27" t="n">
        <v>21181</v>
      </c>
      <c r="F132" s="27" t="n">
        <v>0</v>
      </c>
      <c r="G132" s="27" t="n">
        <v>51285</v>
      </c>
      <c r="H132" s="27">
        <f>G132-F132</f>
        <v/>
      </c>
      <c r="I132" s="11">
        <f>IF(F132=0,0,G132/F132-1)</f>
        <v/>
      </c>
    </row>
    <row r="133">
      <c r="A133" s="9" t="inlineStr">
        <is>
          <t>1000.2300.1000.52310.040</t>
        </is>
      </c>
      <c r="B133" s="9" t="inlineStr">
        <is>
          <t>Retirement</t>
        </is>
      </c>
      <c r="C133" s="27" t="n">
        <v>0</v>
      </c>
      <c r="D133" s="27" t="n">
        <v>0</v>
      </c>
      <c r="E133" s="27" t="n">
        <v>2209</v>
      </c>
      <c r="F133" s="27" t="n">
        <v>0</v>
      </c>
      <c r="G133" s="27" t="n">
        <v>2263</v>
      </c>
      <c r="H133" s="27">
        <f>G133-F133</f>
        <v/>
      </c>
      <c r="I133" s="11">
        <f>IF(F133=0,0,G133/F133-1)</f>
        <v/>
      </c>
    </row>
    <row r="134">
      <c r="A134" s="9" t="inlineStr">
        <is>
          <t>1000.2300.1000.52320.040</t>
        </is>
      </c>
      <c r="B134" s="9" t="inlineStr">
        <is>
          <t>Retirement</t>
        </is>
      </c>
      <c r="C134" s="27" t="n">
        <v>1536</v>
      </c>
      <c r="D134" s="27" t="n">
        <v>0</v>
      </c>
      <c r="E134" s="27" t="n">
        <v>916</v>
      </c>
      <c r="F134" s="27" t="n">
        <v>0</v>
      </c>
      <c r="G134" s="27" t="n">
        <v>5013</v>
      </c>
      <c r="H134" s="27">
        <f>G134-F134</f>
        <v/>
      </c>
      <c r="I134" s="11">
        <f>IF(F134=0,0,G134/F134-1)</f>
        <v/>
      </c>
    </row>
    <row r="135">
      <c r="A135" s="17" t="n"/>
      <c r="B135" s="31" t="inlineStr">
        <is>
          <t>Program 2300 Total</t>
        </is>
      </c>
      <c r="C135" s="32">
        <f>SUM(C129:C134)</f>
        <v/>
      </c>
      <c r="D135" s="32">
        <f>SUM(D129:D134)</f>
        <v/>
      </c>
      <c r="E135" s="32">
        <f>SUM(E129:E134)</f>
        <v/>
      </c>
      <c r="F135" s="32">
        <f>SUM(F129:F134)</f>
        <v/>
      </c>
      <c r="G135" s="32">
        <f>SUM(G129:G134)</f>
        <v/>
      </c>
      <c r="H135" s="32">
        <f>SUM(H129:H134)</f>
        <v/>
      </c>
      <c r="I135" s="32">
        <f>SUM(I129:I134)</f>
        <v/>
      </c>
    </row>
    <row r="136">
      <c r="A136" s="17" t="n"/>
      <c r="B136" s="33" t="inlineStr">
        <is>
          <t>Function 1000 Total</t>
        </is>
      </c>
      <c r="C136" s="34">
        <f>C128+C135</f>
        <v/>
      </c>
      <c r="D136" s="34">
        <f>D128+D135</f>
        <v/>
      </c>
      <c r="E136" s="34">
        <f>E128+E135</f>
        <v/>
      </c>
      <c r="F136" s="34">
        <f>F128+F135</f>
        <v/>
      </c>
      <c r="G136" s="34">
        <f>G128+G135</f>
        <v/>
      </c>
      <c r="H136" s="34">
        <f>H128+H135</f>
        <v/>
      </c>
      <c r="I136" s="34">
        <f>I128+I135</f>
        <v/>
      </c>
    </row>
    <row r="137">
      <c r="A137" s="9" t="inlineStr">
        <is>
          <t>1000.2800.2110.51010.040</t>
        </is>
      </c>
      <c r="B137" s="9" t="inlineStr">
        <is>
          <t>Teacher Salaries</t>
        </is>
      </c>
      <c r="C137" s="27" t="n">
        <v>19918</v>
      </c>
      <c r="D137" s="27" t="n">
        <v>88432.10000000001</v>
      </c>
      <c r="E137" s="27" t="n">
        <v>24992</v>
      </c>
      <c r="F137" s="27" t="n">
        <v>93918.03999999999</v>
      </c>
      <c r="G137" s="27" t="n">
        <v>32901</v>
      </c>
      <c r="H137" s="27">
        <f>G137-F137</f>
        <v/>
      </c>
      <c r="I137" s="11">
        <f>IF(F137=0,0,G137/F137-1)</f>
        <v/>
      </c>
    </row>
    <row r="138">
      <c r="A138" s="9" t="inlineStr">
        <is>
          <t>1000.2800.2110.52010.040</t>
        </is>
      </c>
      <c r="B138" s="9" t="inlineStr">
        <is>
          <t>Teacher Benefits</t>
        </is>
      </c>
      <c r="C138" s="27" t="n">
        <v>5964</v>
      </c>
      <c r="D138" s="27" t="n">
        <v>29992.16</v>
      </c>
      <c r="E138" s="27" t="n">
        <v>6259</v>
      </c>
      <c r="F138" s="27" t="n">
        <v>27779.01</v>
      </c>
      <c r="G138" s="27" t="n">
        <v>7908</v>
      </c>
      <c r="H138" s="27">
        <f>G138-F138</f>
        <v/>
      </c>
      <c r="I138" s="11">
        <f>IF(F138=0,0,G138/F138-1)</f>
        <v/>
      </c>
    </row>
    <row r="139">
      <c r="A139" s="9" t="inlineStr">
        <is>
          <t>1000.2800.2110.52310.040</t>
        </is>
      </c>
      <c r="B139" s="9" t="inlineStr">
        <is>
          <t>Retirement</t>
        </is>
      </c>
      <c r="C139" s="27" t="n">
        <v>791</v>
      </c>
      <c r="D139" s="27" t="n">
        <v>3536.64</v>
      </c>
      <c r="E139" s="27" t="n">
        <v>1040</v>
      </c>
      <c r="F139" s="27" t="n">
        <v>3907.02</v>
      </c>
      <c r="G139" s="27" t="n">
        <v>1369</v>
      </c>
      <c r="H139" s="27">
        <f>G139-F139</f>
        <v/>
      </c>
      <c r="I139" s="11">
        <f>IF(F139=0,0,G139/F139-1)</f>
        <v/>
      </c>
    </row>
    <row r="140">
      <c r="A140" s="9" t="inlineStr">
        <is>
          <t>1000.2800.2110.55800.040</t>
        </is>
      </c>
      <c r="B140" s="9" t="inlineStr">
        <is>
          <t>Travel</t>
        </is>
      </c>
      <c r="C140" s="27" t="n">
        <v>100</v>
      </c>
      <c r="D140" s="27" t="n">
        <v>0</v>
      </c>
      <c r="E140" s="27" t="n">
        <v>0</v>
      </c>
      <c r="F140" s="27" t="n">
        <v>0</v>
      </c>
      <c r="G140" s="27" t="n">
        <v>0</v>
      </c>
      <c r="H140" s="27">
        <f>G140-F140</f>
        <v/>
      </c>
      <c r="I140" s="11">
        <f>IF(F140=0,0,G140/F140-1)</f>
        <v/>
      </c>
    </row>
    <row r="141">
      <c r="A141" s="17" t="n"/>
      <c r="B141" s="31" t="inlineStr">
        <is>
          <t>Program 2800 Total</t>
        </is>
      </c>
      <c r="C141" s="32">
        <f>SUM(C137:C140)</f>
        <v/>
      </c>
      <c r="D141" s="32">
        <f>SUM(D137:D140)</f>
        <v/>
      </c>
      <c r="E141" s="32">
        <f>SUM(E137:E140)</f>
        <v/>
      </c>
      <c r="F141" s="32">
        <f>SUM(F137:F140)</f>
        <v/>
      </c>
      <c r="G141" s="32">
        <f>SUM(G137:G140)</f>
        <v/>
      </c>
      <c r="H141" s="32">
        <f>SUM(H137:H140)</f>
        <v/>
      </c>
      <c r="I141" s="32">
        <f>SUM(I137:I140)</f>
        <v/>
      </c>
    </row>
    <row r="142">
      <c r="A142" s="9" t="inlineStr">
        <is>
          <t>1000.2800.2140.51010.040</t>
        </is>
      </c>
      <c r="B142" s="9" t="inlineStr">
        <is>
          <t>Teacher Salaries</t>
        </is>
      </c>
      <c r="C142" s="27" t="n">
        <v>27521</v>
      </c>
      <c r="D142" s="27" t="n">
        <v>16650.91</v>
      </c>
      <c r="E142" s="27" t="n">
        <v>26423</v>
      </c>
      <c r="F142" s="27" t="n">
        <v>25390.19</v>
      </c>
      <c r="G142" s="27" t="n">
        <v>25842</v>
      </c>
      <c r="H142" s="27">
        <f>G142-F142</f>
        <v/>
      </c>
      <c r="I142" s="11">
        <f>IF(F142=0,0,G142/F142-1)</f>
        <v/>
      </c>
    </row>
    <row r="143">
      <c r="A143" s="9" t="inlineStr">
        <is>
          <t>1000.2800.2140.52010.040</t>
        </is>
      </c>
      <c r="B143" s="9" t="inlineStr">
        <is>
          <t>Teacher Benefit</t>
        </is>
      </c>
      <c r="C143" s="27" t="n">
        <v>6963</v>
      </c>
      <c r="D143" s="27" t="n">
        <v>3953.01</v>
      </c>
      <c r="E143" s="27" t="n">
        <v>4868</v>
      </c>
      <c r="F143" s="27" t="n">
        <v>5028.64</v>
      </c>
      <c r="G143" s="27" t="n">
        <v>5123</v>
      </c>
      <c r="H143" s="27">
        <f>G143-F143</f>
        <v/>
      </c>
      <c r="I143" s="11">
        <f>IF(F143=0,0,G143/F143-1)</f>
        <v/>
      </c>
    </row>
    <row r="144">
      <c r="A144" s="9" t="inlineStr">
        <is>
          <t>1000.2800.2140.52310.040</t>
        </is>
      </c>
      <c r="B144" s="9" t="inlineStr">
        <is>
          <t>Retirement</t>
        </is>
      </c>
      <c r="C144" s="27" t="n">
        <v>1093</v>
      </c>
      <c r="D144" s="27" t="n">
        <v>665.8099999999999</v>
      </c>
      <c r="E144" s="27" t="n">
        <v>1099</v>
      </c>
      <c r="F144" s="27" t="n">
        <v>1056.13</v>
      </c>
      <c r="G144" s="27" t="n">
        <v>1075</v>
      </c>
      <c r="H144" s="27">
        <f>G144-F144</f>
        <v/>
      </c>
      <c r="I144" s="11">
        <f>IF(F144=0,0,G144/F144-1)</f>
        <v/>
      </c>
    </row>
    <row r="145">
      <c r="A145" s="9" t="inlineStr">
        <is>
          <t>1000.2800.2140.55800.040</t>
        </is>
      </c>
      <c r="B145" s="9" t="inlineStr">
        <is>
          <t>Travel</t>
        </is>
      </c>
      <c r="C145" s="27" t="n">
        <v>360</v>
      </c>
      <c r="D145" s="27" t="n">
        <v>0</v>
      </c>
      <c r="E145" s="27" t="n">
        <v>320</v>
      </c>
      <c r="F145" s="27" t="n">
        <v>0</v>
      </c>
      <c r="G145" s="27" t="n">
        <v>116</v>
      </c>
      <c r="H145" s="27">
        <f>G145-F145</f>
        <v/>
      </c>
      <c r="I145" s="11">
        <f>IF(F145=0,0,G145/F145-1)</f>
        <v/>
      </c>
    </row>
    <row r="146">
      <c r="A146" s="17" t="n"/>
      <c r="B146" s="31" t="inlineStr">
        <is>
          <t>Program 2800 Total</t>
        </is>
      </c>
      <c r="C146" s="32">
        <f>SUM(C142:C145)</f>
        <v/>
      </c>
      <c r="D146" s="32">
        <f>SUM(D142:D145)</f>
        <v/>
      </c>
      <c r="E146" s="32">
        <f>SUM(E142:E145)</f>
        <v/>
      </c>
      <c r="F146" s="32">
        <f>SUM(F142:F145)</f>
        <v/>
      </c>
      <c r="G146" s="32">
        <f>SUM(G142:G145)</f>
        <v/>
      </c>
      <c r="H146" s="32">
        <f>SUM(H142:H145)</f>
        <v/>
      </c>
      <c r="I146" s="32">
        <f>SUM(I142:I145)</f>
        <v/>
      </c>
    </row>
    <row r="147">
      <c r="A147" s="9" t="inlineStr">
        <is>
          <t>1000.2800.2150.51010.040</t>
        </is>
      </c>
      <c r="B147" s="9" t="inlineStr">
        <is>
          <t>Teacher Salaries</t>
        </is>
      </c>
      <c r="C147" s="27" t="n">
        <v>30838</v>
      </c>
      <c r="D147" s="27" t="n">
        <v>44864.05</v>
      </c>
      <c r="E147" s="27" t="n">
        <v>40815</v>
      </c>
      <c r="F147" s="27" t="n">
        <v>44165.32</v>
      </c>
      <c r="G147" s="27" t="n">
        <v>42570</v>
      </c>
      <c r="H147" s="27">
        <f>G147-F147</f>
        <v/>
      </c>
      <c r="I147" s="11">
        <f>IF(F147=0,0,G147/F147-1)</f>
        <v/>
      </c>
    </row>
    <row r="148">
      <c r="A148" s="9" t="inlineStr">
        <is>
          <t>1000.2800.2150.52010.040</t>
        </is>
      </c>
      <c r="B148" s="9" t="inlineStr">
        <is>
          <t>Teacher Benefits</t>
        </is>
      </c>
      <c r="C148" s="27" t="n">
        <v>4341</v>
      </c>
      <c r="D148" s="27" t="n">
        <v>14147.51</v>
      </c>
      <c r="E148" s="27" t="n">
        <v>12927</v>
      </c>
      <c r="F148" s="27" t="n">
        <v>10699.85</v>
      </c>
      <c r="G148" s="27" t="n">
        <v>13027</v>
      </c>
      <c r="H148" s="27">
        <f>G148-F148</f>
        <v/>
      </c>
      <c r="I148" s="11">
        <f>IF(F148=0,0,G148/F148-1)</f>
        <v/>
      </c>
    </row>
    <row r="149">
      <c r="A149" s="9" t="inlineStr">
        <is>
          <t>1000.2800.2150.52310.040</t>
        </is>
      </c>
      <c r="B149" s="9" t="inlineStr">
        <is>
          <t>Retirement</t>
        </is>
      </c>
      <c r="C149" s="27" t="n">
        <v>1224</v>
      </c>
      <c r="D149" s="27" t="n">
        <v>1790.54</v>
      </c>
      <c r="E149" s="27" t="n">
        <v>1698</v>
      </c>
      <c r="F149" s="27" t="n">
        <v>1837.16</v>
      </c>
      <c r="G149" s="27" t="n">
        <v>1771</v>
      </c>
      <c r="H149" s="27">
        <f>G149-F149</f>
        <v/>
      </c>
      <c r="I149" s="11">
        <f>IF(F149=0,0,G149/F149-1)</f>
        <v/>
      </c>
    </row>
    <row r="150">
      <c r="A150" s="9" t="inlineStr">
        <is>
          <t>1000.2800.2150.55800.040</t>
        </is>
      </c>
      <c r="B150" s="9" t="inlineStr">
        <is>
          <t>Travel</t>
        </is>
      </c>
      <c r="C150" s="27" t="n">
        <v>150</v>
      </c>
      <c r="D150" s="27" t="n">
        <v>0</v>
      </c>
      <c r="E150" s="27" t="n">
        <v>0</v>
      </c>
      <c r="F150" s="27" t="n">
        <v>0</v>
      </c>
      <c r="G150" s="27" t="n">
        <v>0</v>
      </c>
      <c r="H150" s="27">
        <f>G150-F150</f>
        <v/>
      </c>
      <c r="I150" s="11">
        <f>IF(F150=0,0,G150/F150-1)</f>
        <v/>
      </c>
    </row>
    <row r="151">
      <c r="A151" s="17" t="n"/>
      <c r="B151" s="31" t="inlineStr">
        <is>
          <t>Program 2800 Total</t>
        </is>
      </c>
      <c r="C151" s="32">
        <f>SUM(C147:C150)</f>
        <v/>
      </c>
      <c r="D151" s="32">
        <f>SUM(D147:D150)</f>
        <v/>
      </c>
      <c r="E151" s="32">
        <f>SUM(E147:E150)</f>
        <v/>
      </c>
      <c r="F151" s="32">
        <f>SUM(F147:F150)</f>
        <v/>
      </c>
      <c r="G151" s="32">
        <f>SUM(G147:G150)</f>
        <v/>
      </c>
      <c r="H151" s="32">
        <f>SUM(H147:H150)</f>
        <v/>
      </c>
      <c r="I151" s="32">
        <f>SUM(I147:I150)</f>
        <v/>
      </c>
    </row>
    <row r="152">
      <c r="A152" s="9" t="inlineStr">
        <is>
          <t>1000.2800.2160.51010.040</t>
        </is>
      </c>
      <c r="B152" s="9" t="inlineStr">
        <is>
          <t>Teacher Salaries</t>
        </is>
      </c>
      <c r="C152" s="27" t="n">
        <v>14110</v>
      </c>
      <c r="D152" s="27" t="n">
        <v>8124.05</v>
      </c>
      <c r="E152" s="27" t="n">
        <v>10739</v>
      </c>
      <c r="F152" s="27" t="n">
        <v>10739.04</v>
      </c>
      <c r="G152" s="27" t="n">
        <v>11423</v>
      </c>
      <c r="H152" s="27">
        <f>G152-F152</f>
        <v/>
      </c>
      <c r="I152" s="11">
        <f>IF(F152=0,0,G152/F152-1)</f>
        <v/>
      </c>
    </row>
    <row r="153">
      <c r="A153" s="9" t="inlineStr">
        <is>
          <t>1000.2800.2160.52010.040</t>
        </is>
      </c>
      <c r="B153" s="9" t="inlineStr">
        <is>
          <t>Teacher Benefits</t>
        </is>
      </c>
      <c r="C153" s="27" t="n">
        <v>4802</v>
      </c>
      <c r="D153" s="27" t="n">
        <v>179.96</v>
      </c>
      <c r="E153" s="27" t="n">
        <v>931</v>
      </c>
      <c r="F153" s="27" t="n">
        <v>199.1</v>
      </c>
      <c r="G153" s="27" t="n">
        <v>957</v>
      </c>
      <c r="H153" s="27">
        <f>G153-F153</f>
        <v/>
      </c>
      <c r="I153" s="11">
        <f>IF(F153=0,0,G153/F153-1)</f>
        <v/>
      </c>
    </row>
    <row r="154">
      <c r="A154" s="9" t="inlineStr">
        <is>
          <t>1000.2800.2160.52310.040</t>
        </is>
      </c>
      <c r="B154" s="9" t="inlineStr">
        <is>
          <t>Retirement</t>
        </is>
      </c>
      <c r="C154" s="27" t="n">
        <v>560</v>
      </c>
      <c r="D154" s="27" t="n">
        <v>264.83</v>
      </c>
      <c r="E154" s="27" t="n">
        <v>447</v>
      </c>
      <c r="F154" s="27" t="n">
        <v>446.69</v>
      </c>
      <c r="G154" s="27" t="n">
        <v>475</v>
      </c>
      <c r="H154" s="27">
        <f>G154-F154</f>
        <v/>
      </c>
      <c r="I154" s="11">
        <f>IF(F154=0,0,G154/F154-1)</f>
        <v/>
      </c>
    </row>
    <row r="155">
      <c r="A155" s="9" t="inlineStr">
        <is>
          <t>1000.2800.2160.55800.040</t>
        </is>
      </c>
      <c r="B155" s="9" t="inlineStr">
        <is>
          <t>Travel</t>
        </is>
      </c>
      <c r="C155" s="27" t="n">
        <v>150</v>
      </c>
      <c r="D155" s="27" t="n">
        <v>10.32</v>
      </c>
      <c r="E155" s="27" t="n">
        <v>160</v>
      </c>
      <c r="F155" s="27" t="n">
        <v>0</v>
      </c>
      <c r="G155" s="27" t="n">
        <v>20</v>
      </c>
      <c r="H155" s="27">
        <f>G155-F155</f>
        <v/>
      </c>
      <c r="I155" s="11">
        <f>IF(F155=0,0,G155/F155-1)</f>
        <v/>
      </c>
    </row>
    <row r="156">
      <c r="A156" s="17" t="n"/>
      <c r="B156" s="31" t="inlineStr">
        <is>
          <t>Program 2800 Total</t>
        </is>
      </c>
      <c r="C156" s="32">
        <f>SUM(C152:C155)</f>
        <v/>
      </c>
      <c r="D156" s="32">
        <f>SUM(D152:D155)</f>
        <v/>
      </c>
      <c r="E156" s="32">
        <f>SUM(E152:E155)</f>
        <v/>
      </c>
      <c r="F156" s="32">
        <f>SUM(F152:F155)</f>
        <v/>
      </c>
      <c r="G156" s="32">
        <f>SUM(G152:G155)</f>
        <v/>
      </c>
      <c r="H156" s="32">
        <f>SUM(H152:H155)</f>
        <v/>
      </c>
      <c r="I156" s="32">
        <f>SUM(I152:I155)</f>
        <v/>
      </c>
    </row>
    <row r="157">
      <c r="A157" s="17" t="n"/>
      <c r="B157" s="20" t="inlineStr">
        <is>
          <t>Cost Center ('040',) Total</t>
        </is>
      </c>
      <c r="C157" s="35">
        <f>C136+C141+C146+C151+C156</f>
        <v/>
      </c>
      <c r="D157" s="35">
        <f>D136+D141+D146+D151+D156</f>
        <v/>
      </c>
      <c r="E157" s="35">
        <f>E136+E141+E146+E151+E156</f>
        <v/>
      </c>
      <c r="F157" s="35">
        <f>F136+F141+F146+F151+F156</f>
        <v/>
      </c>
      <c r="G157" s="35">
        <f>G136+G141+G146+G151+G156</f>
        <v/>
      </c>
      <c r="H157" s="35">
        <f>H136+H141+H146+H151+H156</f>
        <v/>
      </c>
      <c r="I157" s="35">
        <f>I136+I141+I146+I151+I156</f>
        <v/>
      </c>
    </row>
    <row r="159">
      <c r="A159" s="3" t="inlineStr">
        <is>
          <t>Cost Center: ('050',)</t>
        </is>
      </c>
    </row>
    <row r="160">
      <c r="A160" s="9" t="inlineStr">
        <is>
          <t>1000.2200.1000.51010.050</t>
        </is>
      </c>
      <c r="B160" s="9" t="inlineStr">
        <is>
          <t>Teacher Salaries</t>
        </is>
      </c>
      <c r="C160" s="27" t="n">
        <v>134780</v>
      </c>
      <c r="D160" s="27" t="n">
        <v>117967.26</v>
      </c>
      <c r="E160" s="27" t="n">
        <v>116254</v>
      </c>
      <c r="F160" s="27" t="n">
        <v>116253.54</v>
      </c>
      <c r="G160" s="27" t="n">
        <v>121286</v>
      </c>
      <c r="H160" s="27">
        <f>G160-F160</f>
        <v/>
      </c>
      <c r="I160" s="11">
        <f>IF(F160=0,0,G160/F160-1)</f>
        <v/>
      </c>
    </row>
    <row r="161">
      <c r="A161" s="9" t="inlineStr">
        <is>
          <t>1000.2200.1000.51020.050</t>
        </is>
      </c>
      <c r="B161" s="9" t="inlineStr">
        <is>
          <t>Ed Tech Salaries</t>
        </is>
      </c>
      <c r="C161" s="27" t="n">
        <v>49348</v>
      </c>
      <c r="D161" s="27" t="n">
        <v>27022.12</v>
      </c>
      <c r="E161" s="27" t="n">
        <v>95356</v>
      </c>
      <c r="F161" s="27" t="n">
        <v>25023.34</v>
      </c>
      <c r="G161" s="27" t="n">
        <v>70638</v>
      </c>
      <c r="H161" s="27">
        <f>G161-F161</f>
        <v/>
      </c>
      <c r="I161" s="11">
        <f>IF(F161=0,0,G161/F161-1)</f>
        <v/>
      </c>
    </row>
    <row r="162">
      <c r="A162" s="9" t="inlineStr">
        <is>
          <t>1000.2200.1000.52010.050</t>
        </is>
      </c>
      <c r="B162" s="9" t="inlineStr">
        <is>
          <t>Teacher Benefits</t>
        </is>
      </c>
      <c r="C162" s="27" t="n">
        <v>48786</v>
      </c>
      <c r="D162" s="27" t="n">
        <v>29345.25</v>
      </c>
      <c r="E162" s="27" t="n">
        <v>29372</v>
      </c>
      <c r="F162" s="27" t="n">
        <v>29208.25</v>
      </c>
      <c r="G162" s="27" t="n">
        <v>29648</v>
      </c>
      <c r="H162" s="27">
        <f>G162-F162</f>
        <v/>
      </c>
      <c r="I162" s="11">
        <f>IF(F162=0,0,G162/F162-1)</f>
        <v/>
      </c>
    </row>
    <row r="163">
      <c r="A163" s="9" t="inlineStr">
        <is>
          <t>1000.2200.1000.52020.050</t>
        </is>
      </c>
      <c r="B163" s="9" t="inlineStr">
        <is>
          <t>Ed Tech Benefits</t>
        </is>
      </c>
      <c r="C163" s="27" t="n">
        <v>23089</v>
      </c>
      <c r="D163" s="27" t="n">
        <v>8526.9</v>
      </c>
      <c r="E163" s="27" t="n">
        <v>39806</v>
      </c>
      <c r="F163" s="27" t="n">
        <v>9248.389999999999</v>
      </c>
      <c r="G163" s="27" t="n">
        <v>47269</v>
      </c>
      <c r="H163" s="27">
        <f>G163-F163</f>
        <v/>
      </c>
      <c r="I163" s="11">
        <f>IF(F163=0,0,G163/F163-1)</f>
        <v/>
      </c>
    </row>
    <row r="164">
      <c r="A164" s="9" t="inlineStr">
        <is>
          <t>1000.2200.1000.52310.050</t>
        </is>
      </c>
      <c r="B164" s="9" t="inlineStr">
        <is>
          <t>Retirement</t>
        </is>
      </c>
      <c r="C164" s="27" t="n">
        <v>5351</v>
      </c>
      <c r="D164" s="27" t="n">
        <v>4422.93</v>
      </c>
      <c r="E164" s="27" t="n">
        <v>4836</v>
      </c>
      <c r="F164" s="27" t="n">
        <v>4881.57</v>
      </c>
      <c r="G164" s="27" t="n">
        <v>5046</v>
      </c>
      <c r="H164" s="27">
        <f>G164-F164</f>
        <v/>
      </c>
      <c r="I164" s="11">
        <f>IF(F164=0,0,G164/F164-1)</f>
        <v/>
      </c>
    </row>
    <row r="165">
      <c r="A165" s="9" t="inlineStr">
        <is>
          <t>1000.2200.1000.52320.050</t>
        </is>
      </c>
      <c r="B165" s="9" t="inlineStr">
        <is>
          <t>Retirement</t>
        </is>
      </c>
      <c r="C165" s="27" t="n">
        <v>1959</v>
      </c>
      <c r="D165" s="27" t="n">
        <v>959.79</v>
      </c>
      <c r="E165" s="27" t="n">
        <v>3967</v>
      </c>
      <c r="F165" s="27" t="n">
        <v>1180.04</v>
      </c>
      <c r="G165" s="27" t="n">
        <v>3056</v>
      </c>
      <c r="H165" s="27">
        <f>G165-F165</f>
        <v/>
      </c>
      <c r="I165" s="11">
        <f>IF(F165=0,0,G165/F165-1)</f>
        <v/>
      </c>
    </row>
    <row r="166">
      <c r="A166" s="17" t="n"/>
      <c r="B166" s="31" t="inlineStr">
        <is>
          <t>Program 2200 Total</t>
        </is>
      </c>
      <c r="C166" s="32">
        <f>SUM(C160:C165)</f>
        <v/>
      </c>
      <c r="D166" s="32">
        <f>SUM(D160:D165)</f>
        <v/>
      </c>
      <c r="E166" s="32">
        <f>SUM(E160:E165)</f>
        <v/>
      </c>
      <c r="F166" s="32">
        <f>SUM(F160:F165)</f>
        <v/>
      </c>
      <c r="G166" s="32">
        <f>SUM(G160:G165)</f>
        <v/>
      </c>
      <c r="H166" s="32">
        <f>SUM(H160:H165)</f>
        <v/>
      </c>
      <c r="I166" s="32">
        <f>SUM(I160:I165)</f>
        <v/>
      </c>
    </row>
    <row r="167">
      <c r="A167" s="9" t="inlineStr">
        <is>
          <t>1000.2300.1000.51010.050</t>
        </is>
      </c>
      <c r="B167" s="9" t="inlineStr">
        <is>
          <t>Teacher Salaries</t>
        </is>
      </c>
      <c r="C167" s="27" t="n">
        <v>104850</v>
      </c>
      <c r="D167" s="27" t="n">
        <v>116582.89</v>
      </c>
      <c r="E167" s="27" t="n">
        <v>117149</v>
      </c>
      <c r="F167" s="27" t="n">
        <v>79991.06</v>
      </c>
      <c r="G167" s="27" t="n">
        <v>131119</v>
      </c>
      <c r="H167" s="27">
        <f>G167-F167</f>
        <v/>
      </c>
      <c r="I167" s="11">
        <f>IF(F167=0,0,G167/F167-1)</f>
        <v/>
      </c>
    </row>
    <row r="168">
      <c r="A168" s="9" t="inlineStr">
        <is>
          <t>1000.2300.1000.51020.050</t>
        </is>
      </c>
      <c r="B168" s="9" t="inlineStr">
        <is>
          <t>Ed Tech Salaries</t>
        </is>
      </c>
      <c r="C168" s="27" t="n">
        <v>178764</v>
      </c>
      <c r="D168" s="27" t="n">
        <v>159387.62</v>
      </c>
      <c r="E168" s="27" t="n">
        <v>146535</v>
      </c>
      <c r="F168" s="27" t="n">
        <v>140092.62</v>
      </c>
      <c r="G168" s="27" t="n">
        <v>115831</v>
      </c>
      <c r="H168" s="27">
        <f>G168-F168</f>
        <v/>
      </c>
      <c r="I168" s="11">
        <f>IF(F168=0,0,G168/F168-1)</f>
        <v/>
      </c>
    </row>
    <row r="169">
      <c r="A169" s="9" t="inlineStr">
        <is>
          <t>1000.2300.1000.52010.050</t>
        </is>
      </c>
      <c r="B169" s="9" t="inlineStr">
        <is>
          <t>Teacher Benefits</t>
        </is>
      </c>
      <c r="C169" s="27" t="n">
        <v>37680</v>
      </c>
      <c r="D169" s="27" t="n">
        <v>41746.97</v>
      </c>
      <c r="E169" s="27" t="n">
        <v>40686</v>
      </c>
      <c r="F169" s="27" t="n">
        <v>22186.05</v>
      </c>
      <c r="G169" s="27" t="n">
        <v>41181</v>
      </c>
      <c r="H169" s="27">
        <f>G169-F169</f>
        <v/>
      </c>
      <c r="I169" s="11">
        <f>IF(F169=0,0,G169/F169-1)</f>
        <v/>
      </c>
    </row>
    <row r="170">
      <c r="A170" s="9" t="inlineStr">
        <is>
          <t>1000.2300.1000.52020.050</t>
        </is>
      </c>
      <c r="B170" s="9" t="inlineStr">
        <is>
          <t>Ed Tech Benefits</t>
        </is>
      </c>
      <c r="C170" s="27" t="n">
        <v>95296</v>
      </c>
      <c r="D170" s="27" t="n">
        <v>53397.05</v>
      </c>
      <c r="E170" s="27" t="n">
        <v>58551</v>
      </c>
      <c r="F170" s="27" t="n">
        <v>50226.77</v>
      </c>
      <c r="G170" s="27" t="n">
        <v>57360</v>
      </c>
      <c r="H170" s="27">
        <f>G170-F170</f>
        <v/>
      </c>
      <c r="I170" s="11">
        <f>IF(F170=0,0,G170/F170-1)</f>
        <v/>
      </c>
    </row>
    <row r="171">
      <c r="A171" s="9" t="inlineStr">
        <is>
          <t>1000.2300.1000.52310.050</t>
        </is>
      </c>
      <c r="B171" s="9" t="inlineStr">
        <is>
          <t>Retirement</t>
        </is>
      </c>
      <c r="C171" s="27" t="n">
        <v>4163</v>
      </c>
      <c r="D171" s="27" t="n">
        <v>5034.04</v>
      </c>
      <c r="E171" s="27" t="n">
        <v>4873</v>
      </c>
      <c r="F171" s="27" t="n">
        <v>2845.34</v>
      </c>
      <c r="G171" s="27" t="n">
        <v>5455</v>
      </c>
      <c r="H171" s="27">
        <f>G171-F171</f>
        <v/>
      </c>
      <c r="I171" s="11">
        <f>IF(F171=0,0,G171/F171-1)</f>
        <v/>
      </c>
    </row>
    <row r="172">
      <c r="A172" s="9" t="inlineStr">
        <is>
          <t>1000.2300.1000.52320.050</t>
        </is>
      </c>
      <c r="B172" s="9" t="inlineStr">
        <is>
          <t>Retirement</t>
        </is>
      </c>
      <c r="C172" s="27" t="n">
        <v>7097</v>
      </c>
      <c r="D172" s="27" t="n">
        <v>5400.28</v>
      </c>
      <c r="E172" s="27" t="n">
        <v>6096</v>
      </c>
      <c r="F172" s="27" t="n">
        <v>6195.22</v>
      </c>
      <c r="G172" s="27" t="n">
        <v>5011</v>
      </c>
      <c r="H172" s="27">
        <f>G172-F172</f>
        <v/>
      </c>
      <c r="I172" s="11">
        <f>IF(F172=0,0,G172/F172-1)</f>
        <v/>
      </c>
    </row>
    <row r="173">
      <c r="A173" s="17" t="n"/>
      <c r="B173" s="31" t="inlineStr">
        <is>
          <t>Program 2300 Total</t>
        </is>
      </c>
      <c r="C173" s="32">
        <f>SUM(C167:C172)</f>
        <v/>
      </c>
      <c r="D173" s="32">
        <f>SUM(D167:D172)</f>
        <v/>
      </c>
      <c r="E173" s="32">
        <f>SUM(E167:E172)</f>
        <v/>
      </c>
      <c r="F173" s="32">
        <f>SUM(F167:F172)</f>
        <v/>
      </c>
      <c r="G173" s="32">
        <f>SUM(G167:G172)</f>
        <v/>
      </c>
      <c r="H173" s="32">
        <f>SUM(H167:H172)</f>
        <v/>
      </c>
      <c r="I173" s="32">
        <f>SUM(I167:I172)</f>
        <v/>
      </c>
    </row>
    <row r="174">
      <c r="A174" s="17" t="n"/>
      <c r="B174" s="33" t="inlineStr">
        <is>
          <t>Function 1000 Total</t>
        </is>
      </c>
      <c r="C174" s="34">
        <f>C166+C173</f>
        <v/>
      </c>
      <c r="D174" s="34">
        <f>D166+D173</f>
        <v/>
      </c>
      <c r="E174" s="34">
        <f>E166+E173</f>
        <v/>
      </c>
      <c r="F174" s="34">
        <f>F166+F173</f>
        <v/>
      </c>
      <c r="G174" s="34">
        <f>G166+G173</f>
        <v/>
      </c>
      <c r="H174" s="34">
        <f>H166+H173</f>
        <v/>
      </c>
      <c r="I174" s="34">
        <f>I166+I173</f>
        <v/>
      </c>
    </row>
    <row r="175">
      <c r="A175" s="9" t="inlineStr">
        <is>
          <t>1000.2800.2110.51010.050</t>
        </is>
      </c>
      <c r="B175" s="9" t="inlineStr">
        <is>
          <t>Teacher Salaries</t>
        </is>
      </c>
      <c r="C175" s="27" t="n">
        <v>60733</v>
      </c>
      <c r="D175" s="27" t="n">
        <v>65742.81</v>
      </c>
      <c r="E175" s="27" t="n">
        <v>68963</v>
      </c>
      <c r="F175" s="27" t="n">
        <v>68962.66</v>
      </c>
      <c r="G175" s="27" t="n">
        <v>72444</v>
      </c>
      <c r="H175" s="27">
        <f>G175-F175</f>
        <v/>
      </c>
      <c r="I175" s="11">
        <f>IF(F175=0,0,G175/F175-1)</f>
        <v/>
      </c>
    </row>
    <row r="176">
      <c r="A176" s="9" t="inlineStr">
        <is>
          <t>1000.2800.2110.52010.050</t>
        </is>
      </c>
      <c r="B176" s="9" t="inlineStr">
        <is>
          <t>Teacher Benefits</t>
        </is>
      </c>
      <c r="C176" s="27" t="n">
        <v>19405</v>
      </c>
      <c r="D176" s="27" t="n">
        <v>15689.77</v>
      </c>
      <c r="E176" s="27" t="n">
        <v>15786</v>
      </c>
      <c r="F176" s="27" t="n">
        <v>15633.43</v>
      </c>
      <c r="G176" s="27" t="n">
        <v>15965</v>
      </c>
      <c r="H176" s="27">
        <f>G176-F176</f>
        <v/>
      </c>
      <c r="I176" s="11">
        <f>IF(F176=0,0,G176/F176-1)</f>
        <v/>
      </c>
    </row>
    <row r="177">
      <c r="A177" s="9" t="inlineStr">
        <is>
          <t>1000.2800.2110.52310.050</t>
        </is>
      </c>
      <c r="B177" s="9" t="inlineStr">
        <is>
          <t>Retirement</t>
        </is>
      </c>
      <c r="C177" s="27" t="n">
        <v>2411</v>
      </c>
      <c r="D177" s="27" t="n">
        <v>2629.15</v>
      </c>
      <c r="E177" s="27" t="n">
        <v>2869</v>
      </c>
      <c r="F177" s="27" t="n">
        <v>2868.84</v>
      </c>
      <c r="G177" s="27" t="n">
        <v>3014</v>
      </c>
      <c r="H177" s="27">
        <f>G177-F177</f>
        <v/>
      </c>
      <c r="I177" s="11">
        <f>IF(F177=0,0,G177/F177-1)</f>
        <v/>
      </c>
    </row>
    <row r="178">
      <c r="A178" s="17" t="n"/>
      <c r="B178" s="31" t="inlineStr">
        <is>
          <t>Program 2800 Total</t>
        </is>
      </c>
      <c r="C178" s="32">
        <f>SUM(C175:C177)</f>
        <v/>
      </c>
      <c r="D178" s="32">
        <f>SUM(D175:D177)</f>
        <v/>
      </c>
      <c r="E178" s="32">
        <f>SUM(E175:E177)</f>
        <v/>
      </c>
      <c r="F178" s="32">
        <f>SUM(F175:F177)</f>
        <v/>
      </c>
      <c r="G178" s="32">
        <f>SUM(G175:G177)</f>
        <v/>
      </c>
      <c r="H178" s="32">
        <f>SUM(H175:H177)</f>
        <v/>
      </c>
      <c r="I178" s="32">
        <f>SUM(I175:I177)</f>
        <v/>
      </c>
    </row>
    <row r="179">
      <c r="A179" s="9" t="inlineStr">
        <is>
          <t>1000.2800.2140.51010.050</t>
        </is>
      </c>
      <c r="B179" s="9" t="inlineStr">
        <is>
          <t>Teacher Salaries</t>
        </is>
      </c>
      <c r="C179" s="27" t="n">
        <v>27521</v>
      </c>
      <c r="D179" s="27" t="n">
        <v>16651.36</v>
      </c>
      <c r="E179" s="27" t="n">
        <v>26423</v>
      </c>
      <c r="F179" s="27" t="n">
        <v>25389.96</v>
      </c>
      <c r="G179" s="27" t="n">
        <v>25842</v>
      </c>
      <c r="H179" s="27">
        <f>G179-F179</f>
        <v/>
      </c>
      <c r="I179" s="11">
        <f>IF(F179=0,0,G179/F179-1)</f>
        <v/>
      </c>
    </row>
    <row r="180">
      <c r="A180" s="9" t="inlineStr">
        <is>
          <t>1000.2800.2140.52010.050</t>
        </is>
      </c>
      <c r="B180" s="9" t="inlineStr">
        <is>
          <t>Teacher Benefit</t>
        </is>
      </c>
      <c r="C180" s="27" t="n">
        <v>6963</v>
      </c>
      <c r="D180" s="27" t="n">
        <v>3952.59</v>
      </c>
      <c r="E180" s="27" t="n">
        <v>1217</v>
      </c>
      <c r="F180" s="27" t="n">
        <v>5029.35</v>
      </c>
      <c r="G180" s="27" t="n">
        <v>5123</v>
      </c>
      <c r="H180" s="27">
        <f>G180-F180</f>
        <v/>
      </c>
      <c r="I180" s="11">
        <f>IF(F180=0,0,G180/F180-1)</f>
        <v/>
      </c>
    </row>
    <row r="181">
      <c r="A181" s="9" t="inlineStr">
        <is>
          <t>1000.2800.2140.52310.050</t>
        </is>
      </c>
      <c r="B181" s="9" t="inlineStr">
        <is>
          <t>Retirement</t>
        </is>
      </c>
      <c r="C181" s="27" t="n">
        <v>1093</v>
      </c>
      <c r="D181" s="27" t="n">
        <v>666.23</v>
      </c>
      <c r="E181" s="27" t="n">
        <v>1099</v>
      </c>
      <c r="F181" s="27" t="n">
        <v>1056.17</v>
      </c>
      <c r="G181" s="27" t="n">
        <v>1075</v>
      </c>
      <c r="H181" s="27">
        <f>G181-F181</f>
        <v/>
      </c>
      <c r="I181" s="11">
        <f>IF(F181=0,0,G181/F181-1)</f>
        <v/>
      </c>
    </row>
    <row r="182">
      <c r="A182" s="9" t="inlineStr">
        <is>
          <t>1000.2800.2140.55800.050</t>
        </is>
      </c>
      <c r="B182" s="9" t="inlineStr">
        <is>
          <t>Travel</t>
        </is>
      </c>
      <c r="C182" s="27" t="n">
        <v>360</v>
      </c>
      <c r="D182" s="27" t="n">
        <v>0</v>
      </c>
      <c r="E182" s="27" t="n">
        <v>320</v>
      </c>
      <c r="F182" s="27" t="n">
        <v>0</v>
      </c>
      <c r="G182" s="27" t="n">
        <v>116</v>
      </c>
      <c r="H182" s="27">
        <f>G182-F182</f>
        <v/>
      </c>
      <c r="I182" s="11">
        <f>IF(F182=0,0,G182/F182-1)</f>
        <v/>
      </c>
    </row>
    <row r="183">
      <c r="A183" s="17" t="n"/>
      <c r="B183" s="31" t="inlineStr">
        <is>
          <t>Program 2800 Total</t>
        </is>
      </c>
      <c r="C183" s="32">
        <f>SUM(C179:C182)</f>
        <v/>
      </c>
      <c r="D183" s="32">
        <f>SUM(D179:D182)</f>
        <v/>
      </c>
      <c r="E183" s="32">
        <f>SUM(E179:E182)</f>
        <v/>
      </c>
      <c r="F183" s="32">
        <f>SUM(F179:F182)</f>
        <v/>
      </c>
      <c r="G183" s="32">
        <f>SUM(G179:G182)</f>
        <v/>
      </c>
      <c r="H183" s="32">
        <f>SUM(H179:H182)</f>
        <v/>
      </c>
      <c r="I183" s="32">
        <f>SUM(I179:I182)</f>
        <v/>
      </c>
    </row>
    <row r="184">
      <c r="A184" s="9" t="inlineStr">
        <is>
          <t>1000.2800.2150.51010.050</t>
        </is>
      </c>
      <c r="B184" s="9" t="inlineStr">
        <is>
          <t>Teacher Salaries</t>
        </is>
      </c>
      <c r="C184" s="27" t="n">
        <v>35274</v>
      </c>
      <c r="D184" s="27" t="n">
        <v>49121.02</v>
      </c>
      <c r="E184" s="27" t="n">
        <v>37967</v>
      </c>
      <c r="F184" s="27" t="n">
        <v>42364.58</v>
      </c>
      <c r="G184" s="27" t="n">
        <v>39606</v>
      </c>
      <c r="H184" s="27">
        <f>G184-F184</f>
        <v/>
      </c>
      <c r="I184" s="11">
        <f>IF(F184=0,0,G184/F184-1)</f>
        <v/>
      </c>
    </row>
    <row r="185">
      <c r="A185" s="9" t="inlineStr">
        <is>
          <t>1000.2800.2150.52010.050</t>
        </is>
      </c>
      <c r="B185" s="9" t="inlineStr">
        <is>
          <t>Teacher Benefits</t>
        </is>
      </c>
      <c r="C185" s="27" t="n">
        <v>12005</v>
      </c>
      <c r="D185" s="27" t="n">
        <v>11469</v>
      </c>
      <c r="E185" s="27" t="n">
        <v>9858</v>
      </c>
      <c r="F185" s="27" t="n">
        <v>10554.71</v>
      </c>
      <c r="G185" s="27" t="n">
        <v>9950</v>
      </c>
      <c r="H185" s="27">
        <f>G185-F185</f>
        <v/>
      </c>
      <c r="I185" s="11">
        <f>IF(F185=0,0,G185/F185-1)</f>
        <v/>
      </c>
    </row>
    <row r="186">
      <c r="A186" s="9" t="inlineStr">
        <is>
          <t>1000.2800.2150.52310.050</t>
        </is>
      </c>
      <c r="B186" s="9" t="inlineStr">
        <is>
          <t>Retirement</t>
        </is>
      </c>
      <c r="C186" s="27" t="n">
        <v>1400</v>
      </c>
      <c r="D186" s="27" t="n">
        <v>1961.02</v>
      </c>
      <c r="E186" s="27" t="n">
        <v>1579</v>
      </c>
      <c r="F186" s="27" t="n">
        <v>1762.38</v>
      </c>
      <c r="G186" s="27" t="n">
        <v>1648</v>
      </c>
      <c r="H186" s="27">
        <f>G186-F186</f>
        <v/>
      </c>
      <c r="I186" s="11">
        <f>IF(F186=0,0,G186/F186-1)</f>
        <v/>
      </c>
    </row>
    <row r="187">
      <c r="A187" s="9" t="inlineStr">
        <is>
          <t>1000.2800.2150.55800.050</t>
        </is>
      </c>
      <c r="B187" s="9" t="inlineStr">
        <is>
          <t>Travel</t>
        </is>
      </c>
      <c r="C187" s="27" t="n">
        <v>150</v>
      </c>
      <c r="D187" s="27" t="n">
        <v>69.8</v>
      </c>
      <c r="E187" s="27" t="n">
        <v>0</v>
      </c>
      <c r="F187" s="27" t="n">
        <v>8.99</v>
      </c>
      <c r="G187" s="27" t="n">
        <v>70</v>
      </c>
      <c r="H187" s="27">
        <f>G187-F187</f>
        <v/>
      </c>
      <c r="I187" s="11">
        <f>IF(F187=0,0,G187/F187-1)</f>
        <v/>
      </c>
    </row>
    <row r="188">
      <c r="A188" s="17" t="n"/>
      <c r="B188" s="31" t="inlineStr">
        <is>
          <t>Program 2800 Total</t>
        </is>
      </c>
      <c r="C188" s="32">
        <f>SUM(C184:C187)</f>
        <v/>
      </c>
      <c r="D188" s="32">
        <f>SUM(D184:D187)</f>
        <v/>
      </c>
      <c r="E188" s="32">
        <f>SUM(E184:E187)</f>
        <v/>
      </c>
      <c r="F188" s="32">
        <f>SUM(F184:F187)</f>
        <v/>
      </c>
      <c r="G188" s="32">
        <f>SUM(G184:G187)</f>
        <v/>
      </c>
      <c r="H188" s="32">
        <f>SUM(H184:H187)</f>
        <v/>
      </c>
      <c r="I188" s="32">
        <f>SUM(I184:I187)</f>
        <v/>
      </c>
    </row>
    <row r="189">
      <c r="A189" s="9" t="inlineStr">
        <is>
          <t>1000.2800.2160.51010.050</t>
        </is>
      </c>
      <c r="B189" s="9" t="inlineStr">
        <is>
          <t>Teacher Salaries</t>
        </is>
      </c>
      <c r="C189" s="27" t="n">
        <v>8997</v>
      </c>
      <c r="D189" s="27" t="n">
        <v>9281.5</v>
      </c>
      <c r="E189" s="27" t="n">
        <v>5370</v>
      </c>
      <c r="F189" s="27" t="n">
        <v>5369.52</v>
      </c>
      <c r="G189" s="27" t="n">
        <v>5712</v>
      </c>
      <c r="H189" s="27">
        <f>G189-F189</f>
        <v/>
      </c>
      <c r="I189" s="11">
        <f>IF(F189=0,0,G189/F189-1)</f>
        <v/>
      </c>
    </row>
    <row r="190">
      <c r="A190" s="9" t="inlineStr">
        <is>
          <t>1000.2800.2160.52010.050</t>
        </is>
      </c>
      <c r="B190" s="9" t="inlineStr">
        <is>
          <t>Teacher Benefits</t>
        </is>
      </c>
      <c r="C190" s="27" t="n">
        <v>2514</v>
      </c>
      <c r="D190" s="27" t="n">
        <v>1155.88</v>
      </c>
      <c r="E190" s="27" t="n">
        <v>465</v>
      </c>
      <c r="F190" s="27" t="n">
        <v>99.56</v>
      </c>
      <c r="G190" s="27" t="n">
        <v>479</v>
      </c>
      <c r="H190" s="27">
        <f>G190-F190</f>
        <v/>
      </c>
      <c r="I190" s="11">
        <f>IF(F190=0,0,G190/F190-1)</f>
        <v/>
      </c>
    </row>
    <row r="191">
      <c r="A191" s="9" t="inlineStr">
        <is>
          <t>1000.2800.2160.52310.050</t>
        </is>
      </c>
      <c r="B191" s="9" t="inlineStr">
        <is>
          <t>Retirement</t>
        </is>
      </c>
      <c r="C191" s="27" t="n">
        <v>357</v>
      </c>
      <c r="D191" s="27" t="n">
        <v>369.77</v>
      </c>
      <c r="E191" s="27" t="n">
        <v>223</v>
      </c>
      <c r="F191" s="27" t="n">
        <v>223.34</v>
      </c>
      <c r="G191" s="27" t="n">
        <v>238</v>
      </c>
      <c r="H191" s="27">
        <f>G191-F191</f>
        <v/>
      </c>
      <c r="I191" s="11">
        <f>IF(F191=0,0,G191/F191-1)</f>
        <v/>
      </c>
    </row>
    <row r="192">
      <c r="A192" s="9" t="inlineStr">
        <is>
          <t>1000.2800.2160.55800.050</t>
        </is>
      </c>
      <c r="B192" s="9" t="inlineStr">
        <is>
          <t>Travel</t>
        </is>
      </c>
      <c r="C192" s="27" t="n">
        <v>150</v>
      </c>
      <c r="D192" s="27" t="n">
        <v>0</v>
      </c>
      <c r="E192" s="27" t="n">
        <v>100</v>
      </c>
      <c r="F192" s="27" t="n">
        <v>0</v>
      </c>
      <c r="G192" s="27" t="n">
        <v>0</v>
      </c>
      <c r="H192" s="27">
        <f>G192-F192</f>
        <v/>
      </c>
      <c r="I192" s="11">
        <f>IF(F192=0,0,G192/F192-1)</f>
        <v/>
      </c>
    </row>
    <row r="193">
      <c r="A193" s="17" t="n"/>
      <c r="B193" s="31" t="inlineStr">
        <is>
          <t>Program 2800 Total</t>
        </is>
      </c>
      <c r="C193" s="32">
        <f>SUM(C189:C192)</f>
        <v/>
      </c>
      <c r="D193" s="32">
        <f>SUM(D189:D192)</f>
        <v/>
      </c>
      <c r="E193" s="32">
        <f>SUM(E189:E192)</f>
        <v/>
      </c>
      <c r="F193" s="32">
        <f>SUM(F189:F192)</f>
        <v/>
      </c>
      <c r="G193" s="32">
        <f>SUM(G189:G192)</f>
        <v/>
      </c>
      <c r="H193" s="32">
        <f>SUM(H189:H192)</f>
        <v/>
      </c>
      <c r="I193" s="32">
        <f>SUM(I189:I192)</f>
        <v/>
      </c>
    </row>
    <row r="194">
      <c r="A194" s="17" t="n"/>
      <c r="B194" s="20" t="inlineStr">
        <is>
          <t>Cost Center ('050',) Total</t>
        </is>
      </c>
      <c r="C194" s="35">
        <f>C174+C178+C183+C188+C193</f>
        <v/>
      </c>
      <c r="D194" s="35">
        <f>D174+D178+D183+D188+D193</f>
        <v/>
      </c>
      <c r="E194" s="35">
        <f>E174+E178+E183+E188+E193</f>
        <v/>
      </c>
      <c r="F194" s="35">
        <f>F174+F178+F183+F188+F193</f>
        <v/>
      </c>
      <c r="G194" s="35">
        <f>G174+G178+G183+G188+G193</f>
        <v/>
      </c>
      <c r="H194" s="35">
        <f>H174+H178+H183+H188+H193</f>
        <v/>
      </c>
      <c r="I194" s="35">
        <f>I174+I178+I183+I188+I193</f>
        <v/>
      </c>
    </row>
    <row r="196">
      <c r="A196" s="3" t="inlineStr">
        <is>
          <t>Cost Center: ('300',)</t>
        </is>
      </c>
    </row>
    <row r="197">
      <c r="A197" s="9" t="inlineStr">
        <is>
          <t>1000.2100.1000.51210.300</t>
        </is>
      </c>
      <c r="B197" s="9" t="inlineStr">
        <is>
          <t>Tutor Salaries/ESY</t>
        </is>
      </c>
      <c r="C197" s="27" t="n">
        <v>5000</v>
      </c>
      <c r="D197" s="27" t="n">
        <v>5940</v>
      </c>
      <c r="E197" s="27" t="n">
        <v>5000</v>
      </c>
      <c r="F197" s="27" t="n">
        <v>717.6</v>
      </c>
      <c r="G197" s="27" t="n">
        <v>5000</v>
      </c>
      <c r="H197" s="27">
        <f>G197-F197</f>
        <v/>
      </c>
      <c r="I197" s="11">
        <f>IF(F197=0,0,G197/F197-1)</f>
        <v/>
      </c>
    </row>
    <row r="198">
      <c r="A198" s="9" t="inlineStr">
        <is>
          <t>1000.2100.1000.52010.300</t>
        </is>
      </c>
      <c r="B198" s="9" t="inlineStr">
        <is>
          <t>Benefits</t>
        </is>
      </c>
      <c r="C198" s="27" t="n">
        <v>0</v>
      </c>
      <c r="D198" s="27" t="n">
        <v>300.05</v>
      </c>
      <c r="E198" s="27" t="n">
        <v>0</v>
      </c>
      <c r="F198" s="27" t="n">
        <v>60.08</v>
      </c>
      <c r="G198" s="27" t="n">
        <v>0</v>
      </c>
      <c r="H198" s="27">
        <f>G198-F198</f>
        <v/>
      </c>
      <c r="I198" s="11">
        <f>IF(F198=0,0,G198/F198-1)</f>
        <v/>
      </c>
    </row>
    <row r="199">
      <c r="A199" s="9" t="inlineStr">
        <is>
          <t>1000.2100.1000.52030.300</t>
        </is>
      </c>
      <c r="B199" s="9" t="inlineStr">
        <is>
          <t>Tutor Benefits</t>
        </is>
      </c>
      <c r="C199" s="27" t="n">
        <v>250</v>
      </c>
      <c r="D199" s="27" t="n">
        <v>0</v>
      </c>
      <c r="E199" s="27" t="n">
        <v>250</v>
      </c>
      <c r="F199" s="27" t="n">
        <v>0</v>
      </c>
      <c r="G199" s="27" t="n">
        <v>250</v>
      </c>
      <c r="H199" s="27">
        <f>G199-F199</f>
        <v/>
      </c>
      <c r="I199" s="11">
        <f>IF(F199=0,0,G199/F199-1)</f>
        <v/>
      </c>
    </row>
    <row r="200">
      <c r="A200" s="9" t="inlineStr">
        <is>
          <t>1000.2100.1000.52310.300</t>
        </is>
      </c>
      <c r="B200" s="9" t="inlineStr">
        <is>
          <t>Retirement</t>
        </is>
      </c>
      <c r="C200" s="27" t="n">
        <v>199</v>
      </c>
      <c r="D200" s="27" t="n">
        <v>157.22</v>
      </c>
      <c r="E200" s="27" t="n">
        <v>199</v>
      </c>
      <c r="F200" s="27" t="n">
        <v>0</v>
      </c>
      <c r="G200" s="27" t="n">
        <v>0</v>
      </c>
      <c r="H200" s="27">
        <f>G200-F200</f>
        <v/>
      </c>
      <c r="I200" s="11">
        <f>IF(F200=0,0,G200/F200-1)</f>
        <v/>
      </c>
    </row>
    <row r="201">
      <c r="A201" s="9" t="inlineStr">
        <is>
          <t>1000.2100.1000.52330.300</t>
        </is>
      </c>
      <c r="B201" s="9" t="inlineStr">
        <is>
          <t>Retirement</t>
        </is>
      </c>
      <c r="C201" s="27" t="n">
        <v>0</v>
      </c>
      <c r="D201" s="27" t="n">
        <v>0</v>
      </c>
      <c r="E201" s="27" t="n">
        <v>0</v>
      </c>
      <c r="F201" s="27" t="n">
        <v>0</v>
      </c>
      <c r="G201" s="27" t="n">
        <v>199</v>
      </c>
      <c r="H201" s="27">
        <f>G201-F201</f>
        <v/>
      </c>
      <c r="I201" s="11">
        <f>IF(F201=0,0,G201/F201-1)</f>
        <v/>
      </c>
    </row>
    <row r="202">
      <c r="A202" s="9" t="inlineStr">
        <is>
          <t>1000.2100.1000.53440.300</t>
        </is>
      </c>
      <c r="B202" s="9" t="inlineStr">
        <is>
          <t>Purchased Professional</t>
        </is>
      </c>
      <c r="C202" s="27" t="n">
        <v>500</v>
      </c>
      <c r="D202" s="27" t="n">
        <v>0</v>
      </c>
      <c r="E202" s="27" t="n">
        <v>500</v>
      </c>
      <c r="F202" s="27" t="n">
        <v>0</v>
      </c>
      <c r="G202" s="27" t="n">
        <v>650</v>
      </c>
      <c r="H202" s="27">
        <f>G202-F202</f>
        <v/>
      </c>
      <c r="I202" s="11">
        <f>IF(F202=0,0,G202/F202-1)</f>
        <v/>
      </c>
    </row>
    <row r="203">
      <c r="A203" s="17" t="n"/>
      <c r="B203" s="31" t="inlineStr">
        <is>
          <t>Program 2100 Total</t>
        </is>
      </c>
      <c r="C203" s="32">
        <f>SUM(C197:C202)</f>
        <v/>
      </c>
      <c r="D203" s="32">
        <f>SUM(D197:D202)</f>
        <v/>
      </c>
      <c r="E203" s="32">
        <f>SUM(E197:E202)</f>
        <v/>
      </c>
      <c r="F203" s="32">
        <f>SUM(F197:F202)</f>
        <v/>
      </c>
      <c r="G203" s="32">
        <f>SUM(G197:G202)</f>
        <v/>
      </c>
      <c r="H203" s="32">
        <f>SUM(H197:H202)</f>
        <v/>
      </c>
      <c r="I203" s="32">
        <f>SUM(I197:I202)</f>
        <v/>
      </c>
    </row>
    <row r="204">
      <c r="A204" s="9" t="inlineStr">
        <is>
          <t>1000.2200.1000.51010.300</t>
        </is>
      </c>
      <c r="B204" s="9" t="inlineStr">
        <is>
          <t>Teacher Salaries</t>
        </is>
      </c>
      <c r="C204" s="27" t="n">
        <v>178742</v>
      </c>
      <c r="D204" s="27" t="n">
        <v>183109.38</v>
      </c>
      <c r="E204" s="27" t="n">
        <v>198732</v>
      </c>
      <c r="F204" s="27" t="n">
        <v>196491.1</v>
      </c>
      <c r="G204" s="27" t="n">
        <v>206340</v>
      </c>
      <c r="H204" s="27">
        <f>G204-F204</f>
        <v/>
      </c>
      <c r="I204" s="11">
        <f>IF(F204=0,0,G204/F204-1)</f>
        <v/>
      </c>
    </row>
    <row r="205">
      <c r="A205" s="9" t="inlineStr">
        <is>
          <t>1000.2200.1000.51020.300</t>
        </is>
      </c>
      <c r="B205" s="9" t="inlineStr">
        <is>
          <t>Ed Tech Salaries</t>
        </is>
      </c>
      <c r="C205" s="27" t="n">
        <v>47018</v>
      </c>
      <c r="D205" s="27" t="n">
        <v>46888.38</v>
      </c>
      <c r="E205" s="27" t="n">
        <v>0</v>
      </c>
      <c r="F205" s="27" t="n">
        <v>32482.17</v>
      </c>
      <c r="G205" s="27" t="n">
        <v>22014</v>
      </c>
      <c r="H205" s="27">
        <f>G205-F205</f>
        <v/>
      </c>
      <c r="I205" s="11">
        <f>IF(F205=0,0,G205/F205-1)</f>
        <v/>
      </c>
    </row>
    <row r="206">
      <c r="A206" s="9" t="inlineStr">
        <is>
          <t>1000.2200.1000.52010.300</t>
        </is>
      </c>
      <c r="B206" s="9" t="inlineStr">
        <is>
          <t>Teacher Benefits</t>
        </is>
      </c>
      <c r="C206" s="27" t="n">
        <v>73266</v>
      </c>
      <c r="D206" s="27" t="n">
        <v>63946.44</v>
      </c>
      <c r="E206" s="27" t="n">
        <v>62523</v>
      </c>
      <c r="F206" s="27" t="n">
        <v>62485.39</v>
      </c>
      <c r="G206" s="27" t="n">
        <v>64987</v>
      </c>
      <c r="H206" s="27">
        <f>G206-F206</f>
        <v/>
      </c>
      <c r="I206" s="11">
        <f>IF(F206=0,0,G206/F206-1)</f>
        <v/>
      </c>
    </row>
    <row r="207">
      <c r="A207" s="9" t="inlineStr">
        <is>
          <t>1000.2200.1000.52020.300</t>
        </is>
      </c>
      <c r="B207" s="9" t="inlineStr">
        <is>
          <t>Ed Tech Benefits</t>
        </is>
      </c>
      <c r="C207" s="27" t="n">
        <v>42403</v>
      </c>
      <c r="D207" s="27" t="n">
        <v>21279.91</v>
      </c>
      <c r="E207" s="27" t="n">
        <v>0</v>
      </c>
      <c r="F207" s="27" t="n">
        <v>1152.98</v>
      </c>
      <c r="G207" s="27" t="n">
        <v>13261</v>
      </c>
      <c r="H207" s="27">
        <f>G207-F207</f>
        <v/>
      </c>
      <c r="I207" s="11">
        <f>IF(F207=0,0,G207/F207-1)</f>
        <v/>
      </c>
    </row>
    <row r="208">
      <c r="A208" s="9" t="inlineStr">
        <is>
          <t>1000.2200.1000.52310.300</t>
        </is>
      </c>
      <c r="B208" s="9" t="inlineStr">
        <is>
          <t>Retirement</t>
        </is>
      </c>
      <c r="C208" s="27" t="n">
        <v>7096</v>
      </c>
      <c r="D208" s="27" t="n">
        <v>7214.92</v>
      </c>
      <c r="E208" s="27" t="n">
        <v>8267</v>
      </c>
      <c r="F208" s="27" t="n">
        <v>8256.049999999999</v>
      </c>
      <c r="G208" s="27" t="n">
        <v>8615</v>
      </c>
      <c r="H208" s="27">
        <f>G208-F208</f>
        <v/>
      </c>
      <c r="I208" s="11">
        <f>IF(F208=0,0,G208/F208-1)</f>
        <v/>
      </c>
    </row>
    <row r="209">
      <c r="A209" s="9" t="inlineStr">
        <is>
          <t>1000.2200.1000.52320.300</t>
        </is>
      </c>
      <c r="B209" s="9" t="inlineStr">
        <is>
          <t>Retirement</t>
        </is>
      </c>
      <c r="C209" s="27" t="n">
        <v>1867</v>
      </c>
      <c r="D209" s="27" t="n">
        <v>1861.5</v>
      </c>
      <c r="E209" s="27" t="n">
        <v>0</v>
      </c>
      <c r="F209" s="27" t="n">
        <v>1081.12</v>
      </c>
      <c r="G209" s="27" t="n">
        <v>957</v>
      </c>
      <c r="H209" s="27">
        <f>G209-F209</f>
        <v/>
      </c>
      <c r="I209" s="11">
        <f>IF(F209=0,0,G209/F209-1)</f>
        <v/>
      </c>
    </row>
    <row r="210">
      <c r="A210" s="17" t="n"/>
      <c r="B210" s="31" t="inlineStr">
        <is>
          <t>Program 2200 Total</t>
        </is>
      </c>
      <c r="C210" s="32">
        <f>SUM(C204:C209)</f>
        <v/>
      </c>
      <c r="D210" s="32">
        <f>SUM(D204:D209)</f>
        <v/>
      </c>
      <c r="E210" s="32">
        <f>SUM(E204:E209)</f>
        <v/>
      </c>
      <c r="F210" s="32">
        <f>SUM(F204:F209)</f>
        <v/>
      </c>
      <c r="G210" s="32">
        <f>SUM(G204:G209)</f>
        <v/>
      </c>
      <c r="H210" s="32">
        <f>SUM(H204:H209)</f>
        <v/>
      </c>
      <c r="I210" s="32">
        <f>SUM(I204:I209)</f>
        <v/>
      </c>
    </row>
    <row r="211">
      <c r="A211" s="9" t="inlineStr">
        <is>
          <t>1000.2300.1000.51010.300</t>
        </is>
      </c>
      <c r="B211" s="9" t="inlineStr">
        <is>
          <t>Teacher Salaries</t>
        </is>
      </c>
      <c r="C211" s="27" t="n">
        <v>188364</v>
      </c>
      <c r="D211" s="27" t="n">
        <v>128601.67</v>
      </c>
      <c r="E211" s="27" t="n">
        <v>134097</v>
      </c>
      <c r="F211" s="27" t="n">
        <v>146903.83</v>
      </c>
      <c r="G211" s="27" t="n">
        <v>130401</v>
      </c>
      <c r="H211" s="27">
        <f>G211-F211</f>
        <v/>
      </c>
      <c r="I211" s="11">
        <f>IF(F211=0,0,G211/F211-1)</f>
        <v/>
      </c>
    </row>
    <row r="212">
      <c r="A212" s="9" t="inlineStr">
        <is>
          <t>1000.2300.1000.51020.300</t>
        </is>
      </c>
      <c r="B212" s="9" t="inlineStr">
        <is>
          <t>Ed Tech Salaries</t>
        </is>
      </c>
      <c r="C212" s="27" t="n">
        <v>94897</v>
      </c>
      <c r="D212" s="27" t="n">
        <v>90286.14</v>
      </c>
      <c r="E212" s="27" t="n">
        <v>149877</v>
      </c>
      <c r="F212" s="27" t="n">
        <v>86298.52</v>
      </c>
      <c r="G212" s="27" t="n">
        <v>115221</v>
      </c>
      <c r="H212" s="27">
        <f>G212-F212</f>
        <v/>
      </c>
      <c r="I212" s="11">
        <f>IF(F212=0,0,G212/F212-1)</f>
        <v/>
      </c>
    </row>
    <row r="213">
      <c r="A213" s="9" t="inlineStr">
        <is>
          <t>1000.2300.1000.52010.300</t>
        </is>
      </c>
      <c r="B213" s="9" t="inlineStr">
        <is>
          <t>Teacher Benefits</t>
        </is>
      </c>
      <c r="C213" s="27" t="n">
        <v>69152</v>
      </c>
      <c r="D213" s="27" t="n">
        <v>36520.51</v>
      </c>
      <c r="E213" s="27" t="n">
        <v>37269</v>
      </c>
      <c r="F213" s="27" t="n">
        <v>40204.38</v>
      </c>
      <c r="G213" s="27" t="n">
        <v>41165</v>
      </c>
      <c r="H213" s="27">
        <f>G213-F213</f>
        <v/>
      </c>
      <c r="I213" s="11">
        <f>IF(F213=0,0,G213/F213-1)</f>
        <v/>
      </c>
    </row>
    <row r="214">
      <c r="A214" s="9" t="inlineStr">
        <is>
          <t>1000.2300.1000.52020.300</t>
        </is>
      </c>
      <c r="B214" s="9" t="inlineStr">
        <is>
          <t>Ed Tech Benefits</t>
        </is>
      </c>
      <c r="C214" s="27" t="n">
        <v>34892</v>
      </c>
      <c r="D214" s="27" t="n">
        <v>17502.61</v>
      </c>
      <c r="E214" s="27" t="n">
        <v>70151</v>
      </c>
      <c r="F214" s="27" t="n">
        <v>31349.9</v>
      </c>
      <c r="G214" s="27" t="n">
        <v>57298</v>
      </c>
      <c r="H214" s="27">
        <f>G214-F214</f>
        <v/>
      </c>
      <c r="I214" s="11">
        <f>IF(F214=0,0,G214/F214-1)</f>
        <v/>
      </c>
    </row>
    <row r="215">
      <c r="A215" s="9" t="inlineStr">
        <is>
          <t>1000.2300.1000.52310.300</t>
        </is>
      </c>
      <c r="B215" s="9" t="inlineStr">
        <is>
          <t>Retirement</t>
        </is>
      </c>
      <c r="C215" s="27" t="n">
        <v>7478</v>
      </c>
      <c r="D215" s="27" t="n">
        <v>5206.21</v>
      </c>
      <c r="E215" s="27" t="n">
        <v>5578</v>
      </c>
      <c r="F215" s="27" t="n">
        <v>5920.35</v>
      </c>
      <c r="G215" s="27" t="n">
        <v>5425</v>
      </c>
      <c r="H215" s="27">
        <f>G215-F215</f>
        <v/>
      </c>
      <c r="I215" s="11">
        <f>IF(F215=0,0,G215/F215-1)</f>
        <v/>
      </c>
    </row>
    <row r="216">
      <c r="A216" s="9" t="inlineStr">
        <is>
          <t>1000.2300.1000.52320.300</t>
        </is>
      </c>
      <c r="B216" s="9" t="inlineStr">
        <is>
          <t>Retirement</t>
        </is>
      </c>
      <c r="C216" s="27" t="n">
        <v>3767</v>
      </c>
      <c r="D216" s="27" t="n">
        <v>2623.56</v>
      </c>
      <c r="E216" s="27" t="n">
        <v>6235</v>
      </c>
      <c r="F216" s="27" t="n">
        <v>3224.42</v>
      </c>
      <c r="G216" s="27" t="n">
        <v>4985</v>
      </c>
      <c r="H216" s="27">
        <f>G216-F216</f>
        <v/>
      </c>
      <c r="I216" s="11">
        <f>IF(F216=0,0,G216/F216-1)</f>
        <v/>
      </c>
    </row>
    <row r="217">
      <c r="A217" s="17" t="n"/>
      <c r="B217" s="31" t="inlineStr">
        <is>
          <t>Program 2300 Total</t>
        </is>
      </c>
      <c r="C217" s="32">
        <f>SUM(C211:C216)</f>
        <v/>
      </c>
      <c r="D217" s="32">
        <f>SUM(D211:D216)</f>
        <v/>
      </c>
      <c r="E217" s="32">
        <f>SUM(E211:E216)</f>
        <v/>
      </c>
      <c r="F217" s="32">
        <f>SUM(F211:F216)</f>
        <v/>
      </c>
      <c r="G217" s="32">
        <f>SUM(G211:G216)</f>
        <v/>
      </c>
      <c r="H217" s="32">
        <f>SUM(H211:H216)</f>
        <v/>
      </c>
      <c r="I217" s="32">
        <f>SUM(I211:I216)</f>
        <v/>
      </c>
    </row>
    <row r="218">
      <c r="A218" s="17" t="n"/>
      <c r="B218" s="33" t="inlineStr">
        <is>
          <t>Function 1000 Total</t>
        </is>
      </c>
      <c r="C218" s="34">
        <f>C203+C210+C217</f>
        <v/>
      </c>
      <c r="D218" s="34">
        <f>D203+D210+D217</f>
        <v/>
      </c>
      <c r="E218" s="34">
        <f>E203+E210+E217</f>
        <v/>
      </c>
      <c r="F218" s="34">
        <f>F203+F210+F217</f>
        <v/>
      </c>
      <c r="G218" s="34">
        <f>G203+G210+G217</f>
        <v/>
      </c>
      <c r="H218" s="34">
        <f>H203+H210+H217</f>
        <v/>
      </c>
      <c r="I218" s="34">
        <f>I203+I210+I217</f>
        <v/>
      </c>
    </row>
    <row r="219">
      <c r="A219" s="9" t="inlineStr">
        <is>
          <t>1000.2800.2110.51010.300</t>
        </is>
      </c>
      <c r="B219" s="9" t="inlineStr">
        <is>
          <t>Teacher Salaries</t>
        </is>
      </c>
      <c r="C219" s="27" t="n">
        <v>34684</v>
      </c>
      <c r="D219" s="27" t="n">
        <v>36245</v>
      </c>
      <c r="E219" s="27" t="n">
        <v>38452</v>
      </c>
      <c r="F219" s="27" t="n">
        <v>37332.36</v>
      </c>
      <c r="G219" s="27" t="n">
        <v>39606</v>
      </c>
      <c r="H219" s="27">
        <f>G219-F219</f>
        <v/>
      </c>
      <c r="I219" s="11">
        <f>IF(F219=0,0,G219/F219-1)</f>
        <v/>
      </c>
    </row>
    <row r="220">
      <c r="A220" s="9" t="inlineStr">
        <is>
          <t>1000.2800.2110.52010.300</t>
        </is>
      </c>
      <c r="B220" s="9" t="inlineStr">
        <is>
          <t>Teacher Benefits</t>
        </is>
      </c>
      <c r="C220" s="27" t="n">
        <v>10065</v>
      </c>
      <c r="D220" s="27" t="n">
        <v>7925.09</v>
      </c>
      <c r="E220" s="27" t="n">
        <v>7978</v>
      </c>
      <c r="F220" s="27" t="n">
        <v>10696.12</v>
      </c>
      <c r="G220" s="27" t="n">
        <v>9950</v>
      </c>
      <c r="H220" s="27">
        <f>G220-F220</f>
        <v/>
      </c>
      <c r="I220" s="11">
        <f>IF(F220=0,0,G220/F220-1)</f>
        <v/>
      </c>
    </row>
    <row r="221">
      <c r="A221" s="9" t="inlineStr">
        <is>
          <t>1000.2800.2110.52310.300</t>
        </is>
      </c>
      <c r="B221" s="9" t="inlineStr">
        <is>
          <t>Retirement</t>
        </is>
      </c>
      <c r="C221" s="27" t="n">
        <v>1377</v>
      </c>
      <c r="D221" s="27" t="n">
        <v>1449.44</v>
      </c>
      <c r="E221" s="27" t="n">
        <v>1600</v>
      </c>
      <c r="F221" s="27" t="n">
        <v>1552.98</v>
      </c>
      <c r="G221" s="27" t="n">
        <v>1648</v>
      </c>
      <c r="H221" s="27">
        <f>G221-F221</f>
        <v/>
      </c>
      <c r="I221" s="11">
        <f>IF(F221=0,0,G221/F221-1)</f>
        <v/>
      </c>
    </row>
    <row r="222">
      <c r="A222" s="17" t="n"/>
      <c r="B222" s="31" t="inlineStr">
        <is>
          <t>Program 2800 Total</t>
        </is>
      </c>
      <c r="C222" s="32">
        <f>SUM(C219:C221)</f>
        <v/>
      </c>
      <c r="D222" s="32">
        <f>SUM(D219:D221)</f>
        <v/>
      </c>
      <c r="E222" s="32">
        <f>SUM(E219:E221)</f>
        <v/>
      </c>
      <c r="F222" s="32">
        <f>SUM(F219:F221)</f>
        <v/>
      </c>
      <c r="G222" s="32">
        <f>SUM(G219:G221)</f>
        <v/>
      </c>
      <c r="H222" s="32">
        <f>SUM(H219:H221)</f>
        <v/>
      </c>
      <c r="I222" s="32">
        <f>SUM(I219:I221)</f>
        <v/>
      </c>
    </row>
    <row r="223">
      <c r="A223" s="9" t="inlineStr">
        <is>
          <t>1000.2800.2140.51010.300</t>
        </is>
      </c>
      <c r="B223" s="9" t="inlineStr">
        <is>
          <t>Teacher Salaries</t>
        </is>
      </c>
      <c r="C223" s="27" t="n">
        <v>16545</v>
      </c>
      <c r="D223" s="27" t="n">
        <v>0</v>
      </c>
      <c r="E223" s="27" t="n">
        <v>33029</v>
      </c>
      <c r="F223" s="27" t="n">
        <v>10381.56</v>
      </c>
      <c r="G223" s="27" t="n">
        <v>40886</v>
      </c>
      <c r="H223" s="27">
        <f>G223-F223</f>
        <v/>
      </c>
      <c r="I223" s="11">
        <f>IF(F223=0,0,G223/F223-1)</f>
        <v/>
      </c>
    </row>
    <row r="224">
      <c r="A224" s="9" t="inlineStr">
        <is>
          <t>1000.2800.2140.52010.300</t>
        </is>
      </c>
      <c r="B224" s="9" t="inlineStr">
        <is>
          <t>Teacher Benefit</t>
        </is>
      </c>
      <c r="C224" s="27" t="n">
        <v>5007</v>
      </c>
      <c r="D224" s="27" t="n">
        <v>0</v>
      </c>
      <c r="E224" s="27" t="n">
        <v>6085</v>
      </c>
      <c r="F224" s="27" t="n">
        <v>1346.45</v>
      </c>
      <c r="G224" s="27" t="n">
        <v>5331</v>
      </c>
      <c r="H224" s="27">
        <f>G224-F224</f>
        <v/>
      </c>
      <c r="I224" s="11">
        <f>IF(F224=0,0,G224/F224-1)</f>
        <v/>
      </c>
    </row>
    <row r="225">
      <c r="A225" s="9" t="inlineStr">
        <is>
          <t>1000.2800.2140.52310.300</t>
        </is>
      </c>
      <c r="B225" s="9" t="inlineStr">
        <is>
          <t>Retirement</t>
        </is>
      </c>
      <c r="C225" s="27" t="n">
        <v>657</v>
      </c>
      <c r="D225" s="27" t="n">
        <v>0</v>
      </c>
      <c r="E225" s="27" t="n">
        <v>1374</v>
      </c>
      <c r="F225" s="27" t="n">
        <v>432.14</v>
      </c>
      <c r="G225" s="27" t="n">
        <v>1701</v>
      </c>
      <c r="H225" s="27">
        <f>G225-F225</f>
        <v/>
      </c>
      <c r="I225" s="11">
        <f>IF(F225=0,0,G225/F225-1)</f>
        <v/>
      </c>
    </row>
    <row r="226">
      <c r="A226" s="9" t="inlineStr">
        <is>
          <t>1000.2800.2140.55800.300</t>
        </is>
      </c>
      <c r="B226" s="9" t="inlineStr">
        <is>
          <t>Travel</t>
        </is>
      </c>
      <c r="C226" s="27" t="n">
        <v>800</v>
      </c>
      <c r="D226" s="27" t="n">
        <v>0</v>
      </c>
      <c r="E226" s="27" t="n">
        <v>500</v>
      </c>
      <c r="F226" s="27" t="n">
        <v>6.67</v>
      </c>
      <c r="G226" s="27" t="n">
        <v>20</v>
      </c>
      <c r="H226" s="27">
        <f>G226-F226</f>
        <v/>
      </c>
      <c r="I226" s="11">
        <f>IF(F226=0,0,G226/F226-1)</f>
        <v/>
      </c>
    </row>
    <row r="227">
      <c r="A227" s="17" t="n"/>
      <c r="B227" s="31" t="inlineStr">
        <is>
          <t>Program 2800 Total</t>
        </is>
      </c>
      <c r="C227" s="32">
        <f>SUM(C223:C226)</f>
        <v/>
      </c>
      <c r="D227" s="32">
        <f>SUM(D223:D226)</f>
        <v/>
      </c>
      <c r="E227" s="32">
        <f>SUM(E223:E226)</f>
        <v/>
      </c>
      <c r="F227" s="32">
        <f>SUM(F223:F226)</f>
        <v/>
      </c>
      <c r="G227" s="32">
        <f>SUM(G223:G226)</f>
        <v/>
      </c>
      <c r="H227" s="32">
        <f>SUM(H223:H226)</f>
        <v/>
      </c>
      <c r="I227" s="32">
        <f>SUM(I223:I226)</f>
        <v/>
      </c>
    </row>
    <row r="228">
      <c r="A228" s="9" t="inlineStr">
        <is>
          <t>1000.2800.2150.51010.300</t>
        </is>
      </c>
      <c r="B228" s="9" t="inlineStr">
        <is>
          <t>Teacher Salaries</t>
        </is>
      </c>
      <c r="C228" s="27" t="n">
        <v>0</v>
      </c>
      <c r="D228" s="27" t="n">
        <v>15324.4</v>
      </c>
      <c r="E228" s="27" t="n">
        <v>0</v>
      </c>
      <c r="F228" s="27" t="n">
        <v>5496.12</v>
      </c>
      <c r="G228" s="27" t="n">
        <v>0</v>
      </c>
      <c r="H228" s="27">
        <f>G228-F228</f>
        <v/>
      </c>
      <c r="I228" s="11">
        <f>IF(F228=0,0,G228/F228-1)</f>
        <v/>
      </c>
    </row>
    <row r="229">
      <c r="A229" s="9" t="inlineStr">
        <is>
          <t>1000.2800.2150.52010.300</t>
        </is>
      </c>
      <c r="B229" s="9" t="inlineStr">
        <is>
          <t>Teacher Benefits</t>
        </is>
      </c>
      <c r="C229" s="27" t="n">
        <v>0</v>
      </c>
      <c r="D229" s="27" t="n">
        <v>2257</v>
      </c>
      <c r="E229" s="27" t="n">
        <v>0</v>
      </c>
      <c r="F229" s="27" t="n">
        <v>716.76</v>
      </c>
      <c r="G229" s="27" t="n">
        <v>0</v>
      </c>
      <c r="H229" s="27">
        <f>G229-F229</f>
        <v/>
      </c>
      <c r="I229" s="11">
        <f>IF(F229=0,0,G229/F229-1)</f>
        <v/>
      </c>
    </row>
    <row r="230">
      <c r="A230" s="9" t="inlineStr">
        <is>
          <t>1000.2800.2150.52310.300</t>
        </is>
      </c>
      <c r="B230" s="9" t="inlineStr">
        <is>
          <t>Retirement</t>
        </is>
      </c>
      <c r="C230" s="27" t="n">
        <v>0</v>
      </c>
      <c r="D230" s="27" t="n">
        <v>608.4</v>
      </c>
      <c r="E230" s="27" t="n">
        <v>0</v>
      </c>
      <c r="F230" s="27" t="n">
        <v>228.78</v>
      </c>
      <c r="G230" s="27" t="n">
        <v>0</v>
      </c>
      <c r="H230" s="27">
        <f>G230-F230</f>
        <v/>
      </c>
      <c r="I230" s="11">
        <f>IF(F230=0,0,G230/F230-1)</f>
        <v/>
      </c>
    </row>
    <row r="231">
      <c r="A231" s="9" t="inlineStr">
        <is>
          <t>1000.2800.2150.53440.300</t>
        </is>
      </c>
      <c r="B231" s="9" t="inlineStr">
        <is>
          <t>Professional Services</t>
        </is>
      </c>
      <c r="C231" s="27" t="n">
        <v>0</v>
      </c>
      <c r="D231" s="27" t="n">
        <v>51.2</v>
      </c>
      <c r="E231" s="27" t="n">
        <v>0</v>
      </c>
      <c r="F231" s="27" t="n">
        <v>0</v>
      </c>
      <c r="G231" s="27" t="n">
        <v>0</v>
      </c>
      <c r="H231" s="27">
        <f>G231-F231</f>
        <v/>
      </c>
      <c r="I231" s="11">
        <f>IF(F231=0,0,G231/F231-1)</f>
        <v/>
      </c>
    </row>
    <row r="232">
      <c r="A232" s="17" t="n"/>
      <c r="B232" s="31" t="inlineStr">
        <is>
          <t>Program 2800 Total</t>
        </is>
      </c>
      <c r="C232" s="32">
        <f>SUM(C228:C231)</f>
        <v/>
      </c>
      <c r="D232" s="32">
        <f>SUM(D228:D231)</f>
        <v/>
      </c>
      <c r="E232" s="32">
        <f>SUM(E228:E231)</f>
        <v/>
      </c>
      <c r="F232" s="32">
        <f>SUM(F228:F231)</f>
        <v/>
      </c>
      <c r="G232" s="32">
        <f>SUM(G228:G231)</f>
        <v/>
      </c>
      <c r="H232" s="32">
        <f>SUM(H228:H231)</f>
        <v/>
      </c>
      <c r="I232" s="32">
        <f>SUM(I228:I231)</f>
        <v/>
      </c>
    </row>
    <row r="233">
      <c r="A233" s="9" t="inlineStr">
        <is>
          <t>1000.2800.2160.51010.300</t>
        </is>
      </c>
      <c r="B233" s="9" t="inlineStr">
        <is>
          <t>Teacher Salaries</t>
        </is>
      </c>
      <c r="C233" s="27" t="n">
        <v>28219</v>
      </c>
      <c r="D233" s="27" t="n">
        <v>6342.62</v>
      </c>
      <c r="E233" s="27" t="n">
        <v>5370</v>
      </c>
      <c r="F233" s="27" t="n">
        <v>5369.53</v>
      </c>
      <c r="G233" s="27" t="n">
        <v>5680</v>
      </c>
      <c r="H233" s="27">
        <f>G233-F233</f>
        <v/>
      </c>
      <c r="I233" s="11">
        <f>IF(F233=0,0,G233/F233-1)</f>
        <v/>
      </c>
    </row>
    <row r="234">
      <c r="A234" s="9" t="inlineStr">
        <is>
          <t>1000.2800.2160.52010.300</t>
        </is>
      </c>
      <c r="B234" s="9" t="inlineStr">
        <is>
          <t>Teacher Benefits</t>
        </is>
      </c>
      <c r="C234" s="27" t="n">
        <v>9604</v>
      </c>
      <c r="D234" s="27" t="n">
        <v>186.86</v>
      </c>
      <c r="E234" s="27" t="n">
        <v>465</v>
      </c>
      <c r="F234" s="27" t="n">
        <v>99.34999999999999</v>
      </c>
      <c r="G234" s="27" t="n">
        <v>477</v>
      </c>
      <c r="H234" s="27">
        <f>G234-F234</f>
        <v/>
      </c>
      <c r="I234" s="11">
        <f>IF(F234=0,0,G234/F234-1)</f>
        <v/>
      </c>
    </row>
    <row r="235">
      <c r="A235" s="9" t="inlineStr">
        <is>
          <t>1000.2800.2160.52310.300</t>
        </is>
      </c>
      <c r="B235" s="9" t="inlineStr">
        <is>
          <t>Retirement</t>
        </is>
      </c>
      <c r="C235" s="27" t="n">
        <v>1270</v>
      </c>
      <c r="D235" s="27" t="n">
        <v>132.41</v>
      </c>
      <c r="E235" s="27" t="n">
        <v>223</v>
      </c>
      <c r="F235" s="27" t="n">
        <v>223.35</v>
      </c>
      <c r="G235" s="27" t="n">
        <v>237</v>
      </c>
      <c r="H235" s="27">
        <f>G235-F235</f>
        <v/>
      </c>
      <c r="I235" s="11">
        <f>IF(F235=0,0,G235/F235-1)</f>
        <v/>
      </c>
    </row>
    <row r="236">
      <c r="A236" s="9" t="inlineStr">
        <is>
          <t>1000.2800.2160.55800.300</t>
        </is>
      </c>
      <c r="B236" s="9" t="inlineStr">
        <is>
          <t>Travel</t>
        </is>
      </c>
      <c r="C236" s="27" t="n">
        <v>150</v>
      </c>
      <c r="D236" s="27" t="n">
        <v>0</v>
      </c>
      <c r="E236" s="27" t="n">
        <v>100</v>
      </c>
      <c r="F236" s="27" t="n">
        <v>0</v>
      </c>
      <c r="G236" s="27" t="n">
        <v>0</v>
      </c>
      <c r="H236" s="27">
        <f>G236-F236</f>
        <v/>
      </c>
      <c r="I236" s="11">
        <f>IF(F236=0,0,G236/F236-1)</f>
        <v/>
      </c>
    </row>
    <row r="237">
      <c r="A237" s="17" t="n"/>
      <c r="B237" s="31" t="inlineStr">
        <is>
          <t>Program 2800 Total</t>
        </is>
      </c>
      <c r="C237" s="32">
        <f>SUM(C233:C236)</f>
        <v/>
      </c>
      <c r="D237" s="32">
        <f>SUM(D233:D236)</f>
        <v/>
      </c>
      <c r="E237" s="32">
        <f>SUM(E233:E236)</f>
        <v/>
      </c>
      <c r="F237" s="32">
        <f>SUM(F233:F236)</f>
        <v/>
      </c>
      <c r="G237" s="32">
        <f>SUM(G233:G236)</f>
        <v/>
      </c>
      <c r="H237" s="32">
        <f>SUM(H233:H236)</f>
        <v/>
      </c>
      <c r="I237" s="32">
        <f>SUM(I233:I236)</f>
        <v/>
      </c>
    </row>
    <row r="238">
      <c r="A238" s="17" t="n"/>
      <c r="B238" s="20" t="inlineStr">
        <is>
          <t>Cost Center ('300',) Total</t>
        </is>
      </c>
      <c r="C238" s="35">
        <f>C218+C222+C227+C232+C237</f>
        <v/>
      </c>
      <c r="D238" s="35">
        <f>D218+D222+D227+D232+D237</f>
        <v/>
      </c>
      <c r="E238" s="35">
        <f>E218+E222+E227+E232+E237</f>
        <v/>
      </c>
      <c r="F238" s="35">
        <f>F218+F222+F227+F232+F237</f>
        <v/>
      </c>
      <c r="G238" s="35">
        <f>G218+G222+G227+G232+G237</f>
        <v/>
      </c>
      <c r="H238" s="35">
        <f>H218+H222+H227+H232+H237</f>
        <v/>
      </c>
      <c r="I238" s="35">
        <f>I218+I222+I227+I232+I237</f>
        <v/>
      </c>
    </row>
    <row r="240">
      <c r="A240" s="3" t="inlineStr">
        <is>
          <t>Cost Center: ('900',)</t>
        </is>
      </c>
    </row>
    <row r="241">
      <c r="A241" s="9" t="inlineStr">
        <is>
          <t>1000.2500.2330.51010.900</t>
        </is>
      </c>
      <c r="B241" s="9" t="inlineStr">
        <is>
          <t>Instructional Strategist Salaries</t>
        </is>
      </c>
      <c r="C241" s="27" t="n">
        <v>185119</v>
      </c>
      <c r="D241" s="27" t="n">
        <v>138087.22</v>
      </c>
      <c r="E241" s="27" t="n">
        <v>216202</v>
      </c>
      <c r="F241" s="27" t="n">
        <v>125550.7</v>
      </c>
      <c r="G241" s="27" t="n">
        <v>234338</v>
      </c>
      <c r="H241" s="27">
        <f>G241-F241</f>
        <v/>
      </c>
      <c r="I241" s="11">
        <f>IF(F241=0,0,G241/F241-1)</f>
        <v/>
      </c>
    </row>
    <row r="242">
      <c r="A242" s="9" t="inlineStr">
        <is>
          <t>1000.2500.2330.51040.900</t>
        </is>
      </c>
      <c r="B242" s="9" t="inlineStr">
        <is>
          <t>Admin Salaries</t>
        </is>
      </c>
      <c r="C242" s="27" t="n">
        <v>123971</v>
      </c>
      <c r="D242" s="27" t="n">
        <v>126449.96</v>
      </c>
      <c r="E242" s="27" t="n">
        <v>128979</v>
      </c>
      <c r="F242" s="27" t="n">
        <v>128978.98</v>
      </c>
      <c r="G242" s="27" t="n">
        <v>131559</v>
      </c>
      <c r="H242" s="27">
        <f>G242-F242</f>
        <v/>
      </c>
      <c r="I242" s="11">
        <f>IF(F242=0,0,G242/F242-1)</f>
        <v/>
      </c>
    </row>
    <row r="243">
      <c r="A243" s="9" t="inlineStr">
        <is>
          <t>1000.2500.2330.51180.900</t>
        </is>
      </c>
      <c r="B243" s="9" t="inlineStr">
        <is>
          <t>Support Wages</t>
        </is>
      </c>
      <c r="C243" s="27" t="n">
        <v>42440</v>
      </c>
      <c r="D243" s="27" t="n">
        <v>44615.66</v>
      </c>
      <c r="E243" s="27" t="n">
        <v>45244</v>
      </c>
      <c r="F243" s="27" t="n">
        <v>47660.85</v>
      </c>
      <c r="G243" s="27" t="n">
        <v>46176</v>
      </c>
      <c r="H243" s="27">
        <f>G243-F243</f>
        <v/>
      </c>
      <c r="I243" s="11">
        <f>IF(F243=0,0,G243/F243-1)</f>
        <v/>
      </c>
    </row>
    <row r="244">
      <c r="A244" s="9" t="inlineStr">
        <is>
          <t>1000.2500.2330.51230.900</t>
        </is>
      </c>
      <c r="B244" s="9" t="inlineStr">
        <is>
          <t>Substitutes</t>
        </is>
      </c>
      <c r="C244" s="27" t="n">
        <v>6000</v>
      </c>
      <c r="D244" s="27" t="n">
        <v>0</v>
      </c>
      <c r="E244" s="27" t="n">
        <v>15000</v>
      </c>
      <c r="F244" s="27" t="n">
        <v>0</v>
      </c>
      <c r="G244" s="27" t="n">
        <v>15000</v>
      </c>
      <c r="H244" s="27">
        <f>G244-F244</f>
        <v/>
      </c>
      <c r="I244" s="11">
        <f>IF(F244=0,0,G244/F244-1)</f>
        <v/>
      </c>
    </row>
    <row r="245">
      <c r="A245" s="9" t="inlineStr">
        <is>
          <t>1000.2500.2330.52010.900</t>
        </is>
      </c>
      <c r="B245" s="9" t="inlineStr">
        <is>
          <t>Instructional Strategist Benefits</t>
        </is>
      </c>
      <c r="C245" s="27" t="n">
        <v>42634</v>
      </c>
      <c r="D245" s="27" t="n">
        <v>10051.08</v>
      </c>
      <c r="E245" s="27" t="n">
        <v>29732</v>
      </c>
      <c r="F245" s="27" t="n">
        <v>11664.91</v>
      </c>
      <c r="G245" s="27" t="n">
        <v>45005</v>
      </c>
      <c r="H245" s="27">
        <f>G245-F245</f>
        <v/>
      </c>
      <c r="I245" s="11">
        <f>IF(F245=0,0,G245/F245-1)</f>
        <v/>
      </c>
    </row>
    <row r="246">
      <c r="A246" s="9" t="inlineStr">
        <is>
          <t>1000.2500.2330.52030.900</t>
        </is>
      </c>
      <c r="B246" s="9" t="inlineStr">
        <is>
          <t>Sub Benefits</t>
        </is>
      </c>
      <c r="C246" s="27" t="n">
        <v>300</v>
      </c>
      <c r="D246" s="27" t="n">
        <v>0</v>
      </c>
      <c r="E246" s="27" t="n">
        <v>750</v>
      </c>
      <c r="F246" s="27" t="n">
        <v>0</v>
      </c>
      <c r="G246" s="27" t="n">
        <v>750</v>
      </c>
      <c r="H246" s="27">
        <f>G246-F246</f>
        <v/>
      </c>
      <c r="I246" s="11">
        <f>IF(F246=0,0,G246/F246-1)</f>
        <v/>
      </c>
    </row>
    <row r="247">
      <c r="A247" s="9" t="inlineStr">
        <is>
          <t>1000.2500.2330.52040.900</t>
        </is>
      </c>
      <c r="B247" s="9" t="inlineStr">
        <is>
          <t>Admin Benefits</t>
        </is>
      </c>
      <c r="C247" s="27" t="n">
        <v>17559</v>
      </c>
      <c r="D247" s="27" t="n">
        <v>4027.02</v>
      </c>
      <c r="E247" s="27" t="n">
        <v>9373</v>
      </c>
      <c r="F247" s="27" t="n">
        <v>6324.46</v>
      </c>
      <c r="G247" s="27" t="n">
        <v>9560</v>
      </c>
      <c r="H247" s="27">
        <f>G247-F247</f>
        <v/>
      </c>
      <c r="I247" s="11">
        <f>IF(F247=0,0,G247/F247-1)</f>
        <v/>
      </c>
    </row>
    <row r="248">
      <c r="A248" s="9" t="inlineStr">
        <is>
          <t>1000.2500.2330.52080.900</t>
        </is>
      </c>
      <c r="B248" s="9" t="inlineStr">
        <is>
          <t>Support Benefits</t>
        </is>
      </c>
      <c r="C248" s="27" t="n">
        <v>15400</v>
      </c>
      <c r="D248" s="27" t="n">
        <v>14632.22</v>
      </c>
      <c r="E248" s="27" t="n">
        <v>14862</v>
      </c>
      <c r="F248" s="27" t="n">
        <v>17785.41</v>
      </c>
      <c r="G248" s="27" t="n">
        <v>20387</v>
      </c>
      <c r="H248" s="27">
        <f>G248-F248</f>
        <v/>
      </c>
      <c r="I248" s="11">
        <f>IF(F248=0,0,G248/F248-1)</f>
        <v/>
      </c>
    </row>
    <row r="249">
      <c r="A249" s="9" t="inlineStr">
        <is>
          <t>1000.2500.2330.52310.900</t>
        </is>
      </c>
      <c r="B249" s="9" t="inlineStr">
        <is>
          <t>Retirement</t>
        </is>
      </c>
      <c r="C249" s="27" t="n">
        <v>7349</v>
      </c>
      <c r="D249" s="27" t="n">
        <v>5587.42</v>
      </c>
      <c r="E249" s="27" t="n">
        <v>8994</v>
      </c>
      <c r="F249" s="27" t="n">
        <v>5213</v>
      </c>
      <c r="G249" s="27" t="n">
        <v>9748</v>
      </c>
      <c r="H249" s="27">
        <f>G249-F249</f>
        <v/>
      </c>
      <c r="I249" s="11">
        <f>IF(F249=0,0,G249/F249-1)</f>
        <v/>
      </c>
    </row>
    <row r="250">
      <c r="A250" s="9" t="inlineStr">
        <is>
          <t>1000.2500.2330.52330.900</t>
        </is>
      </c>
      <c r="B250" s="9" t="inlineStr">
        <is>
          <t>Retirement</t>
        </is>
      </c>
      <c r="C250" s="27" t="n">
        <v>238</v>
      </c>
      <c r="D250" s="27" t="n">
        <v>0</v>
      </c>
      <c r="E250" s="27" t="n">
        <v>624</v>
      </c>
      <c r="F250" s="27" t="n">
        <v>0</v>
      </c>
      <c r="G250" s="27" t="n">
        <v>624</v>
      </c>
      <c r="H250" s="27">
        <f>G250-F250</f>
        <v/>
      </c>
      <c r="I250" s="11">
        <f>IF(F250=0,0,G250/F250-1)</f>
        <v/>
      </c>
    </row>
    <row r="251">
      <c r="A251" s="9" t="inlineStr">
        <is>
          <t>1000.2500.2330.52340.900</t>
        </is>
      </c>
      <c r="B251" s="9" t="inlineStr">
        <is>
          <t>Retirement</t>
        </is>
      </c>
      <c r="C251" s="27" t="n">
        <v>5020</v>
      </c>
      <c r="D251" s="27" t="n">
        <v>5020.08</v>
      </c>
      <c r="E251" s="27" t="n">
        <v>5366</v>
      </c>
      <c r="F251" s="27" t="n">
        <v>5365.62</v>
      </c>
      <c r="G251" s="27" t="n">
        <v>5473</v>
      </c>
      <c r="H251" s="27">
        <f>G251-F251</f>
        <v/>
      </c>
      <c r="I251" s="11">
        <f>IF(F251=0,0,G251/F251-1)</f>
        <v/>
      </c>
    </row>
    <row r="252">
      <c r="A252" s="9" t="inlineStr">
        <is>
          <t>1000.2500.2330.53400.900</t>
        </is>
      </c>
      <c r="B252" s="9" t="inlineStr">
        <is>
          <t>Contracted Services</t>
        </is>
      </c>
      <c r="C252" s="27" t="n">
        <v>16000</v>
      </c>
      <c r="D252" s="27" t="n">
        <v>2731.95</v>
      </c>
      <c r="E252" s="27" t="n">
        <v>15000</v>
      </c>
      <c r="F252" s="27" t="n">
        <v>60</v>
      </c>
      <c r="G252" s="27" t="n">
        <v>65000</v>
      </c>
      <c r="H252" s="27">
        <f>G252-F252</f>
        <v/>
      </c>
      <c r="I252" s="11">
        <f>IF(F252=0,0,G252/F252-1)</f>
        <v/>
      </c>
    </row>
    <row r="253">
      <c r="A253" s="9" t="inlineStr">
        <is>
          <t>1000.2500.2330.53440.900</t>
        </is>
      </c>
      <c r="B253" s="9" t="inlineStr">
        <is>
          <t>Purchased Professional</t>
        </is>
      </c>
      <c r="C253" s="27" t="n">
        <v>40000</v>
      </c>
      <c r="D253" s="27" t="n">
        <v>18202.51</v>
      </c>
      <c r="E253" s="27" t="n">
        <v>65000</v>
      </c>
      <c r="F253" s="27" t="n">
        <v>8636.84</v>
      </c>
      <c r="G253" s="27" t="n">
        <v>15000</v>
      </c>
      <c r="H253" s="27">
        <f>G253-F253</f>
        <v/>
      </c>
      <c r="I253" s="11">
        <f>IF(F253=0,0,G253/F253-1)</f>
        <v/>
      </c>
    </row>
    <row r="254">
      <c r="A254" s="9" t="inlineStr">
        <is>
          <t>1000.2500.2330.55310.900</t>
        </is>
      </c>
      <c r="B254" s="9" t="inlineStr">
        <is>
          <t>Postage</t>
        </is>
      </c>
      <c r="C254" s="27" t="n">
        <v>0</v>
      </c>
      <c r="D254" s="27" t="n">
        <v>0</v>
      </c>
      <c r="E254" s="27" t="n">
        <v>0</v>
      </c>
      <c r="F254" s="27" t="n">
        <v>95.78</v>
      </c>
      <c r="G254" s="27" t="n">
        <v>100</v>
      </c>
      <c r="H254" s="27">
        <f>G254-F254</f>
        <v/>
      </c>
      <c r="I254" s="11">
        <f>IF(F254=0,0,G254/F254-1)</f>
        <v/>
      </c>
    </row>
    <row r="255">
      <c r="A255" s="9" t="inlineStr">
        <is>
          <t>1000.2500.2330.55800.900</t>
        </is>
      </c>
      <c r="B255" s="9" t="inlineStr">
        <is>
          <t>Travel</t>
        </is>
      </c>
      <c r="C255" s="27" t="n">
        <v>5000</v>
      </c>
      <c r="D255" s="27" t="n">
        <v>7150.34</v>
      </c>
      <c r="E255" s="27" t="n">
        <v>6000</v>
      </c>
      <c r="F255" s="27" t="n">
        <v>1086.6</v>
      </c>
      <c r="G255" s="27" t="n">
        <v>7090</v>
      </c>
      <c r="H255" s="27">
        <f>G255-F255</f>
        <v/>
      </c>
      <c r="I255" s="11">
        <f>IF(F255=0,0,G255/F255-1)</f>
        <v/>
      </c>
    </row>
    <row r="256">
      <c r="A256" s="9" t="inlineStr">
        <is>
          <t>1000.2500.2330.56000.900</t>
        </is>
      </c>
      <c r="B256" s="9" t="inlineStr">
        <is>
          <t>Supplies</t>
        </is>
      </c>
      <c r="C256" s="27" t="n">
        <v>0</v>
      </c>
      <c r="D256" s="27" t="n">
        <v>0</v>
      </c>
      <c r="E256" s="27" t="n">
        <v>0</v>
      </c>
      <c r="F256" s="27" t="n">
        <v>4277.11</v>
      </c>
      <c r="G256" s="27" t="n">
        <v>1200</v>
      </c>
      <c r="H256" s="27">
        <f>G256-F256</f>
        <v/>
      </c>
      <c r="I256" s="11">
        <f>IF(F256=0,0,G256/F256-1)</f>
        <v/>
      </c>
    </row>
    <row r="257">
      <c r="A257" s="9" t="inlineStr">
        <is>
          <t>1000.2500.2330.56100.900</t>
        </is>
      </c>
      <c r="B257" s="9" t="inlineStr">
        <is>
          <t>Supplies</t>
        </is>
      </c>
      <c r="C257" s="27" t="n">
        <v>1300</v>
      </c>
      <c r="D257" s="27" t="n">
        <v>0</v>
      </c>
      <c r="E257" s="27" t="n">
        <v>1300</v>
      </c>
      <c r="F257" s="27" t="n">
        <v>0</v>
      </c>
      <c r="G257" s="27" t="n">
        <v>0</v>
      </c>
      <c r="H257" s="27">
        <f>G257-F257</f>
        <v/>
      </c>
      <c r="I257" s="11">
        <f>IF(F257=0,0,G257/F257-1)</f>
        <v/>
      </c>
    </row>
    <row r="258">
      <c r="A258" s="9" t="inlineStr">
        <is>
          <t>1000.2500.2330.58100.900</t>
        </is>
      </c>
      <c r="B258" s="9" t="inlineStr">
        <is>
          <t>Dues &amp; Fees</t>
        </is>
      </c>
      <c r="C258" s="27" t="n">
        <v>0</v>
      </c>
      <c r="D258" s="27" t="n">
        <v>3817.73</v>
      </c>
      <c r="E258" s="27" t="n">
        <v>0</v>
      </c>
      <c r="F258" s="27" t="n">
        <v>1403.76</v>
      </c>
      <c r="G258" s="27" t="n">
        <v>0</v>
      </c>
      <c r="H258" s="27">
        <f>G258-F258</f>
        <v/>
      </c>
      <c r="I258" s="11">
        <f>IF(F258=0,0,G258/F258-1)</f>
        <v/>
      </c>
    </row>
    <row r="259">
      <c r="A259" s="9" t="inlineStr">
        <is>
          <t>1000.2500.2330.59000.900</t>
        </is>
      </c>
      <c r="B259" s="9" t="inlineStr">
        <is>
          <t>Contingency</t>
        </is>
      </c>
      <c r="C259" s="27" t="n">
        <v>39000</v>
      </c>
      <c r="D259" s="27" t="n">
        <v>0</v>
      </c>
      <c r="E259" s="27" t="n">
        <v>39000</v>
      </c>
      <c r="F259" s="27" t="n">
        <v>0</v>
      </c>
      <c r="G259" s="27" t="n">
        <v>22000</v>
      </c>
      <c r="H259" s="27">
        <f>G259-F259</f>
        <v/>
      </c>
      <c r="I259" s="11">
        <f>IF(F259=0,0,G259/F259-1)</f>
        <v/>
      </c>
    </row>
    <row r="260">
      <c r="A260" s="17" t="n"/>
      <c r="B260" s="31" t="inlineStr">
        <is>
          <t>Program 2500 Total</t>
        </is>
      </c>
      <c r="C260" s="32">
        <f>SUM(C241:C259)</f>
        <v/>
      </c>
      <c r="D260" s="32">
        <f>SUM(D241:D259)</f>
        <v/>
      </c>
      <c r="E260" s="32">
        <f>SUM(E241:E259)</f>
        <v/>
      </c>
      <c r="F260" s="32">
        <f>SUM(F241:F259)</f>
        <v/>
      </c>
      <c r="G260" s="32">
        <f>SUM(G241:G259)</f>
        <v/>
      </c>
      <c r="H260" s="32">
        <f>SUM(H241:H259)</f>
        <v/>
      </c>
      <c r="I260" s="32">
        <f>SUM(I241:I259)</f>
        <v/>
      </c>
    </row>
    <row r="261">
      <c r="A261" s="17" t="n"/>
      <c r="B261" s="20" t="inlineStr">
        <is>
          <t>Cost Center ('900',) Total</t>
        </is>
      </c>
      <c r="C261" s="35">
        <f>C260</f>
        <v/>
      </c>
      <c r="D261" s="35">
        <f>D260</f>
        <v/>
      </c>
      <c r="E261" s="35">
        <f>E260</f>
        <v/>
      </c>
      <c r="F261" s="35">
        <f>F260</f>
        <v/>
      </c>
      <c r="G261" s="35">
        <f>G260</f>
        <v/>
      </c>
      <c r="H261" s="35">
        <f>H260</f>
        <v/>
      </c>
      <c r="I261" s="35">
        <f>I260</f>
        <v/>
      </c>
    </row>
    <row r="263">
      <c r="A263" s="3" t="inlineStr">
        <is>
          <t>Cost Center: ('950',)</t>
        </is>
      </c>
    </row>
    <row r="264">
      <c r="A264" s="9" t="inlineStr">
        <is>
          <t>1000.2100.1000.51210.950</t>
        </is>
      </c>
      <c r="B264" s="9" t="inlineStr">
        <is>
          <t>Tutor Salaries/ESY</t>
        </is>
      </c>
      <c r="C264" s="27" t="n">
        <v>18000</v>
      </c>
      <c r="D264" s="27" t="n">
        <v>31176.69</v>
      </c>
      <c r="E264" s="27" t="n">
        <v>18000</v>
      </c>
      <c r="F264" s="27" t="n">
        <v>7185</v>
      </c>
      <c r="G264" s="27" t="n">
        <v>15000</v>
      </c>
      <c r="H264" s="27">
        <f>G264-F264</f>
        <v/>
      </c>
      <c r="I264" s="11">
        <f>IF(F264=0,0,G264/F264-1)</f>
        <v/>
      </c>
    </row>
    <row r="265">
      <c r="A265" s="9" t="inlineStr">
        <is>
          <t>1000.2100.1000.52010.950</t>
        </is>
      </c>
      <c r="B265" s="9" t="inlineStr">
        <is>
          <t>Benefit</t>
        </is>
      </c>
      <c r="C265" s="27" t="n">
        <v>0</v>
      </c>
      <c r="D265" s="27" t="n">
        <v>1074.81</v>
      </c>
      <c r="E265" s="27" t="n">
        <v>0</v>
      </c>
      <c r="F265" s="27" t="n">
        <v>189.88</v>
      </c>
      <c r="G265" s="27" t="n">
        <v>0</v>
      </c>
      <c r="H265" s="27">
        <f>G265-F265</f>
        <v/>
      </c>
      <c r="I265" s="11">
        <f>IF(F265=0,0,G265/F265-1)</f>
        <v/>
      </c>
    </row>
    <row r="266">
      <c r="A266" s="9" t="inlineStr">
        <is>
          <t>1000.2100.1000.52030.950</t>
        </is>
      </c>
      <c r="B266" s="9" t="inlineStr">
        <is>
          <t>Benefits</t>
        </is>
      </c>
      <c r="C266" s="27" t="n">
        <v>900</v>
      </c>
      <c r="D266" s="27" t="n">
        <v>0</v>
      </c>
      <c r="E266" s="27" t="n">
        <v>900</v>
      </c>
      <c r="F266" s="27" t="n">
        <v>0</v>
      </c>
      <c r="G266" s="27" t="n">
        <v>900</v>
      </c>
      <c r="H266" s="27">
        <f>G266-F266</f>
        <v/>
      </c>
      <c r="I266" s="11">
        <f>IF(F266=0,0,G266/F266-1)</f>
        <v/>
      </c>
    </row>
    <row r="267">
      <c r="A267" s="9" t="inlineStr">
        <is>
          <t>1000.2100.1000.52310.950</t>
        </is>
      </c>
      <c r="B267" s="9" t="inlineStr">
        <is>
          <t>Retirement</t>
        </is>
      </c>
      <c r="C267" s="27" t="n">
        <v>715</v>
      </c>
      <c r="D267" s="27" t="n">
        <v>887.84</v>
      </c>
      <c r="E267" s="27" t="n">
        <v>715</v>
      </c>
      <c r="F267" s="27" t="n">
        <v>376.26</v>
      </c>
      <c r="G267" s="27" t="n">
        <v>0</v>
      </c>
      <c r="H267" s="27">
        <f>G267-F267</f>
        <v/>
      </c>
      <c r="I267" s="11">
        <f>IF(F267=0,0,G267/F267-1)</f>
        <v/>
      </c>
    </row>
    <row r="268">
      <c r="A268" s="9" t="inlineStr">
        <is>
          <t>1000.2100.1000.52330.950</t>
        </is>
      </c>
      <c r="B268" s="9" t="inlineStr">
        <is>
          <t>Retirement</t>
        </is>
      </c>
      <c r="C268" s="27" t="n">
        <v>0</v>
      </c>
      <c r="D268" s="27" t="n">
        <v>0</v>
      </c>
      <c r="E268" s="27" t="n">
        <v>0</v>
      </c>
      <c r="F268" s="27" t="n">
        <v>0</v>
      </c>
      <c r="G268" s="27" t="n">
        <v>715</v>
      </c>
      <c r="H268" s="27">
        <f>G268-F268</f>
        <v/>
      </c>
      <c r="I268" s="11">
        <f>IF(F268=0,0,G268/F268-1)</f>
        <v/>
      </c>
    </row>
    <row r="269">
      <c r="A269" s="9" t="inlineStr">
        <is>
          <t>1000.2100.1000.53440.950</t>
        </is>
      </c>
      <c r="B269" s="9" t="inlineStr">
        <is>
          <t>Purchased Professional</t>
        </is>
      </c>
      <c r="C269" s="27" t="n">
        <v>500</v>
      </c>
      <c r="D269" s="27" t="n">
        <v>1300</v>
      </c>
      <c r="E269" s="27" t="n">
        <v>500</v>
      </c>
      <c r="F269" s="27" t="n">
        <v>863.62</v>
      </c>
      <c r="G269" s="27" t="n">
        <v>3650</v>
      </c>
      <c r="H269" s="27">
        <f>G269-F269</f>
        <v/>
      </c>
      <c r="I269" s="11">
        <f>IF(F269=0,0,G269/F269-1)</f>
        <v/>
      </c>
    </row>
    <row r="270">
      <c r="A270" s="17" t="n"/>
      <c r="B270" s="31" t="inlineStr">
        <is>
          <t>Program 2100 Total</t>
        </is>
      </c>
      <c r="C270" s="32">
        <f>SUM(C264:C269)</f>
        <v/>
      </c>
      <c r="D270" s="32">
        <f>SUM(D264:D269)</f>
        <v/>
      </c>
      <c r="E270" s="32">
        <f>SUM(E264:E269)</f>
        <v/>
      </c>
      <c r="F270" s="32">
        <f>SUM(F264:F269)</f>
        <v/>
      </c>
      <c r="G270" s="32">
        <f>SUM(G264:G269)</f>
        <v/>
      </c>
      <c r="H270" s="32">
        <f>SUM(H264:H269)</f>
        <v/>
      </c>
      <c r="I270" s="32">
        <f>SUM(I264:I269)</f>
        <v/>
      </c>
    </row>
    <row r="271">
      <c r="A271" s="9" t="inlineStr">
        <is>
          <t>1000.2800.2140.55800.950</t>
        </is>
      </c>
      <c r="B271" s="9" t="inlineStr">
        <is>
          <t>Travel</t>
        </is>
      </c>
      <c r="C271" s="27" t="n">
        <v>0</v>
      </c>
      <c r="D271" s="27" t="n">
        <v>584.45</v>
      </c>
      <c r="E271" s="27" t="n">
        <v>0</v>
      </c>
      <c r="F271" s="27" t="n">
        <v>0</v>
      </c>
      <c r="G271" s="27" t="n">
        <v>0</v>
      </c>
      <c r="H271" s="27">
        <f>G271-F271</f>
        <v/>
      </c>
      <c r="I271" s="11">
        <f>IF(F271=0,0,G271/F271-1)</f>
        <v/>
      </c>
    </row>
    <row r="272">
      <c r="A272" s="9" t="inlineStr">
        <is>
          <t>1000.2800.2170.51010.950</t>
        </is>
      </c>
      <c r="B272" s="9" t="inlineStr">
        <is>
          <t>TEACHERS SALARIES</t>
        </is>
      </c>
      <c r="C272" s="27" t="n">
        <v>31999</v>
      </c>
      <c r="D272" s="27" t="n">
        <v>33855.78</v>
      </c>
      <c r="E272" s="27" t="n">
        <v>35301</v>
      </c>
      <c r="F272" s="27" t="n">
        <v>35300.98</v>
      </c>
      <c r="G272" s="27" t="n">
        <v>37308</v>
      </c>
      <c r="H272" s="27">
        <f>G272-F272</f>
        <v/>
      </c>
      <c r="I272" s="11">
        <f>IF(F272=0,0,G272/F272-1)</f>
        <v/>
      </c>
    </row>
    <row r="273">
      <c r="A273" s="9" t="inlineStr">
        <is>
          <t>1000.2800.2170.52010.950</t>
        </is>
      </c>
      <c r="B273" s="9" t="inlineStr">
        <is>
          <t>TEACHER BENEFITS</t>
        </is>
      </c>
      <c r="C273" s="27" t="n">
        <v>4438</v>
      </c>
      <c r="D273" s="27" t="n">
        <v>2633.88</v>
      </c>
      <c r="E273" s="27" t="n">
        <v>2509</v>
      </c>
      <c r="F273" s="27" t="n">
        <v>2873.02</v>
      </c>
      <c r="G273" s="27" t="n">
        <v>2589</v>
      </c>
      <c r="H273" s="27">
        <f>G273-F273</f>
        <v/>
      </c>
      <c r="I273" s="11">
        <f>IF(F273=0,0,G273/F273-1)</f>
        <v/>
      </c>
    </row>
    <row r="274">
      <c r="A274" s="9" t="inlineStr">
        <is>
          <t>1000.2800.2170.52310.950</t>
        </is>
      </c>
      <c r="B274" s="9" t="inlineStr">
        <is>
          <t>Retirement</t>
        </is>
      </c>
      <c r="C274" s="27" t="n">
        <v>1270</v>
      </c>
      <c r="D274" s="27" t="n">
        <v>1354.07</v>
      </c>
      <c r="E274" s="27" t="n">
        <v>1469</v>
      </c>
      <c r="F274" s="27" t="n">
        <v>1468.48</v>
      </c>
      <c r="G274" s="27" t="n">
        <v>1552</v>
      </c>
      <c r="H274" s="27">
        <f>G274-F274</f>
        <v/>
      </c>
      <c r="I274" s="11">
        <f>IF(F274=0,0,G274/F274-1)</f>
        <v/>
      </c>
    </row>
    <row r="275">
      <c r="A275" s="9" t="inlineStr">
        <is>
          <t>1000.2800.2170.53440.950</t>
        </is>
      </c>
      <c r="B275" s="9" t="inlineStr">
        <is>
          <t>Professional Services</t>
        </is>
      </c>
      <c r="C275" s="27" t="n">
        <v>0</v>
      </c>
      <c r="D275" s="27" t="n">
        <v>55.44</v>
      </c>
      <c r="E275" s="27" t="n">
        <v>0</v>
      </c>
      <c r="F275" s="27" t="n">
        <v>0</v>
      </c>
      <c r="G275" s="27" t="n">
        <v>0</v>
      </c>
      <c r="H275" s="27">
        <f>G275-F275</f>
        <v/>
      </c>
      <c r="I275" s="11">
        <f>IF(F275=0,0,G275/F275-1)</f>
        <v/>
      </c>
    </row>
    <row r="276">
      <c r="A276" s="9" t="inlineStr">
        <is>
          <t>1000.2800.2170.55800.950</t>
        </is>
      </c>
      <c r="B276" s="9" t="inlineStr">
        <is>
          <t>Travel</t>
        </is>
      </c>
      <c r="C276" s="27" t="n">
        <v>350</v>
      </c>
      <c r="D276" s="27" t="n">
        <v>0</v>
      </c>
      <c r="E276" s="27" t="n">
        <v>350</v>
      </c>
      <c r="F276" s="27" t="n">
        <v>0</v>
      </c>
      <c r="G276" s="27" t="n">
        <v>0</v>
      </c>
      <c r="H276" s="27">
        <f>G276-F276</f>
        <v/>
      </c>
      <c r="I276" s="11">
        <f>IF(F276=0,0,G276/F276-1)</f>
        <v/>
      </c>
    </row>
    <row r="277">
      <c r="A277" s="17" t="n"/>
      <c r="B277" s="31" t="inlineStr">
        <is>
          <t>Program 2800 Total</t>
        </is>
      </c>
      <c r="C277" s="32">
        <f>SUM(C272:C276)</f>
        <v/>
      </c>
      <c r="D277" s="32">
        <f>SUM(D272:D276)</f>
        <v/>
      </c>
      <c r="E277" s="32">
        <f>SUM(E272:E276)</f>
        <v/>
      </c>
      <c r="F277" s="32">
        <f>SUM(F272:F276)</f>
        <v/>
      </c>
      <c r="G277" s="32">
        <f>SUM(G272:G276)</f>
        <v/>
      </c>
      <c r="H277" s="32">
        <f>SUM(H272:H276)</f>
        <v/>
      </c>
      <c r="I277" s="32">
        <f>SUM(I272:I276)</f>
        <v/>
      </c>
    </row>
    <row r="278">
      <c r="A278" s="9" t="inlineStr">
        <is>
          <t>1000.2500.2330.53440.950</t>
        </is>
      </c>
      <c r="B278" s="9" t="inlineStr">
        <is>
          <t>MAINECARE SEED</t>
        </is>
      </c>
      <c r="C278" s="27" t="n">
        <v>0</v>
      </c>
      <c r="D278" s="27" t="n">
        <v>40767.83</v>
      </c>
      <c r="E278" s="27" t="n">
        <v>0</v>
      </c>
      <c r="F278" s="27" t="n">
        <v>21629.26</v>
      </c>
      <c r="G278" s="27" t="n">
        <v>0</v>
      </c>
      <c r="H278" s="27">
        <f>G278-F278</f>
        <v/>
      </c>
      <c r="I278" s="11">
        <f>IF(F278=0,0,G278/F278-1)</f>
        <v/>
      </c>
    </row>
    <row r="279">
      <c r="A279" s="17" t="n"/>
      <c r="B279" s="20" t="inlineStr">
        <is>
          <t>Cost Center ('950',) Total</t>
        </is>
      </c>
      <c r="C279" s="35">
        <f>C270+C277</f>
        <v/>
      </c>
      <c r="D279" s="35">
        <f>D270+D277</f>
        <v/>
      </c>
      <c r="E279" s="35">
        <f>E270+E277</f>
        <v/>
      </c>
      <c r="F279" s="35">
        <f>F270+F277</f>
        <v/>
      </c>
      <c r="G279" s="35">
        <f>G270+G277</f>
        <v/>
      </c>
      <c r="H279" s="35">
        <f>H270+H277</f>
        <v/>
      </c>
      <c r="I279" s="35">
        <f>I270+I277</f>
        <v/>
      </c>
    </row>
    <row r="281">
      <c r="A281" s="3" t="inlineStr">
        <is>
          <t>Cost Center: ('990',)</t>
        </is>
      </c>
    </row>
    <row r="282">
      <c r="A282" s="9" t="inlineStr">
        <is>
          <t>1000.2300.1000.55630.990</t>
        </is>
      </c>
      <c r="B282" s="9" t="inlineStr">
        <is>
          <t>Secondary Private Tuition</t>
        </is>
      </c>
      <c r="C282" s="27" t="n">
        <v>0</v>
      </c>
      <c r="D282" s="27" t="n">
        <v>0</v>
      </c>
      <c r="E282" s="27" t="n">
        <v>0</v>
      </c>
      <c r="F282" s="27" t="n">
        <v>0</v>
      </c>
      <c r="G282" s="27" t="n">
        <v>18000</v>
      </c>
      <c r="H282" s="27">
        <f>G282-F282</f>
        <v/>
      </c>
      <c r="I282" s="11">
        <f>IF(F282=0,0,G282/F282-1)</f>
        <v/>
      </c>
    </row>
    <row r="283">
      <c r="A283" s="9" t="inlineStr">
        <is>
          <t>1000.2800.2140.51010.990</t>
        </is>
      </c>
      <c r="B283" s="9" t="inlineStr">
        <is>
          <t>Teacher Salaries</t>
        </is>
      </c>
      <c r="C283" s="27" t="n">
        <v>0</v>
      </c>
      <c r="D283" s="27" t="n">
        <v>0</v>
      </c>
      <c r="E283" s="27" t="n">
        <v>0</v>
      </c>
      <c r="F283" s="27" t="n">
        <v>0</v>
      </c>
      <c r="G283" s="27" t="n">
        <v>0</v>
      </c>
      <c r="H283" s="27">
        <f>G283-F283</f>
        <v/>
      </c>
      <c r="I283" s="11">
        <f>IF(F283=0,0,G283/F283-1)</f>
        <v/>
      </c>
    </row>
    <row r="284">
      <c r="A284" s="9" t="inlineStr">
        <is>
          <t>1000.2800.2140.52010.990</t>
        </is>
      </c>
      <c r="B284" s="9" t="inlineStr">
        <is>
          <t>Teacher Benefit</t>
        </is>
      </c>
      <c r="C284" s="27" t="n">
        <v>0</v>
      </c>
      <c r="D284" s="27" t="n">
        <v>0</v>
      </c>
      <c r="E284" s="27" t="n">
        <v>0</v>
      </c>
      <c r="F284" s="27" t="n">
        <v>0</v>
      </c>
      <c r="G284" s="27" t="n">
        <v>0</v>
      </c>
      <c r="H284" s="27">
        <f>G284-F284</f>
        <v/>
      </c>
      <c r="I284" s="11">
        <f>IF(F284=0,0,G284/F284-1)</f>
        <v/>
      </c>
    </row>
    <row r="285">
      <c r="A285" s="9" t="inlineStr">
        <is>
          <t>1000.2800.2140.52310.990</t>
        </is>
      </c>
      <c r="B285" s="9" t="inlineStr">
        <is>
          <t>Retirement</t>
        </is>
      </c>
      <c r="C285" s="27" t="n">
        <v>0</v>
      </c>
      <c r="D285" s="27" t="n">
        <v>0</v>
      </c>
      <c r="E285" s="27" t="n">
        <v>0</v>
      </c>
      <c r="F285" s="27" t="n">
        <v>0</v>
      </c>
      <c r="G285" s="27" t="n">
        <v>0</v>
      </c>
      <c r="H285" s="27">
        <f>G285-F285</f>
        <v/>
      </c>
      <c r="I285" s="11">
        <f>IF(F285=0,0,G285/F285-1)</f>
        <v/>
      </c>
    </row>
    <row r="286">
      <c r="A286" s="9" t="inlineStr">
        <is>
          <t>1000.2800.2140.55800.990</t>
        </is>
      </c>
      <c r="B286" s="9" t="inlineStr">
        <is>
          <t>Travel</t>
        </is>
      </c>
      <c r="C286" s="27" t="n">
        <v>0</v>
      </c>
      <c r="D286" s="27" t="n">
        <v>16.62</v>
      </c>
      <c r="E286" s="27" t="n">
        <v>0</v>
      </c>
      <c r="F286" s="27" t="n">
        <v>0</v>
      </c>
      <c r="G286" s="27" t="n">
        <v>0</v>
      </c>
      <c r="H286" s="27">
        <f>G286-F286</f>
        <v/>
      </c>
      <c r="I286" s="11">
        <f>IF(F286=0,0,G286/F286-1)</f>
        <v/>
      </c>
    </row>
    <row r="287">
      <c r="A287" s="17" t="n"/>
      <c r="B287" s="31" t="inlineStr">
        <is>
          <t>Program 2800 Total</t>
        </is>
      </c>
      <c r="C287" s="32">
        <f>SUM(C283:C286)</f>
        <v/>
      </c>
      <c r="D287" s="32">
        <f>SUM(D283:D286)</f>
        <v/>
      </c>
      <c r="E287" s="32">
        <f>SUM(E283:E286)</f>
        <v/>
      </c>
      <c r="F287" s="32">
        <f>SUM(F283:F286)</f>
        <v/>
      </c>
      <c r="G287" s="32">
        <f>SUM(G283:G286)</f>
        <v/>
      </c>
      <c r="H287" s="32">
        <f>SUM(H283:H286)</f>
        <v/>
      </c>
      <c r="I287" s="32">
        <f>SUM(I283:I286)</f>
        <v/>
      </c>
    </row>
    <row r="288">
      <c r="A288" s="9" t="inlineStr">
        <is>
          <t>1000.2800.2150.51010.990</t>
        </is>
      </c>
      <c r="B288" s="9" t="inlineStr">
        <is>
          <t>Teacher Salaries</t>
        </is>
      </c>
      <c r="C288" s="27" t="n">
        <v>35274</v>
      </c>
      <c r="D288" s="27" t="n">
        <v>36861.5</v>
      </c>
      <c r="E288" s="27" t="n">
        <v>37967</v>
      </c>
      <c r="F288" s="27" t="n">
        <v>37967.54</v>
      </c>
      <c r="G288" s="27" t="n">
        <v>39606</v>
      </c>
      <c r="H288" s="27">
        <f>G288-F288</f>
        <v/>
      </c>
      <c r="I288" s="11">
        <f>IF(F288=0,0,G288/F288-1)</f>
        <v/>
      </c>
    </row>
    <row r="289">
      <c r="A289" s="9" t="inlineStr">
        <is>
          <t>1000.2800.2150.52010.990</t>
        </is>
      </c>
      <c r="B289" s="9" t="inlineStr">
        <is>
          <t>Teacher Benefit</t>
        </is>
      </c>
      <c r="C289" s="27" t="n">
        <v>12005</v>
      </c>
      <c r="D289" s="27" t="n">
        <v>9804.129999999999</v>
      </c>
      <c r="E289" s="27" t="n">
        <v>9858</v>
      </c>
      <c r="F289" s="27" t="n">
        <v>9796.379999999999</v>
      </c>
      <c r="G289" s="27" t="n">
        <v>9950</v>
      </c>
      <c r="H289" s="27">
        <f>G289-F289</f>
        <v/>
      </c>
      <c r="I289" s="11">
        <f>IF(F289=0,0,G289/F289-1)</f>
        <v/>
      </c>
    </row>
    <row r="290">
      <c r="A290" s="9" t="inlineStr">
        <is>
          <t>1000.2800.2150.52310.990</t>
        </is>
      </c>
      <c r="B290" s="9" t="inlineStr">
        <is>
          <t>Retirement</t>
        </is>
      </c>
      <c r="C290" s="27" t="n">
        <v>1400</v>
      </c>
      <c r="D290" s="27" t="n">
        <v>1474.08</v>
      </c>
      <c r="E290" s="27" t="n">
        <v>1579</v>
      </c>
      <c r="F290" s="27" t="n">
        <v>1579.5</v>
      </c>
      <c r="G290" s="27" t="n">
        <v>1648</v>
      </c>
      <c r="H290" s="27">
        <f>G290-F290</f>
        <v/>
      </c>
      <c r="I290" s="11">
        <f>IF(F290=0,0,G290/F290-1)</f>
        <v/>
      </c>
    </row>
    <row r="291">
      <c r="A291" s="9" t="inlineStr">
        <is>
          <t>1000.2800.2150.55800.990</t>
        </is>
      </c>
      <c r="B291" s="9" t="inlineStr">
        <is>
          <t>Travel</t>
        </is>
      </c>
      <c r="C291" s="27" t="n">
        <v>150</v>
      </c>
      <c r="D291" s="27" t="n">
        <v>0</v>
      </c>
      <c r="E291" s="27" t="n">
        <v>0</v>
      </c>
      <c r="F291" s="27" t="n">
        <v>0</v>
      </c>
      <c r="G291" s="27" t="n">
        <v>70</v>
      </c>
      <c r="H291" s="27">
        <f>G291-F291</f>
        <v/>
      </c>
      <c r="I291" s="11">
        <f>IF(F291=0,0,G291/F291-1)</f>
        <v/>
      </c>
    </row>
    <row r="292">
      <c r="A292" s="17" t="n"/>
      <c r="B292" s="31" t="inlineStr">
        <is>
          <t>Program 2800 Total</t>
        </is>
      </c>
      <c r="C292" s="32">
        <f>SUM(C288:C291)</f>
        <v/>
      </c>
      <c r="D292" s="32">
        <f>SUM(D288:D291)</f>
        <v/>
      </c>
      <c r="E292" s="32">
        <f>SUM(E288:E291)</f>
        <v/>
      </c>
      <c r="F292" s="32">
        <f>SUM(F288:F291)</f>
        <v/>
      </c>
      <c r="G292" s="32">
        <f>SUM(G288:G291)</f>
        <v/>
      </c>
      <c r="H292" s="32">
        <f>SUM(H288:H291)</f>
        <v/>
      </c>
      <c r="I292" s="32">
        <f>SUM(I288:I291)</f>
        <v/>
      </c>
    </row>
    <row r="293">
      <c r="A293" s="9" t="inlineStr">
        <is>
          <t>1000.2500.2330.53440.990</t>
        </is>
      </c>
      <c r="B293" s="9" t="inlineStr">
        <is>
          <t>MAINE CARE SEED</t>
        </is>
      </c>
      <c r="C293" s="27" t="n">
        <v>0</v>
      </c>
      <c r="D293" s="27" t="n">
        <v>3700.18</v>
      </c>
      <c r="E293" s="27" t="n">
        <v>0</v>
      </c>
      <c r="F293" s="27" t="n">
        <v>1880.81</v>
      </c>
      <c r="G293" s="27" t="n">
        <v>0</v>
      </c>
      <c r="H293" s="27">
        <f>G293-F293</f>
        <v/>
      </c>
      <c r="I293" s="11">
        <f>IF(F293=0,0,G293/F293-1)</f>
        <v/>
      </c>
    </row>
    <row r="294">
      <c r="A294" s="17" t="n"/>
      <c r="B294" s="20" t="inlineStr">
        <is>
          <t>Cost Center ('990',) Total</t>
        </is>
      </c>
      <c r="C294" s="35">
        <f>C287+C292</f>
        <v/>
      </c>
      <c r="D294" s="35">
        <f>D287+D292</f>
        <v/>
      </c>
      <c r="E294" s="35">
        <f>E287+E292</f>
        <v/>
      </c>
      <c r="F294" s="35">
        <f>F287+F292</f>
        <v/>
      </c>
      <c r="G294" s="35">
        <f>G287+G292</f>
        <v/>
      </c>
      <c r="H294" s="35">
        <f>H287+H292</f>
        <v/>
      </c>
      <c r="I294" s="35">
        <f>I287+I292</f>
        <v/>
      </c>
    </row>
    <row r="296">
      <c r="A296" s="17" t="n"/>
      <c r="B296" s="36" t="inlineStr">
        <is>
          <t>ARTICLE 2 TOTAL</t>
        </is>
      </c>
      <c r="C296" s="37">
        <f>C41+C81+C119+C157+C194+C238+C261+C279+C294</f>
        <v/>
      </c>
      <c r="D296" s="37">
        <f>D41+D81+D119+D157+D194+D238+D261+D279+D294</f>
        <v/>
      </c>
      <c r="E296" s="37">
        <f>E41+E81+E119+E157+E194+E238+E261+E279+E294</f>
        <v/>
      </c>
      <c r="F296" s="37">
        <f>F41+F81+F119+F157+F194+F238+F261+F279+F294</f>
        <v/>
      </c>
      <c r="G296" s="37">
        <f>G41+G81+G119+G157+G194+G238+G261+G279+G294</f>
        <v/>
      </c>
      <c r="H296" s="37">
        <f>H41+H81+H119+H157+H194+H238+H261+H279+H294</f>
        <v/>
      </c>
      <c r="I296" s="37">
        <f>I41+I81+I119+I157+I194+I238+I261+I279+I294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3 - Career &amp; Technical Education</t>
        </is>
      </c>
    </row>
    <row r="2">
      <c r="A2" s="16" t="inlineStr">
        <is>
          <t>Source: FY22 Proposed Budget, RSU 5</t>
        </is>
      </c>
    </row>
    <row r="3">
      <c r="A3" s="16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FY18 Actual</t>
        </is>
      </c>
      <c r="D5" s="8" t="inlineStr">
        <is>
          <t>FY19 Actual</t>
        </is>
      </c>
      <c r="E5" s="8" t="inlineStr">
        <is>
          <t>FY20 Actual</t>
        </is>
      </c>
      <c r="F5" s="8" t="inlineStr">
        <is>
          <t>FY21 Adopted</t>
        </is>
      </c>
      <c r="G5" s="8" t="inlineStr">
        <is>
          <t>FY22 Adopted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('300',)</t>
        </is>
      </c>
    </row>
    <row r="7">
      <c r="A7" s="9" t="inlineStr">
        <is>
          <t>1000.3000.1000.55640.300</t>
        </is>
      </c>
      <c r="B7" s="9" t="inlineStr">
        <is>
          <t>MVR 10 Assessment</t>
        </is>
      </c>
      <c r="C7" s="27" t="n">
        <v>74492</v>
      </c>
      <c r="D7" s="27" t="n">
        <v>74491.98</v>
      </c>
      <c r="E7" s="27" t="n">
        <v>99419</v>
      </c>
      <c r="F7" s="27" t="n">
        <v>99418.85000000001</v>
      </c>
      <c r="G7" s="27" t="n">
        <v>101706</v>
      </c>
      <c r="H7" s="27">
        <f>G7-F7</f>
        <v/>
      </c>
      <c r="I7" s="11">
        <f>IF(F7=0,0,G7/F7-1)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4 - Other Instruction</t>
        </is>
      </c>
    </row>
    <row r="2">
      <c r="A2" s="16" t="inlineStr">
        <is>
          <t>Source: FY22 Proposed Budget, RSU 5</t>
        </is>
      </c>
    </row>
    <row r="3">
      <c r="A3" s="16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FY18 Actual</t>
        </is>
      </c>
      <c r="D5" s="8" t="inlineStr">
        <is>
          <t>FY19 Actual</t>
        </is>
      </c>
      <c r="E5" s="8" t="inlineStr">
        <is>
          <t>FY20 Actual</t>
        </is>
      </c>
      <c r="F5" s="8" t="inlineStr">
        <is>
          <t>FY21 Adopted</t>
        </is>
      </c>
      <c r="G5" s="8" t="inlineStr">
        <is>
          <t>FY22 Adopted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('010',)</t>
        </is>
      </c>
    </row>
    <row r="7">
      <c r="A7" s="9" t="inlineStr">
        <is>
          <t>1000.9100.1000.51500.010</t>
        </is>
      </c>
      <c r="B7" s="9" t="inlineStr">
        <is>
          <t>Stipends</t>
        </is>
      </c>
      <c r="C7" s="27" t="n">
        <v>19618</v>
      </c>
      <c r="D7" s="27" t="n">
        <v>23241</v>
      </c>
      <c r="E7" s="27" t="n">
        <v>22294</v>
      </c>
      <c r="F7" s="27" t="n">
        <v>22852.58</v>
      </c>
      <c r="G7" s="27" t="n">
        <v>27657</v>
      </c>
      <c r="H7" s="27">
        <f>G7-F7</f>
        <v/>
      </c>
      <c r="I7" s="11">
        <f>IF(F7=0,0,G7/F7-1)</f>
        <v/>
      </c>
    </row>
    <row r="8">
      <c r="A8" s="9" t="inlineStr">
        <is>
          <t>1000.9100.1000.52000.010</t>
        </is>
      </c>
      <c r="B8" s="9" t="inlineStr">
        <is>
          <t>Benefits</t>
        </is>
      </c>
      <c r="C8" s="27" t="n">
        <v>981</v>
      </c>
      <c r="D8" s="27" t="n">
        <v>1599.1</v>
      </c>
      <c r="E8" s="27" t="n">
        <v>1115</v>
      </c>
      <c r="F8" s="27" t="n">
        <v>664.64</v>
      </c>
      <c r="G8" s="27" t="n">
        <v>1383</v>
      </c>
      <c r="H8" s="27">
        <f>G8-F8</f>
        <v/>
      </c>
      <c r="I8" s="11">
        <f>IF(F8=0,0,G8/F8-1)</f>
        <v/>
      </c>
    </row>
    <row r="9">
      <c r="A9" s="9" t="inlineStr">
        <is>
          <t>1000.9100.1000.52300.010</t>
        </is>
      </c>
      <c r="B9" s="9" t="inlineStr">
        <is>
          <t>Retirement</t>
        </is>
      </c>
      <c r="C9" s="27" t="n">
        <v>779</v>
      </c>
      <c r="D9" s="27" t="n">
        <v>181.51</v>
      </c>
      <c r="E9" s="27" t="n">
        <v>927</v>
      </c>
      <c r="F9" s="27" t="n">
        <v>13.67</v>
      </c>
      <c r="G9" s="27" t="n">
        <v>1151</v>
      </c>
      <c r="H9" s="27">
        <f>G9-F9</f>
        <v/>
      </c>
      <c r="I9" s="11">
        <f>IF(F9=0,0,G9/F9-1)</f>
        <v/>
      </c>
    </row>
    <row r="10">
      <c r="A10" s="9" t="inlineStr">
        <is>
          <t>1000.9100.1000.56000.010</t>
        </is>
      </c>
      <c r="B10" s="9" t="inlineStr">
        <is>
          <t>Supplies</t>
        </is>
      </c>
      <c r="C10" s="27" t="n">
        <v>750</v>
      </c>
      <c r="D10" s="27" t="n">
        <v>595.84</v>
      </c>
      <c r="E10" s="27" t="n">
        <v>750</v>
      </c>
      <c r="F10" s="27" t="n">
        <v>514.8</v>
      </c>
      <c r="G10" s="27" t="n">
        <v>0</v>
      </c>
      <c r="H10" s="27">
        <f>G10-F10</f>
        <v/>
      </c>
      <c r="I10" s="11">
        <f>IF(F10=0,0,G10/F10-1)</f>
        <v/>
      </c>
    </row>
    <row r="11">
      <c r="A11" s="9" t="inlineStr">
        <is>
          <t>1000.9100.1000.56100.010</t>
        </is>
      </c>
      <c r="B11" s="9" t="inlineStr">
        <is>
          <t>Instructional Supplies</t>
        </is>
      </c>
      <c r="C11" s="27" t="n">
        <v>0</v>
      </c>
      <c r="D11" s="27" t="n">
        <v>0</v>
      </c>
      <c r="E11" s="27" t="n">
        <v>0</v>
      </c>
      <c r="F11" s="27" t="n">
        <v>0</v>
      </c>
      <c r="G11" s="27" t="n">
        <v>750</v>
      </c>
      <c r="H11" s="27">
        <f>G11-F11</f>
        <v/>
      </c>
      <c r="I11" s="11">
        <f>IF(F11=0,0,G11/F11-1)</f>
        <v/>
      </c>
    </row>
    <row r="12">
      <c r="A12" s="9" t="inlineStr">
        <is>
          <t>1000.9100.1000.58100.010</t>
        </is>
      </c>
      <c r="B12" s="9" t="inlineStr">
        <is>
          <t>Dues &amp; Fees</t>
        </is>
      </c>
      <c r="C12" s="27" t="n">
        <v>680</v>
      </c>
      <c r="D12" s="27" t="n">
        <v>929.5</v>
      </c>
      <c r="E12" s="27" t="n">
        <v>1170</v>
      </c>
      <c r="F12" s="27" t="n">
        <v>678.5</v>
      </c>
      <c r="G12" s="27" t="n">
        <v>1057</v>
      </c>
      <c r="H12" s="27">
        <f>G12-F12</f>
        <v/>
      </c>
      <c r="I12" s="11">
        <f>IF(F12=0,0,G12/F12-1)</f>
        <v/>
      </c>
    </row>
    <row r="13">
      <c r="A13" s="17" t="n"/>
      <c r="B13" s="31" t="inlineStr">
        <is>
          <t>Program 9100 Total</t>
        </is>
      </c>
      <c r="C13" s="32">
        <f>SUM(C7:C12)</f>
        <v/>
      </c>
      <c r="D13" s="32">
        <f>SUM(D7:D12)</f>
        <v/>
      </c>
      <c r="E13" s="32">
        <f>SUM(E7:E12)</f>
        <v/>
      </c>
      <c r="F13" s="32">
        <f>SUM(F7:F12)</f>
        <v/>
      </c>
      <c r="G13" s="32">
        <f>SUM(G7:G12)</f>
        <v/>
      </c>
      <c r="H13" s="32">
        <f>SUM(H7:H12)</f>
        <v/>
      </c>
      <c r="I13" s="32">
        <f>SUM(I7:I12)</f>
        <v/>
      </c>
    </row>
    <row r="14">
      <c r="A14" s="17" t="n"/>
      <c r="B14" s="20" t="inlineStr">
        <is>
          <t>Cost Center ('010',) Total</t>
        </is>
      </c>
      <c r="C14" s="35">
        <f>C13</f>
        <v/>
      </c>
      <c r="D14" s="35">
        <f>D13</f>
        <v/>
      </c>
      <c r="E14" s="35">
        <f>E13</f>
        <v/>
      </c>
      <c r="F14" s="35">
        <f>F13</f>
        <v/>
      </c>
      <c r="G14" s="35">
        <f>G13</f>
        <v/>
      </c>
      <c r="H14" s="35">
        <f>H13</f>
        <v/>
      </c>
      <c r="I14" s="35">
        <f>I13</f>
        <v/>
      </c>
    </row>
    <row r="16">
      <c r="A16" s="3" t="inlineStr">
        <is>
          <t>Cost Center: ('030',)</t>
        </is>
      </c>
    </row>
    <row r="17">
      <c r="A17" s="9" t="inlineStr">
        <is>
          <t>1000.9100.1000.51500.030</t>
        </is>
      </c>
      <c r="B17" s="9" t="inlineStr">
        <is>
          <t>Stipends</t>
        </is>
      </c>
      <c r="C17" s="27" t="n">
        <v>6015</v>
      </c>
      <c r="D17" s="27" t="n">
        <v>7037</v>
      </c>
      <c r="E17" s="27" t="n">
        <v>7779</v>
      </c>
      <c r="F17" s="27" t="n">
        <v>8070.92</v>
      </c>
      <c r="G17" s="27" t="n">
        <v>7929</v>
      </c>
      <c r="H17" s="27">
        <f>G17-F17</f>
        <v/>
      </c>
      <c r="I17" s="11">
        <f>IF(F17=0,0,G17/F17-1)</f>
        <v/>
      </c>
    </row>
    <row r="18">
      <c r="A18" s="9" t="inlineStr">
        <is>
          <t>1000.9100.1000.52000.030</t>
        </is>
      </c>
      <c r="B18" s="9" t="inlineStr">
        <is>
          <t>Stipend Benefits</t>
        </is>
      </c>
      <c r="C18" s="27" t="n">
        <v>301</v>
      </c>
      <c r="D18" s="27" t="n">
        <v>80.33</v>
      </c>
      <c r="E18" s="27" t="n">
        <v>389</v>
      </c>
      <c r="F18" s="27" t="n">
        <v>39.06</v>
      </c>
      <c r="G18" s="27" t="n">
        <v>396</v>
      </c>
      <c r="H18" s="27">
        <f>G18-F18</f>
        <v/>
      </c>
      <c r="I18" s="11">
        <f>IF(F18=0,0,G18/F18-1)</f>
        <v/>
      </c>
    </row>
    <row r="19">
      <c r="A19" s="9" t="inlineStr">
        <is>
          <t>1000.9100.1000.52300.030</t>
        </is>
      </c>
      <c r="B19" s="9" t="inlineStr">
        <is>
          <t>MPERS Employer Contribution</t>
        </is>
      </c>
      <c r="C19" s="27" t="n">
        <v>239</v>
      </c>
      <c r="D19" s="27" t="n">
        <v>77.73</v>
      </c>
      <c r="E19" s="27" t="n">
        <v>324</v>
      </c>
      <c r="F19" s="27" t="n">
        <v>0</v>
      </c>
      <c r="G19" s="27" t="n">
        <v>330</v>
      </c>
      <c r="H19" s="27">
        <f>G19-F19</f>
        <v/>
      </c>
      <c r="I19" s="11">
        <f>IF(F19=0,0,G19/F19-1)</f>
        <v/>
      </c>
    </row>
    <row r="20">
      <c r="A20" s="9" t="inlineStr">
        <is>
          <t>1000.9100.1000.58100.030</t>
        </is>
      </c>
      <c r="B20" s="9" t="inlineStr">
        <is>
          <t>Dues &amp; Fees</t>
        </is>
      </c>
      <c r="C20" s="27" t="n">
        <v>200</v>
      </c>
      <c r="D20" s="27" t="n">
        <v>0</v>
      </c>
      <c r="E20" s="27" t="n">
        <v>200</v>
      </c>
      <c r="F20" s="27" t="n">
        <v>0</v>
      </c>
      <c r="G20" s="27" t="n">
        <v>0</v>
      </c>
      <c r="H20" s="27">
        <f>G20-F20</f>
        <v/>
      </c>
      <c r="I20" s="11">
        <f>IF(F20=0,0,G20/F20-1)</f>
        <v/>
      </c>
    </row>
    <row r="21">
      <c r="A21" s="17" t="n"/>
      <c r="B21" s="31" t="inlineStr">
        <is>
          <t>Program 9100 Total</t>
        </is>
      </c>
      <c r="C21" s="32">
        <f>SUM(C17:C20)</f>
        <v/>
      </c>
      <c r="D21" s="32">
        <f>SUM(D17:D20)</f>
        <v/>
      </c>
      <c r="E21" s="32">
        <f>SUM(E17:E20)</f>
        <v/>
      </c>
      <c r="F21" s="32">
        <f>SUM(F17:F20)</f>
        <v/>
      </c>
      <c r="G21" s="32">
        <f>SUM(G17:G20)</f>
        <v/>
      </c>
      <c r="H21" s="32">
        <f>SUM(H17:H20)</f>
        <v/>
      </c>
      <c r="I21" s="32">
        <f>SUM(I17:I20)</f>
        <v/>
      </c>
    </row>
    <row r="22">
      <c r="A22" s="17" t="n"/>
      <c r="B22" s="20" t="inlineStr">
        <is>
          <t>Cost Center ('030',) Total</t>
        </is>
      </c>
      <c r="C22" s="35">
        <f>C21</f>
        <v/>
      </c>
      <c r="D22" s="35">
        <f>D21</f>
        <v/>
      </c>
      <c r="E22" s="35">
        <f>E21</f>
        <v/>
      </c>
      <c r="F22" s="35">
        <f>F21</f>
        <v/>
      </c>
      <c r="G22" s="35">
        <f>G21</f>
        <v/>
      </c>
      <c r="H22" s="35">
        <f>H21</f>
        <v/>
      </c>
      <c r="I22" s="35">
        <f>I21</f>
        <v/>
      </c>
    </row>
    <row r="24">
      <c r="A24" s="3" t="inlineStr">
        <is>
          <t>Cost Center: ('040',)</t>
        </is>
      </c>
    </row>
    <row r="25">
      <c r="A25" s="9" t="inlineStr">
        <is>
          <t>1000.9100.1000.51500.040</t>
        </is>
      </c>
      <c r="B25" s="9" t="inlineStr">
        <is>
          <t>Stipends</t>
        </is>
      </c>
      <c r="C25" s="27" t="n">
        <v>4593</v>
      </c>
      <c r="D25" s="27" t="n">
        <v>5414</v>
      </c>
      <c r="E25" s="27" t="n">
        <v>6314</v>
      </c>
      <c r="F25" s="27" t="n">
        <v>10470.01</v>
      </c>
      <c r="G25" s="27" t="n">
        <v>10371</v>
      </c>
      <c r="H25" s="27">
        <f>G25-F25</f>
        <v/>
      </c>
      <c r="I25" s="11">
        <f>IF(F25=0,0,G25/F25-1)</f>
        <v/>
      </c>
    </row>
    <row r="26">
      <c r="A26" s="9" t="inlineStr">
        <is>
          <t>1000.9100.1000.52000.040</t>
        </is>
      </c>
      <c r="B26" s="9" t="inlineStr">
        <is>
          <t>Stipend Benefits</t>
        </is>
      </c>
      <c r="C26" s="27" t="n">
        <v>230</v>
      </c>
      <c r="D26" s="27" t="n">
        <v>32.22</v>
      </c>
      <c r="E26" s="27" t="n">
        <v>316</v>
      </c>
      <c r="F26" s="27" t="n">
        <v>91.33</v>
      </c>
      <c r="G26" s="27" t="n">
        <v>519</v>
      </c>
      <c r="H26" s="27">
        <f>G26-F26</f>
        <v/>
      </c>
      <c r="I26" s="11">
        <f>IF(F26=0,0,G26/F26-1)</f>
        <v/>
      </c>
    </row>
    <row r="27">
      <c r="A27" s="9" t="inlineStr">
        <is>
          <t>1000.9100.1000.52300.040</t>
        </is>
      </c>
      <c r="B27" s="9" t="inlineStr">
        <is>
          <t>RETIREMENT</t>
        </is>
      </c>
      <c r="C27" s="27" t="n">
        <v>182</v>
      </c>
      <c r="D27" s="27" t="n">
        <v>0</v>
      </c>
      <c r="E27" s="27" t="n">
        <v>263</v>
      </c>
      <c r="F27" s="27" t="n">
        <v>13.83</v>
      </c>
      <c r="G27" s="27" t="n">
        <v>431</v>
      </c>
      <c r="H27" s="27">
        <f>G27-F27</f>
        <v/>
      </c>
      <c r="I27" s="11">
        <f>IF(F27=0,0,G27/F27-1)</f>
        <v/>
      </c>
    </row>
    <row r="28">
      <c r="A28" s="9" t="inlineStr">
        <is>
          <t>1000.9100.1000.58100.040</t>
        </is>
      </c>
      <c r="B28" s="9" t="inlineStr">
        <is>
          <t>Dues &amp; Fees</t>
        </is>
      </c>
      <c r="C28" s="27" t="n">
        <v>610</v>
      </c>
      <c r="D28" s="27" t="n">
        <v>175</v>
      </c>
      <c r="E28" s="27" t="n">
        <v>400</v>
      </c>
      <c r="F28" s="27" t="n">
        <v>175</v>
      </c>
      <c r="G28" s="27" t="n">
        <v>400</v>
      </c>
      <c r="H28" s="27">
        <f>G28-F28</f>
        <v/>
      </c>
      <c r="I28" s="11">
        <f>IF(F28=0,0,G28/F28-1)</f>
        <v/>
      </c>
    </row>
    <row r="29">
      <c r="A29" s="17" t="n"/>
      <c r="B29" s="31" t="inlineStr">
        <is>
          <t>Program 9100 Total</t>
        </is>
      </c>
      <c r="C29" s="32">
        <f>SUM(C25:C28)</f>
        <v/>
      </c>
      <c r="D29" s="32">
        <f>SUM(D25:D28)</f>
        <v/>
      </c>
      <c r="E29" s="32">
        <f>SUM(E25:E28)</f>
        <v/>
      </c>
      <c r="F29" s="32">
        <f>SUM(F25:F28)</f>
        <v/>
      </c>
      <c r="G29" s="32">
        <f>SUM(G25:G28)</f>
        <v/>
      </c>
      <c r="H29" s="32">
        <f>SUM(H25:H28)</f>
        <v/>
      </c>
      <c r="I29" s="32">
        <f>SUM(I25:I28)</f>
        <v/>
      </c>
    </row>
    <row r="30">
      <c r="A30" s="17" t="n"/>
      <c r="B30" s="20" t="inlineStr">
        <is>
          <t>Cost Center ('040',) Total</t>
        </is>
      </c>
      <c r="C30" s="35">
        <f>C29</f>
        <v/>
      </c>
      <c r="D30" s="35">
        <f>D29</f>
        <v/>
      </c>
      <c r="E30" s="35">
        <f>E29</f>
        <v/>
      </c>
      <c r="F30" s="35">
        <f>F29</f>
        <v/>
      </c>
      <c r="G30" s="35">
        <f>G29</f>
        <v/>
      </c>
      <c r="H30" s="35">
        <f>H29</f>
        <v/>
      </c>
      <c r="I30" s="35">
        <f>I29</f>
        <v/>
      </c>
    </row>
    <row r="32">
      <c r="A32" s="3" t="inlineStr">
        <is>
          <t>Cost Center: ('050',)</t>
        </is>
      </c>
    </row>
    <row r="33">
      <c r="A33" s="9" t="inlineStr">
        <is>
          <t>1000.9100.1000.51500.050</t>
        </is>
      </c>
      <c r="B33" s="9" t="inlineStr">
        <is>
          <t>Stipends</t>
        </is>
      </c>
      <c r="C33" s="27" t="n">
        <v>27164</v>
      </c>
      <c r="D33" s="27" t="n">
        <v>33274.23</v>
      </c>
      <c r="E33" s="27" t="n">
        <v>28903</v>
      </c>
      <c r="F33" s="27" t="n">
        <v>27155.45</v>
      </c>
      <c r="G33" s="27" t="n">
        <v>30125</v>
      </c>
      <c r="H33" s="27">
        <f>G33-F33</f>
        <v/>
      </c>
      <c r="I33" s="11">
        <f>IF(F33=0,0,G33/F33-1)</f>
        <v/>
      </c>
    </row>
    <row r="34">
      <c r="A34" s="9" t="inlineStr">
        <is>
          <t>1000.9100.1000.52000.050</t>
        </is>
      </c>
      <c r="B34" s="9" t="inlineStr">
        <is>
          <t>Stipend Benefits</t>
        </is>
      </c>
      <c r="C34" s="27" t="n">
        <v>1358</v>
      </c>
      <c r="D34" s="27" t="n">
        <v>1194.72</v>
      </c>
      <c r="E34" s="27" t="n">
        <v>1445</v>
      </c>
      <c r="F34" s="27" t="n">
        <v>215.56</v>
      </c>
      <c r="G34" s="27" t="n">
        <v>1506</v>
      </c>
      <c r="H34" s="27">
        <f>G34-F34</f>
        <v/>
      </c>
      <c r="I34" s="11">
        <f>IF(F34=0,0,G34/F34-1)</f>
        <v/>
      </c>
    </row>
    <row r="35">
      <c r="A35" s="9" t="inlineStr">
        <is>
          <t>1000.9100.1000.52300.050</t>
        </is>
      </c>
      <c r="B35" s="9" t="inlineStr">
        <is>
          <t>Retirement</t>
        </is>
      </c>
      <c r="C35" s="27" t="n">
        <v>1078</v>
      </c>
      <c r="D35" s="27" t="n">
        <v>139.07</v>
      </c>
      <c r="E35" s="27" t="n">
        <v>1202</v>
      </c>
      <c r="F35" s="27" t="n">
        <v>11.44</v>
      </c>
      <c r="G35" s="27" t="n">
        <v>1253</v>
      </c>
      <c r="H35" s="27">
        <f>G35-F35</f>
        <v/>
      </c>
      <c r="I35" s="11">
        <f>IF(F35=0,0,G35/F35-1)</f>
        <v/>
      </c>
    </row>
    <row r="36">
      <c r="A36" s="9" t="inlineStr">
        <is>
          <t>1000.9100.1000.56000.050</t>
        </is>
      </c>
      <c r="B36" s="9" t="inlineStr">
        <is>
          <t>Supplies</t>
        </is>
      </c>
      <c r="C36" s="27" t="n">
        <v>3000</v>
      </c>
      <c r="D36" s="27" t="n">
        <v>2961.94</v>
      </c>
      <c r="E36" s="27" t="n">
        <v>3000</v>
      </c>
      <c r="F36" s="27" t="n">
        <v>2117.05</v>
      </c>
      <c r="G36" s="27" t="n">
        <v>0</v>
      </c>
      <c r="H36" s="27">
        <f>G36-F36</f>
        <v/>
      </c>
      <c r="I36" s="11">
        <f>IF(F36=0,0,G36/F36-1)</f>
        <v/>
      </c>
    </row>
    <row r="37">
      <c r="A37" s="9" t="inlineStr">
        <is>
          <t>1000.9100.1000.56100.050</t>
        </is>
      </c>
      <c r="B37" s="9" t="inlineStr">
        <is>
          <t>Instructional Supplies</t>
        </is>
      </c>
      <c r="C37" s="27" t="n">
        <v>0</v>
      </c>
      <c r="D37" s="27" t="n">
        <v>0</v>
      </c>
      <c r="E37" s="27" t="n">
        <v>0</v>
      </c>
      <c r="F37" s="27" t="n">
        <v>0</v>
      </c>
      <c r="G37" s="27" t="n">
        <v>3900</v>
      </c>
      <c r="H37" s="27">
        <f>G37-F37</f>
        <v/>
      </c>
      <c r="I37" s="11">
        <f>IF(F37=0,0,G37/F37-1)</f>
        <v/>
      </c>
    </row>
    <row r="38">
      <c r="A38" s="9" t="inlineStr">
        <is>
          <t>1000.9100.1000.58100.050</t>
        </is>
      </c>
      <c r="B38" s="9" t="inlineStr">
        <is>
          <t>Dues &amp; Fees</t>
        </is>
      </c>
      <c r="C38" s="27" t="n">
        <v>2750</v>
      </c>
      <c r="D38" s="27" t="n">
        <v>2749.72</v>
      </c>
      <c r="E38" s="27" t="n">
        <v>2750</v>
      </c>
      <c r="F38" s="27" t="n">
        <v>1463</v>
      </c>
      <c r="G38" s="27" t="n">
        <v>2750</v>
      </c>
      <c r="H38" s="27">
        <f>G38-F38</f>
        <v/>
      </c>
      <c r="I38" s="11">
        <f>IF(F38=0,0,G38/F38-1)</f>
        <v/>
      </c>
    </row>
    <row r="39">
      <c r="A39" s="17" t="n"/>
      <c r="B39" s="31" t="inlineStr">
        <is>
          <t>Program 9100 Total</t>
        </is>
      </c>
      <c r="C39" s="32">
        <f>SUM(C33:C38)</f>
        <v/>
      </c>
      <c r="D39" s="32">
        <f>SUM(D33:D38)</f>
        <v/>
      </c>
      <c r="E39" s="32">
        <f>SUM(E33:E38)</f>
        <v/>
      </c>
      <c r="F39" s="32">
        <f>SUM(F33:F38)</f>
        <v/>
      </c>
      <c r="G39" s="32">
        <f>SUM(G33:G38)</f>
        <v/>
      </c>
      <c r="H39" s="32">
        <f>SUM(H33:H38)</f>
        <v/>
      </c>
      <c r="I39" s="32">
        <f>SUM(I33:I38)</f>
        <v/>
      </c>
    </row>
    <row r="40">
      <c r="A40" s="9" t="inlineStr">
        <is>
          <t>1000.9200.1000.51040.050</t>
        </is>
      </c>
      <c r="B40" s="9" t="inlineStr">
        <is>
          <t>Athletic Director Salary</t>
        </is>
      </c>
      <c r="C40" s="27" t="n">
        <v>28698</v>
      </c>
      <c r="D40" s="27" t="n">
        <v>29271.83</v>
      </c>
      <c r="E40" s="27" t="n">
        <v>30150</v>
      </c>
      <c r="F40" s="27" t="n">
        <v>34653.22</v>
      </c>
      <c r="G40" s="27" t="n">
        <v>30635</v>
      </c>
      <c r="H40" s="27">
        <f>G40-F40</f>
        <v/>
      </c>
      <c r="I40" s="11">
        <f>IF(F40=0,0,G40/F40-1)</f>
        <v/>
      </c>
    </row>
    <row r="41">
      <c r="A41" s="9" t="inlineStr">
        <is>
          <t>1000.9200.1000.51180.050</t>
        </is>
      </c>
      <c r="B41" s="9" t="inlineStr">
        <is>
          <t>Support Salary</t>
        </is>
      </c>
      <c r="C41" s="27" t="n">
        <v>0</v>
      </c>
      <c r="D41" s="27" t="n">
        <v>0</v>
      </c>
      <c r="E41" s="27" t="n">
        <v>0</v>
      </c>
      <c r="F41" s="27" t="n">
        <v>0</v>
      </c>
      <c r="G41" s="27" t="n">
        <v>4688</v>
      </c>
      <c r="H41" s="27">
        <f>G41-F41</f>
        <v/>
      </c>
      <c r="I41" s="11">
        <f>IF(F41=0,0,G41/F41-1)</f>
        <v/>
      </c>
    </row>
    <row r="42">
      <c r="A42" s="9" t="inlineStr">
        <is>
          <t>1000.9200.1000.51230.050</t>
        </is>
      </c>
      <c r="B42" s="9" t="inlineStr">
        <is>
          <t>Other Wages</t>
        </is>
      </c>
      <c r="C42" s="27" t="n">
        <v>6547</v>
      </c>
      <c r="D42" s="27" t="n">
        <v>5503.26</v>
      </c>
      <c r="E42" s="27" t="n">
        <v>7253</v>
      </c>
      <c r="F42" s="27" t="n">
        <v>5823.07</v>
      </c>
      <c r="G42" s="27" t="n">
        <v>0</v>
      </c>
      <c r="H42" s="27">
        <f>G42-F42</f>
        <v/>
      </c>
      <c r="I42" s="11">
        <f>IF(F42=0,0,G42/F42-1)</f>
        <v/>
      </c>
    </row>
    <row r="43">
      <c r="A43" s="9" t="inlineStr">
        <is>
          <t>1000.9200.1000.51500.050</t>
        </is>
      </c>
      <c r="B43" s="9" t="inlineStr">
        <is>
          <t>Stipends-Coaches</t>
        </is>
      </c>
      <c r="C43" s="27" t="n">
        <v>106981</v>
      </c>
      <c r="D43" s="27" t="n">
        <v>109526.46</v>
      </c>
      <c r="E43" s="27" t="n">
        <v>113645</v>
      </c>
      <c r="F43" s="27" t="n">
        <v>84948.47</v>
      </c>
      <c r="G43" s="27" t="n">
        <v>114107</v>
      </c>
      <c r="H43" s="27">
        <f>G43-F43</f>
        <v/>
      </c>
      <c r="I43" s="11">
        <f>IF(F43=0,0,G43/F43-1)</f>
        <v/>
      </c>
    </row>
    <row r="44">
      <c r="A44" s="9" t="inlineStr">
        <is>
          <t>1000.9200.1000.52000.050</t>
        </is>
      </c>
      <c r="B44" s="9" t="inlineStr">
        <is>
          <t>Benefits</t>
        </is>
      </c>
      <c r="C44" s="27" t="n">
        <v>0</v>
      </c>
      <c r="D44" s="27" t="n">
        <v>9075.219999999999</v>
      </c>
      <c r="E44" s="27" t="n">
        <v>0</v>
      </c>
      <c r="F44" s="27" t="n">
        <v>3620.62</v>
      </c>
      <c r="G44" s="27" t="n">
        <v>5705</v>
      </c>
      <c r="H44" s="27">
        <f>G44-F44</f>
        <v/>
      </c>
      <c r="I44" s="11">
        <f>IF(F44=0,0,G44/F44-1)</f>
        <v/>
      </c>
    </row>
    <row r="45">
      <c r="A45" s="9" t="inlineStr">
        <is>
          <t>1000.9200.1000.52010.050</t>
        </is>
      </c>
      <c r="B45" s="9" t="inlineStr">
        <is>
          <t>Stipend Benefits</t>
        </is>
      </c>
      <c r="C45" s="27" t="n">
        <v>5349</v>
      </c>
      <c r="D45" s="27" t="n">
        <v>0</v>
      </c>
      <c r="E45" s="27" t="n">
        <v>5682</v>
      </c>
      <c r="F45" s="27" t="n">
        <v>0</v>
      </c>
      <c r="G45" s="27" t="n">
        <v>0</v>
      </c>
      <c r="H45" s="27">
        <f>G45-F45</f>
        <v/>
      </c>
      <c r="I45" s="11">
        <f>IF(F45=0,0,G45/F45-1)</f>
        <v/>
      </c>
    </row>
    <row r="46">
      <c r="A46" s="9" t="inlineStr">
        <is>
          <t>1000.9200.1000.52030.050</t>
        </is>
      </c>
      <c r="B46" s="9" t="inlineStr">
        <is>
          <t>Other Benefits</t>
        </is>
      </c>
      <c r="C46" s="27" t="n">
        <v>1272</v>
      </c>
      <c r="D46" s="27" t="n">
        <v>447.88</v>
      </c>
      <c r="E46" s="27" t="n">
        <v>1441</v>
      </c>
      <c r="F46" s="27" t="n">
        <v>581.45</v>
      </c>
      <c r="G46" s="27" t="n">
        <v>0</v>
      </c>
      <c r="H46" s="27">
        <f>G46-F46</f>
        <v/>
      </c>
      <c r="I46" s="11">
        <f>IF(F46=0,0,G46/F46-1)</f>
        <v/>
      </c>
    </row>
    <row r="47">
      <c r="A47" s="9" t="inlineStr">
        <is>
          <t>1000.9200.1000.52040.050</t>
        </is>
      </c>
      <c r="B47" s="9" t="inlineStr">
        <is>
          <t>AD Benefits</t>
        </is>
      </c>
      <c r="C47" s="27" t="n">
        <v>6256</v>
      </c>
      <c r="D47" s="27" t="n">
        <v>3803.29</v>
      </c>
      <c r="E47" s="27" t="n">
        <v>4090</v>
      </c>
      <c r="F47" s="27" t="n">
        <v>4016.27</v>
      </c>
      <c r="G47" s="27" t="n">
        <v>3963</v>
      </c>
      <c r="H47" s="27">
        <f>G47-F47</f>
        <v/>
      </c>
      <c r="I47" s="11">
        <f>IF(F47=0,0,G47/F47-1)</f>
        <v/>
      </c>
    </row>
    <row r="48">
      <c r="A48" s="9" t="inlineStr">
        <is>
          <t>1000.9200.1000.52080.050</t>
        </is>
      </c>
      <c r="B48" s="9" t="inlineStr">
        <is>
          <t>Support Benefits</t>
        </is>
      </c>
      <c r="C48" s="27" t="n">
        <v>0</v>
      </c>
      <c r="D48" s="27" t="n">
        <v>0</v>
      </c>
      <c r="E48" s="27" t="n">
        <v>0</v>
      </c>
      <c r="F48" s="27" t="n">
        <v>0</v>
      </c>
      <c r="G48" s="27" t="n">
        <v>1032</v>
      </c>
      <c r="H48" s="27">
        <f>G48-F48</f>
        <v/>
      </c>
      <c r="I48" s="11">
        <f>IF(F48=0,0,G48/F48-1)</f>
        <v/>
      </c>
    </row>
    <row r="49">
      <c r="A49" s="9" t="inlineStr">
        <is>
          <t>1000.9200.1000.52300.050</t>
        </is>
      </c>
      <c r="B49" s="9" t="inlineStr">
        <is>
          <t>Retirement</t>
        </is>
      </c>
      <c r="C49" s="27" t="n">
        <v>4247</v>
      </c>
      <c r="D49" s="27" t="n">
        <v>994.17</v>
      </c>
      <c r="E49" s="27" t="n">
        <v>4728</v>
      </c>
      <c r="F49" s="27" t="n">
        <v>139.49</v>
      </c>
      <c r="G49" s="27" t="n">
        <v>4747</v>
      </c>
      <c r="H49" s="27">
        <f>G49-F49</f>
        <v/>
      </c>
      <c r="I49" s="11">
        <f>IF(F49=0,0,G49/F49-1)</f>
        <v/>
      </c>
    </row>
    <row r="50">
      <c r="A50" s="9" t="inlineStr">
        <is>
          <t>1000.9200.1000.52330.050</t>
        </is>
      </c>
      <c r="B50" s="9" t="inlineStr">
        <is>
          <t>Retirement</t>
        </is>
      </c>
      <c r="C50" s="27" t="n">
        <v>0</v>
      </c>
      <c r="D50" s="27" t="n">
        <v>0</v>
      </c>
      <c r="E50" s="27" t="n">
        <v>0</v>
      </c>
      <c r="F50" s="27" t="n">
        <v>22.1</v>
      </c>
      <c r="G50" s="27" t="n">
        <v>0</v>
      </c>
      <c r="H50" s="27">
        <f>G50-F50</f>
        <v/>
      </c>
      <c r="I50" s="11">
        <f>IF(F50=0,0,G50/F50-1)</f>
        <v/>
      </c>
    </row>
    <row r="51">
      <c r="A51" s="9" t="inlineStr">
        <is>
          <t>1000.9200.1000.52340.050</t>
        </is>
      </c>
      <c r="B51" s="9" t="inlineStr">
        <is>
          <t>Retirement</t>
        </is>
      </c>
      <c r="C51" s="27" t="n">
        <v>1162</v>
      </c>
      <c r="D51" s="27" t="n">
        <v>1162.19</v>
      </c>
      <c r="E51" s="27" t="n">
        <v>1254</v>
      </c>
      <c r="F51" s="27" t="n">
        <v>1441.6</v>
      </c>
      <c r="G51" s="27" t="n">
        <v>1279</v>
      </c>
      <c r="H51" s="27">
        <f>G51-F51</f>
        <v/>
      </c>
      <c r="I51" s="11">
        <f>IF(F51=0,0,G51/F51-1)</f>
        <v/>
      </c>
    </row>
    <row r="52">
      <c r="A52" s="9" t="inlineStr">
        <is>
          <t>1000.9200.1000.53000.050</t>
        </is>
      </c>
      <c r="B52" s="9" t="inlineStr">
        <is>
          <t>Game Officials</t>
        </is>
      </c>
      <c r="C52" s="27" t="n">
        <v>20159</v>
      </c>
      <c r="D52" s="27" t="n">
        <v>13989.98</v>
      </c>
      <c r="E52" s="27" t="n">
        <v>20507</v>
      </c>
      <c r="F52" s="27" t="n">
        <v>9628.860000000001</v>
      </c>
      <c r="G52" s="27" t="n">
        <v>21958</v>
      </c>
      <c r="H52" s="27">
        <f>G52-F52</f>
        <v/>
      </c>
      <c r="I52" s="11">
        <f>IF(F52=0,0,G52/F52-1)</f>
        <v/>
      </c>
    </row>
    <row r="53">
      <c r="A53" s="9" t="inlineStr">
        <is>
          <t>1000.9200.1000.55800.050</t>
        </is>
      </c>
      <c r="B53" s="9" t="inlineStr">
        <is>
          <t>Travel</t>
        </is>
      </c>
      <c r="C53" s="27" t="n">
        <v>0</v>
      </c>
      <c r="D53" s="27" t="n">
        <v>0</v>
      </c>
      <c r="E53" s="27" t="n">
        <v>0</v>
      </c>
      <c r="F53" s="27" t="n">
        <v>0</v>
      </c>
      <c r="G53" s="27" t="n">
        <v>75</v>
      </c>
      <c r="H53" s="27">
        <f>G53-F53</f>
        <v/>
      </c>
      <c r="I53" s="11">
        <f>IF(F53=0,0,G53/F53-1)</f>
        <v/>
      </c>
    </row>
    <row r="54">
      <c r="A54" s="9" t="inlineStr">
        <is>
          <t>1000.9200.1000.58100.050</t>
        </is>
      </c>
      <c r="B54" s="9" t="inlineStr">
        <is>
          <t>Dues and Fees</t>
        </is>
      </c>
      <c r="C54" s="27" t="n">
        <v>13686</v>
      </c>
      <c r="D54" s="27" t="n">
        <v>13438.91</v>
      </c>
      <c r="E54" s="27" t="n">
        <v>14593</v>
      </c>
      <c r="F54" s="27" t="n">
        <v>16482.94</v>
      </c>
      <c r="G54" s="27" t="n">
        <v>14903</v>
      </c>
      <c r="H54" s="27">
        <f>G54-F54</f>
        <v/>
      </c>
      <c r="I54" s="11">
        <f>IF(F54=0,0,G54/F54-1)</f>
        <v/>
      </c>
    </row>
    <row r="55">
      <c r="A55" s="17" t="n"/>
      <c r="B55" s="31" t="inlineStr">
        <is>
          <t>Program 9200 Total</t>
        </is>
      </c>
      <c r="C55" s="32">
        <f>SUM(C40:C54)</f>
        <v/>
      </c>
      <c r="D55" s="32">
        <f>SUM(D40:D54)</f>
        <v/>
      </c>
      <c r="E55" s="32">
        <f>SUM(E40:E54)</f>
        <v/>
      </c>
      <c r="F55" s="32">
        <f>SUM(F40:F54)</f>
        <v/>
      </c>
      <c r="G55" s="32">
        <f>SUM(G40:G54)</f>
        <v/>
      </c>
      <c r="H55" s="32">
        <f>SUM(H40:H54)</f>
        <v/>
      </c>
      <c r="I55" s="32">
        <f>SUM(I40:I54)</f>
        <v/>
      </c>
    </row>
    <row r="56">
      <c r="A56" s="17" t="n"/>
      <c r="B56" s="33" t="inlineStr">
        <is>
          <t>Function 1000 Total</t>
        </is>
      </c>
      <c r="C56" s="34">
        <f>C39+C55</f>
        <v/>
      </c>
      <c r="D56" s="34">
        <f>D39+D55</f>
        <v/>
      </c>
      <c r="E56" s="34">
        <f>E39+E55</f>
        <v/>
      </c>
      <c r="F56" s="34">
        <f>F39+F55</f>
        <v/>
      </c>
      <c r="G56" s="34">
        <f>G39+G55</f>
        <v/>
      </c>
      <c r="H56" s="34">
        <f>H39+H55</f>
        <v/>
      </c>
      <c r="I56" s="34">
        <f>I39+I55</f>
        <v/>
      </c>
    </row>
    <row r="57">
      <c r="A57" s="17" t="n"/>
      <c r="B57" s="20" t="inlineStr">
        <is>
          <t>Cost Center ('050',) Total</t>
        </is>
      </c>
      <c r="C57" s="35">
        <f>C56</f>
        <v/>
      </c>
      <c r="D57" s="35">
        <f>D56</f>
        <v/>
      </c>
      <c r="E57" s="35">
        <f>E56</f>
        <v/>
      </c>
      <c r="F57" s="35">
        <f>F56</f>
        <v/>
      </c>
      <c r="G57" s="35">
        <f>G56</f>
        <v/>
      </c>
      <c r="H57" s="35">
        <f>H56</f>
        <v/>
      </c>
      <c r="I57" s="35">
        <f>I56</f>
        <v/>
      </c>
    </row>
    <row r="59">
      <c r="A59" s="3" t="inlineStr">
        <is>
          <t>Cost Center: ('300',)</t>
        </is>
      </c>
    </row>
    <row r="60">
      <c r="A60" s="9" t="inlineStr">
        <is>
          <t>1000.9500.1000.51500.300</t>
        </is>
      </c>
      <c r="B60" s="9" t="inlineStr">
        <is>
          <t>Stipends</t>
        </is>
      </c>
      <c r="C60" s="27" t="n">
        <v>63198</v>
      </c>
      <c r="D60" s="27" t="n">
        <v>81264.42</v>
      </c>
      <c r="E60" s="27" t="n">
        <v>76209</v>
      </c>
      <c r="F60" s="27" t="n">
        <v>81262.81</v>
      </c>
      <c r="G60" s="27" t="n">
        <v>76676</v>
      </c>
      <c r="H60" s="27">
        <f>G60-F60</f>
        <v/>
      </c>
      <c r="I60" s="11">
        <f>IF(F60=0,0,G60/F60-1)</f>
        <v/>
      </c>
    </row>
    <row r="61">
      <c r="A61" s="9" t="inlineStr">
        <is>
          <t>1000.9500.1000.52000.300</t>
        </is>
      </c>
      <c r="B61" s="9" t="inlineStr">
        <is>
          <t>Stipend Benefits</t>
        </is>
      </c>
      <c r="C61" s="27" t="n">
        <v>3160</v>
      </c>
      <c r="D61" s="27" t="n">
        <v>3967.77</v>
      </c>
      <c r="E61" s="27" t="n">
        <v>3810</v>
      </c>
      <c r="F61" s="27" t="n">
        <v>2001.47</v>
      </c>
      <c r="G61" s="27" t="n">
        <v>3834</v>
      </c>
      <c r="H61" s="27">
        <f>G61-F61</f>
        <v/>
      </c>
      <c r="I61" s="11">
        <f>IF(F61=0,0,G61/F61-1)</f>
        <v/>
      </c>
    </row>
    <row r="62">
      <c r="A62" s="9" t="inlineStr">
        <is>
          <t>1000.9500.1000.52300.300</t>
        </is>
      </c>
      <c r="B62" s="9" t="inlineStr">
        <is>
          <t>Retirement</t>
        </is>
      </c>
      <c r="C62" s="27" t="n">
        <v>2509</v>
      </c>
      <c r="D62" s="27" t="n">
        <v>683.9400000000001</v>
      </c>
      <c r="E62" s="27" t="n">
        <v>3170</v>
      </c>
      <c r="F62" s="27" t="n">
        <v>45.2</v>
      </c>
      <c r="G62" s="27" t="n">
        <v>3190</v>
      </c>
      <c r="H62" s="27">
        <f>G62-F62</f>
        <v/>
      </c>
      <c r="I62" s="11">
        <f>IF(F62=0,0,G62/F62-1)</f>
        <v/>
      </c>
    </row>
    <row r="63">
      <c r="A63" s="9" t="inlineStr">
        <is>
          <t>1000.9500.1000.56000.300</t>
        </is>
      </c>
      <c r="B63" s="9" t="inlineStr">
        <is>
          <t>Supplies</t>
        </is>
      </c>
      <c r="C63" s="27" t="n">
        <v>4000</v>
      </c>
      <c r="D63" s="27" t="n">
        <v>4100</v>
      </c>
      <c r="E63" s="27" t="n">
        <v>5000</v>
      </c>
      <c r="F63" s="27" t="n">
        <v>1116.02</v>
      </c>
      <c r="G63" s="27" t="n">
        <v>0</v>
      </c>
      <c r="H63" s="27">
        <f>G63-F63</f>
        <v/>
      </c>
      <c r="I63" s="11">
        <f>IF(F63=0,0,G63/F63-1)</f>
        <v/>
      </c>
    </row>
    <row r="64">
      <c r="A64" s="9" t="inlineStr">
        <is>
          <t>1000.9500.1000.56100.300</t>
        </is>
      </c>
      <c r="B64" s="9" t="inlineStr">
        <is>
          <t>Instructional Supplies</t>
        </is>
      </c>
      <c r="C64" s="27" t="n">
        <v>0</v>
      </c>
      <c r="D64" s="27" t="n">
        <v>0</v>
      </c>
      <c r="E64" s="27" t="n">
        <v>0</v>
      </c>
      <c r="F64" s="27" t="n">
        <v>0</v>
      </c>
      <c r="G64" s="27" t="n">
        <v>1400</v>
      </c>
      <c r="H64" s="27">
        <f>G64-F64</f>
        <v/>
      </c>
      <c r="I64" s="11">
        <f>IF(F64=0,0,G64/F64-1)</f>
        <v/>
      </c>
    </row>
    <row r="65">
      <c r="A65" s="9" t="inlineStr">
        <is>
          <t>1000.9500.1000.58100.300</t>
        </is>
      </c>
      <c r="B65" s="9" t="inlineStr">
        <is>
          <t>Dues and Fees</t>
        </is>
      </c>
      <c r="C65" s="27" t="n">
        <v>7100</v>
      </c>
      <c r="D65" s="27" t="n">
        <v>5002</v>
      </c>
      <c r="E65" s="27" t="n">
        <v>7560</v>
      </c>
      <c r="F65" s="27" t="n">
        <v>4595</v>
      </c>
      <c r="G65" s="27" t="n">
        <v>11650</v>
      </c>
      <c r="H65" s="27">
        <f>G65-F65</f>
        <v/>
      </c>
      <c r="I65" s="11">
        <f>IF(F65=0,0,G65/F65-1)</f>
        <v/>
      </c>
    </row>
    <row r="66">
      <c r="A66" s="17" t="n"/>
      <c r="B66" s="31" t="inlineStr">
        <is>
          <t>Program 9500 Total</t>
        </is>
      </c>
      <c r="C66" s="32">
        <f>SUM(C60:C65)</f>
        <v/>
      </c>
      <c r="D66" s="32">
        <f>SUM(D60:D65)</f>
        <v/>
      </c>
      <c r="E66" s="32">
        <f>SUM(E60:E65)</f>
        <v/>
      </c>
      <c r="F66" s="32">
        <f>SUM(F60:F65)</f>
        <v/>
      </c>
      <c r="G66" s="32">
        <f>SUM(G60:G65)</f>
        <v/>
      </c>
      <c r="H66" s="32">
        <f>SUM(H60:H65)</f>
        <v/>
      </c>
      <c r="I66" s="32">
        <f>SUM(I60:I65)</f>
        <v/>
      </c>
    </row>
    <row r="67">
      <c r="A67" s="9" t="inlineStr">
        <is>
          <t>1000.9600.1000.51040.300</t>
        </is>
      </c>
      <c r="B67" s="9" t="inlineStr">
        <is>
          <t>Athletic Director Salaries</t>
        </is>
      </c>
      <c r="C67" s="27" t="n">
        <v>66962</v>
      </c>
      <c r="D67" s="27" t="n">
        <v>68301.17</v>
      </c>
      <c r="E67" s="27" t="n">
        <v>70350</v>
      </c>
      <c r="F67" s="27" t="n">
        <v>80857.89999999999</v>
      </c>
      <c r="G67" s="27" t="n">
        <v>71366</v>
      </c>
      <c r="H67" s="27">
        <f>G67-F67</f>
        <v/>
      </c>
      <c r="I67" s="11">
        <f>IF(F67=0,0,G67/F67-1)</f>
        <v/>
      </c>
    </row>
    <row r="68">
      <c r="A68" s="9" t="inlineStr">
        <is>
          <t>1000.9600.1000.51180.300</t>
        </is>
      </c>
      <c r="B68" s="9" t="inlineStr">
        <is>
          <t>Support Salary</t>
        </is>
      </c>
      <c r="C68" s="27" t="n">
        <v>0</v>
      </c>
      <c r="D68" s="27" t="n">
        <v>0</v>
      </c>
      <c r="E68" s="27" t="n">
        <v>0</v>
      </c>
      <c r="F68" s="27" t="n">
        <v>0</v>
      </c>
      <c r="G68" s="27" t="n">
        <v>10938</v>
      </c>
      <c r="H68" s="27">
        <f>G68-F68</f>
        <v/>
      </c>
      <c r="I68" s="11">
        <f>IF(F68=0,0,G68/F68-1)</f>
        <v/>
      </c>
    </row>
    <row r="69">
      <c r="A69" s="9" t="inlineStr">
        <is>
          <t>1000.9600.1000.51230.300</t>
        </is>
      </c>
      <c r="B69" s="9" t="inlineStr">
        <is>
          <t>Other Wages</t>
        </is>
      </c>
      <c r="C69" s="27" t="n">
        <v>19091</v>
      </c>
      <c r="D69" s="27" t="n">
        <v>15636.48</v>
      </c>
      <c r="E69" s="27" t="n">
        <v>21450</v>
      </c>
      <c r="F69" s="27" t="n">
        <v>14505.37</v>
      </c>
      <c r="G69" s="27" t="n">
        <v>0</v>
      </c>
      <c r="H69" s="27">
        <f>G69-F69</f>
        <v/>
      </c>
      <c r="I69" s="11">
        <f>IF(F69=0,0,G69/F69-1)</f>
        <v/>
      </c>
    </row>
    <row r="70">
      <c r="A70" s="9" t="inlineStr">
        <is>
          <t>1000.9600.1000.51500.300</t>
        </is>
      </c>
      <c r="B70" s="9" t="inlineStr">
        <is>
          <t>Stipends-Coaches</t>
        </is>
      </c>
      <c r="C70" s="27" t="n">
        <v>152245</v>
      </c>
      <c r="D70" s="27" t="n">
        <v>147845.74</v>
      </c>
      <c r="E70" s="27" t="n">
        <v>160812</v>
      </c>
      <c r="F70" s="27" t="n">
        <v>108087.66</v>
      </c>
      <c r="G70" s="27" t="n">
        <v>164788</v>
      </c>
      <c r="H70" s="27">
        <f>G70-F70</f>
        <v/>
      </c>
      <c r="I70" s="11">
        <f>IF(F70=0,0,G70/F70-1)</f>
        <v/>
      </c>
    </row>
    <row r="71">
      <c r="A71" s="9" t="inlineStr">
        <is>
          <t>1000.9600.1000.52000.300</t>
        </is>
      </c>
      <c r="B71" s="9" t="inlineStr">
        <is>
          <t>Stipend Benefits</t>
        </is>
      </c>
      <c r="C71" s="27" t="n">
        <v>7612</v>
      </c>
      <c r="D71" s="27" t="n">
        <v>10275.71</v>
      </c>
      <c r="E71" s="27" t="n">
        <v>8041</v>
      </c>
      <c r="F71" s="27" t="n">
        <v>8050.66</v>
      </c>
      <c r="G71" s="27" t="n">
        <v>8239</v>
      </c>
      <c r="H71" s="27">
        <f>G71-F71</f>
        <v/>
      </c>
      <c r="I71" s="11">
        <f>IF(F71=0,0,G71/F71-1)</f>
        <v/>
      </c>
    </row>
    <row r="72">
      <c r="A72" s="9" t="inlineStr">
        <is>
          <t>1000.9600.1000.52030.300</t>
        </is>
      </c>
      <c r="B72" s="9" t="inlineStr">
        <is>
          <t>Other Benefits</t>
        </is>
      </c>
      <c r="C72" s="27" t="n">
        <v>2967</v>
      </c>
      <c r="D72" s="27" t="n">
        <v>1449.23</v>
      </c>
      <c r="E72" s="27" t="n">
        <v>2963</v>
      </c>
      <c r="F72" s="27" t="n">
        <v>1377.34</v>
      </c>
      <c r="G72" s="27" t="n">
        <v>0</v>
      </c>
      <c r="H72" s="27">
        <f>G72-F72</f>
        <v/>
      </c>
      <c r="I72" s="11">
        <f>IF(F72=0,0,G72/F72-1)</f>
        <v/>
      </c>
    </row>
    <row r="73">
      <c r="A73" s="9" t="inlineStr">
        <is>
          <t>1000.9600.1000.52040.300</t>
        </is>
      </c>
      <c r="B73" s="9" t="inlineStr">
        <is>
          <t>Athletic Director Benefits</t>
        </is>
      </c>
      <c r="C73" s="27" t="n">
        <v>14598</v>
      </c>
      <c r="D73" s="27" t="n">
        <v>8873.75</v>
      </c>
      <c r="E73" s="27" t="n">
        <v>9544</v>
      </c>
      <c r="F73" s="27" t="n">
        <v>9370.75</v>
      </c>
      <c r="G73" s="27" t="n">
        <v>9248</v>
      </c>
      <c r="H73" s="27">
        <f>G73-F73</f>
        <v/>
      </c>
      <c r="I73" s="11">
        <f>IF(F73=0,0,G73/F73-1)</f>
        <v/>
      </c>
    </row>
    <row r="74">
      <c r="A74" s="9" t="inlineStr">
        <is>
          <t>1000.9600.1000.52080.300</t>
        </is>
      </c>
      <c r="B74" s="9" t="inlineStr">
        <is>
          <t>Support Beneifts</t>
        </is>
      </c>
      <c r="C74" s="27" t="n">
        <v>0</v>
      </c>
      <c r="D74" s="27" t="n">
        <v>0</v>
      </c>
      <c r="E74" s="27" t="n">
        <v>0</v>
      </c>
      <c r="F74" s="27" t="n">
        <v>0</v>
      </c>
      <c r="G74" s="27" t="n">
        <v>2408</v>
      </c>
      <c r="H74" s="27">
        <f>G74-F74</f>
        <v/>
      </c>
      <c r="I74" s="11">
        <f>IF(F74=0,0,G74/F74-1)</f>
        <v/>
      </c>
    </row>
    <row r="75">
      <c r="A75" s="9" t="inlineStr">
        <is>
          <t>1000.9600.1000.52300.300</t>
        </is>
      </c>
      <c r="B75" s="9" t="inlineStr">
        <is>
          <t>Retirement</t>
        </is>
      </c>
      <c r="C75" s="27" t="n">
        <v>6044</v>
      </c>
      <c r="D75" s="27" t="n">
        <v>588.62</v>
      </c>
      <c r="E75" s="27" t="n">
        <v>6690</v>
      </c>
      <c r="F75" s="27" t="n">
        <v>247.61</v>
      </c>
      <c r="G75" s="27" t="n">
        <v>6855</v>
      </c>
      <c r="H75" s="27">
        <f>G75-F75</f>
        <v/>
      </c>
      <c r="I75" s="11">
        <f>IF(F75=0,0,G75/F75-1)</f>
        <v/>
      </c>
    </row>
    <row r="76">
      <c r="A76" s="9" t="inlineStr">
        <is>
          <t>1000.9600.1000.52330.300</t>
        </is>
      </c>
      <c r="B76" s="9" t="inlineStr">
        <is>
          <t>Retirement</t>
        </is>
      </c>
      <c r="C76" s="27" t="n">
        <v>0</v>
      </c>
      <c r="D76" s="27" t="n">
        <v>0</v>
      </c>
      <c r="E76" s="27" t="n">
        <v>0</v>
      </c>
      <c r="F76" s="27" t="n">
        <v>61.98</v>
      </c>
      <c r="G76" s="27" t="n">
        <v>0</v>
      </c>
      <c r="H76" s="27">
        <f>G76-F76</f>
        <v/>
      </c>
      <c r="I76" s="11">
        <f>IF(F76=0,0,G76/F76-1)</f>
        <v/>
      </c>
    </row>
    <row r="77">
      <c r="A77" s="9" t="inlineStr">
        <is>
          <t>1000.9600.1000.52340.300</t>
        </is>
      </c>
      <c r="B77" s="9" t="inlineStr">
        <is>
          <t>Retirement</t>
        </is>
      </c>
      <c r="C77" s="27" t="n">
        <v>2712</v>
      </c>
      <c r="D77" s="27" t="n">
        <v>2711.54</v>
      </c>
      <c r="E77" s="27" t="n">
        <v>2927</v>
      </c>
      <c r="F77" s="27" t="n">
        <v>3363.68</v>
      </c>
      <c r="G77" s="27" t="n">
        <v>2985</v>
      </c>
      <c r="H77" s="27">
        <f>G77-F77</f>
        <v/>
      </c>
      <c r="I77" s="11">
        <f>IF(F77=0,0,G77/F77-1)</f>
        <v/>
      </c>
    </row>
    <row r="78">
      <c r="A78" s="9" t="inlineStr">
        <is>
          <t>1000.9600.1000.53000.300</t>
        </is>
      </c>
      <c r="B78" s="9" t="inlineStr">
        <is>
          <t>Game Officials</t>
        </is>
      </c>
      <c r="C78" s="27" t="n">
        <v>33034</v>
      </c>
      <c r="D78" s="27" t="n">
        <v>33517.14</v>
      </c>
      <c r="E78" s="27" t="n">
        <v>33676</v>
      </c>
      <c r="F78" s="27" t="n">
        <v>23029.98</v>
      </c>
      <c r="G78" s="27" t="n">
        <v>44024</v>
      </c>
      <c r="H78" s="27">
        <f>G78-F78</f>
        <v/>
      </c>
      <c r="I78" s="11">
        <f>IF(F78=0,0,G78/F78-1)</f>
        <v/>
      </c>
    </row>
    <row r="79">
      <c r="A79" s="9" t="inlineStr">
        <is>
          <t>1000.9600.1000.55000.300</t>
        </is>
      </c>
      <c r="B79" s="9" t="inlineStr">
        <is>
          <t>Purchased Services</t>
        </is>
      </c>
      <c r="C79" s="27" t="n">
        <v>27140</v>
      </c>
      <c r="D79" s="27" t="n">
        <v>25788.5</v>
      </c>
      <c r="E79" s="27" t="n">
        <v>30043</v>
      </c>
      <c r="F79" s="27" t="n">
        <v>23649.07</v>
      </c>
      <c r="G79" s="27" t="n">
        <v>31408</v>
      </c>
      <c r="H79" s="27">
        <f>G79-F79</f>
        <v/>
      </c>
      <c r="I79" s="11">
        <f>IF(F79=0,0,G79/F79-1)</f>
        <v/>
      </c>
    </row>
    <row r="80">
      <c r="A80" s="9" t="inlineStr">
        <is>
          <t>1000.9600.1000.55800.300</t>
        </is>
      </c>
      <c r="B80" s="9" t="inlineStr">
        <is>
          <t>Travel</t>
        </is>
      </c>
      <c r="C80" s="27" t="n">
        <v>600</v>
      </c>
      <c r="D80" s="27" t="n">
        <v>1276.95</v>
      </c>
      <c r="E80" s="27" t="n">
        <v>650</v>
      </c>
      <c r="F80" s="27" t="n">
        <v>862.72</v>
      </c>
      <c r="G80" s="27" t="n">
        <v>1270</v>
      </c>
      <c r="H80" s="27">
        <f>G80-F80</f>
        <v/>
      </c>
      <c r="I80" s="11">
        <f>IF(F80=0,0,G80/F80-1)</f>
        <v/>
      </c>
    </row>
    <row r="81">
      <c r="A81" s="9" t="inlineStr">
        <is>
          <t>1000.9600.1000.56000.300</t>
        </is>
      </c>
      <c r="B81" s="9" t="inlineStr">
        <is>
          <t>Supplies</t>
        </is>
      </c>
      <c r="C81" s="27" t="n">
        <v>36600</v>
      </c>
      <c r="D81" s="27" t="n">
        <v>38612.8</v>
      </c>
      <c r="E81" s="27" t="n">
        <v>36774</v>
      </c>
      <c r="F81" s="27" t="n">
        <v>25667.73</v>
      </c>
      <c r="G81" s="27" t="n">
        <v>46302</v>
      </c>
      <c r="H81" s="27">
        <f>G81-F81</f>
        <v/>
      </c>
      <c r="I81" s="11">
        <f>IF(F81=0,0,G81/F81-1)</f>
        <v/>
      </c>
    </row>
    <row r="82">
      <c r="A82" s="9" t="inlineStr">
        <is>
          <t>1000.9600.1000.58100.300</t>
        </is>
      </c>
      <c r="B82" s="9" t="inlineStr">
        <is>
          <t>Dues and Fees</t>
        </is>
      </c>
      <c r="C82" s="27" t="n">
        <v>36047</v>
      </c>
      <c r="D82" s="27" t="n">
        <v>32804.74</v>
      </c>
      <c r="E82" s="27" t="n">
        <v>37999</v>
      </c>
      <c r="F82" s="27" t="n">
        <v>33806.39</v>
      </c>
      <c r="G82" s="27" t="n">
        <v>40759</v>
      </c>
      <c r="H82" s="27">
        <f>G82-F82</f>
        <v/>
      </c>
      <c r="I82" s="11">
        <f>IF(F82=0,0,G82/F82-1)</f>
        <v/>
      </c>
    </row>
    <row r="83">
      <c r="A83" s="17" t="n"/>
      <c r="B83" s="31" t="inlineStr">
        <is>
          <t>Program 9600 Total</t>
        </is>
      </c>
      <c r="C83" s="32">
        <f>SUM(C67:C82)</f>
        <v/>
      </c>
      <c r="D83" s="32">
        <f>SUM(D67:D82)</f>
        <v/>
      </c>
      <c r="E83" s="32">
        <f>SUM(E67:E82)</f>
        <v/>
      </c>
      <c r="F83" s="32">
        <f>SUM(F67:F82)</f>
        <v/>
      </c>
      <c r="G83" s="32">
        <f>SUM(G67:G82)</f>
        <v/>
      </c>
      <c r="H83" s="32">
        <f>SUM(H67:H82)</f>
        <v/>
      </c>
      <c r="I83" s="32">
        <f>SUM(I67:I82)</f>
        <v/>
      </c>
    </row>
    <row r="84">
      <c r="A84" s="17" t="n"/>
      <c r="B84" s="33" t="inlineStr">
        <is>
          <t>Function 1000 Total</t>
        </is>
      </c>
      <c r="C84" s="34">
        <f>C66+C83</f>
        <v/>
      </c>
      <c r="D84" s="34">
        <f>D66+D83</f>
        <v/>
      </c>
      <c r="E84" s="34">
        <f>E66+E83</f>
        <v/>
      </c>
      <c r="F84" s="34">
        <f>F66+F83</f>
        <v/>
      </c>
      <c r="G84" s="34">
        <f>G66+G83</f>
        <v/>
      </c>
      <c r="H84" s="34">
        <f>H66+H83</f>
        <v/>
      </c>
      <c r="I84" s="34">
        <f>I66+I83</f>
        <v/>
      </c>
    </row>
    <row r="85">
      <c r="A85" s="17" t="n"/>
      <c r="B85" s="20" t="inlineStr">
        <is>
          <t>Cost Center ('300',) Total</t>
        </is>
      </c>
      <c r="C85" s="35">
        <f>C84</f>
        <v/>
      </c>
      <c r="D85" s="35">
        <f>D84</f>
        <v/>
      </c>
      <c r="E85" s="35">
        <f>E84</f>
        <v/>
      </c>
      <c r="F85" s="35">
        <f>F84</f>
        <v/>
      </c>
      <c r="G85" s="35">
        <f>G84</f>
        <v/>
      </c>
      <c r="H85" s="35">
        <f>H84</f>
        <v/>
      </c>
      <c r="I85" s="35">
        <f>I84</f>
        <v/>
      </c>
    </row>
    <row r="87">
      <c r="A87" s="3" t="inlineStr">
        <is>
          <t>Cost Center: ('950',)</t>
        </is>
      </c>
    </row>
    <row r="88">
      <c r="A88" s="9" t="inlineStr">
        <is>
          <t>1000.9100.2700.58500.950</t>
        </is>
      </c>
      <c r="B88" s="9" t="inlineStr">
        <is>
          <t>Co-Curr Transportation</t>
        </is>
      </c>
      <c r="C88" s="27" t="n">
        <v>1500</v>
      </c>
      <c r="D88" s="27" t="n">
        <v>0</v>
      </c>
      <c r="E88" s="27" t="n">
        <v>1500</v>
      </c>
      <c r="F88" s="27" t="n">
        <v>0</v>
      </c>
      <c r="G88" s="27" t="n">
        <v>0</v>
      </c>
      <c r="H88" s="27">
        <f>G88-F88</f>
        <v/>
      </c>
      <c r="I88" s="11">
        <f>IF(F88=0,0,G88/F88-1)</f>
        <v/>
      </c>
    </row>
    <row r="89">
      <c r="A89" s="3" t="inlineStr">
        <is>
          <t>Cost Center: ('990',)</t>
        </is>
      </c>
    </row>
    <row r="90">
      <c r="A90" s="9" t="inlineStr">
        <is>
          <t>1000.9600.2700.58500.990</t>
        </is>
      </c>
      <c r="B90" s="9" t="inlineStr">
        <is>
          <t>Ath/Co Curr Transporation</t>
        </is>
      </c>
      <c r="C90" s="27" t="n">
        <v>1500</v>
      </c>
      <c r="D90" s="27" t="n">
        <v>0</v>
      </c>
      <c r="E90" s="27" t="n">
        <v>1500</v>
      </c>
      <c r="F90" s="27" t="n">
        <v>0</v>
      </c>
      <c r="G90" s="27" t="n">
        <v>0</v>
      </c>
      <c r="H90" s="27">
        <f>G90-F90</f>
        <v/>
      </c>
      <c r="I90" s="11">
        <f>IF(F90=0,0,G90/F90-1)</f>
        <v/>
      </c>
    </row>
    <row r="91">
      <c r="A91" s="17" t="n"/>
      <c r="B91" s="36" t="inlineStr">
        <is>
          <t>ARTICLE 4 TOTAL</t>
        </is>
      </c>
      <c r="C91" s="37">
        <f>C14+C22+C30+C57+C85</f>
        <v/>
      </c>
      <c r="D91" s="37">
        <f>D14+D22+D30+D57+D85</f>
        <v/>
      </c>
      <c r="E91" s="37">
        <f>E14+E22+E30+E57+E85</f>
        <v/>
      </c>
      <c r="F91" s="37">
        <f>F14+F22+F30+F57+F85</f>
        <v/>
      </c>
      <c r="G91" s="37">
        <f>G14+G22+G30+G57+G85</f>
        <v/>
      </c>
      <c r="H91" s="37">
        <f>H14+H22+H30+H57+H85</f>
        <v/>
      </c>
      <c r="I91" s="37">
        <f>I14+I22+I30+I57+I85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472C4"/>
    <outlinePr summaryBelow="1" summaryRight="1"/>
    <pageSetUpPr/>
  </sheetPr>
  <dimension ref="A1:I33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5 - Student &amp; Staff Support</t>
        </is>
      </c>
    </row>
    <row r="2">
      <c r="A2" s="16" t="inlineStr">
        <is>
          <t>Source: FY22 Proposed Budget, RSU 5</t>
        </is>
      </c>
    </row>
    <row r="3">
      <c r="A3" s="16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FY18 Actual</t>
        </is>
      </c>
      <c r="D5" s="8" t="inlineStr">
        <is>
          <t>FY19 Actual</t>
        </is>
      </c>
      <c r="E5" s="8" t="inlineStr">
        <is>
          <t>FY20 Actual</t>
        </is>
      </c>
      <c r="F5" s="8" t="inlineStr">
        <is>
          <t>FY21 Adopted</t>
        </is>
      </c>
      <c r="G5" s="8" t="inlineStr">
        <is>
          <t>FY22 Adopted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('010',)</t>
        </is>
      </c>
    </row>
    <row r="7">
      <c r="A7" s="9" t="inlineStr">
        <is>
          <t>1000.0000.2120.51010.010</t>
        </is>
      </c>
      <c r="B7" s="9" t="inlineStr">
        <is>
          <t>Guidance Salaries</t>
        </is>
      </c>
      <c r="C7" s="27" t="n">
        <v>68206</v>
      </c>
      <c r="D7" s="27" t="n">
        <v>67124</v>
      </c>
      <c r="E7" s="27" t="n">
        <v>58968</v>
      </c>
      <c r="F7" s="27" t="n">
        <v>58967.74</v>
      </c>
      <c r="G7" s="27" t="n">
        <v>62202</v>
      </c>
      <c r="H7" s="27">
        <f>G7-F7</f>
        <v/>
      </c>
      <c r="I7" s="11">
        <f>IF(F7=0,0,G7/F7-1)</f>
        <v/>
      </c>
    </row>
    <row r="8">
      <c r="A8" s="9" t="inlineStr">
        <is>
          <t>1000.0000.2120.52010.010</t>
        </is>
      </c>
      <c r="B8" s="9" t="inlineStr">
        <is>
          <t>Benefits</t>
        </is>
      </c>
      <c r="C8" s="27" t="n">
        <v>25063</v>
      </c>
      <c r="D8" s="27" t="n">
        <v>4495.31</v>
      </c>
      <c r="E8" s="27" t="n">
        <v>5247</v>
      </c>
      <c r="F8" s="27" t="n">
        <v>5541.9</v>
      </c>
      <c r="G8" s="27" t="n">
        <v>5411</v>
      </c>
      <c r="H8" s="27">
        <f>G8-F8</f>
        <v/>
      </c>
      <c r="I8" s="11">
        <f>IF(F8=0,0,G8/F8-1)</f>
        <v/>
      </c>
    </row>
    <row r="9">
      <c r="A9" s="9" t="inlineStr">
        <is>
          <t>1000.0000.2120.52310.010</t>
        </is>
      </c>
      <c r="B9" s="9" t="inlineStr">
        <is>
          <t>Retirement</t>
        </is>
      </c>
      <c r="C9" s="27" t="n">
        <v>2708</v>
      </c>
      <c r="D9" s="27" t="n">
        <v>2277.66</v>
      </c>
      <c r="E9" s="27" t="n">
        <v>2453</v>
      </c>
      <c r="F9" s="27" t="n">
        <v>2588.64</v>
      </c>
      <c r="G9" s="27" t="n">
        <v>2588</v>
      </c>
      <c r="H9" s="27">
        <f>G9-F9</f>
        <v/>
      </c>
      <c r="I9" s="11">
        <f>IF(F9=0,0,G9/F9-1)</f>
        <v/>
      </c>
    </row>
    <row r="10">
      <c r="A10" s="9" t="inlineStr">
        <is>
          <t>1000.0000.2120.53000.010</t>
        </is>
      </c>
      <c r="B10" s="9" t="inlineStr">
        <is>
          <t>Professional Services</t>
        </is>
      </c>
      <c r="C10" s="27" t="n">
        <v>885</v>
      </c>
      <c r="D10" s="27" t="n">
        <v>205</v>
      </c>
      <c r="E10" s="27" t="n">
        <v>0</v>
      </c>
      <c r="F10" s="27" t="n">
        <v>0</v>
      </c>
      <c r="G10" s="27" t="n">
        <v>0</v>
      </c>
      <c r="H10" s="27">
        <f>G10-F10</f>
        <v/>
      </c>
      <c r="I10" s="11">
        <f>IF(F10=0,0,G10/F10-1)</f>
        <v/>
      </c>
    </row>
    <row r="11">
      <c r="A11" s="9" t="inlineStr">
        <is>
          <t>1000.0000.2120.54330.010</t>
        </is>
      </c>
      <c r="B11" s="9" t="inlineStr">
        <is>
          <t>Software</t>
        </is>
      </c>
      <c r="C11" s="27" t="n">
        <v>0</v>
      </c>
      <c r="D11" s="27" t="n">
        <v>0</v>
      </c>
      <c r="E11" s="27" t="n">
        <v>0</v>
      </c>
      <c r="F11" s="27" t="n">
        <v>0</v>
      </c>
      <c r="G11" s="27" t="n">
        <v>334</v>
      </c>
      <c r="H11" s="27">
        <f>G11-F11</f>
        <v/>
      </c>
      <c r="I11" s="11">
        <f>IF(F11=0,0,G11/F11-1)</f>
        <v/>
      </c>
    </row>
    <row r="12">
      <c r="A12" s="9" t="inlineStr">
        <is>
          <t>1000.0000.2120.55810.010</t>
        </is>
      </c>
      <c r="B12" s="9" t="inlineStr">
        <is>
          <t>Travel - Guidance</t>
        </is>
      </c>
      <c r="C12" s="27" t="n">
        <v>1050</v>
      </c>
      <c r="D12" s="27" t="n">
        <v>960.6799999999999</v>
      </c>
      <c r="E12" s="27" t="n">
        <v>0</v>
      </c>
      <c r="F12" s="27" t="n">
        <v>0</v>
      </c>
      <c r="G12" s="27" t="n">
        <v>0</v>
      </c>
      <c r="H12" s="27">
        <f>G12-F12</f>
        <v/>
      </c>
      <c r="I12" s="11">
        <f>IF(F12=0,0,G12/F12-1)</f>
        <v/>
      </c>
    </row>
    <row r="13">
      <c r="A13" s="9" t="inlineStr">
        <is>
          <t>1000.0000.2120.56100.010</t>
        </is>
      </c>
      <c r="B13" s="9" t="inlineStr">
        <is>
          <t>Supplies</t>
        </is>
      </c>
      <c r="C13" s="27" t="n">
        <v>339</v>
      </c>
      <c r="D13" s="27" t="n">
        <v>331.82</v>
      </c>
      <c r="E13" s="27" t="n">
        <v>339</v>
      </c>
      <c r="F13" s="27" t="n">
        <v>325.92</v>
      </c>
      <c r="G13" s="27" t="n">
        <v>678</v>
      </c>
      <c r="H13" s="27">
        <f>G13-F13</f>
        <v/>
      </c>
      <c r="I13" s="11">
        <f>IF(F13=0,0,G13/F13-1)</f>
        <v/>
      </c>
    </row>
    <row r="14">
      <c r="A14" s="9" t="inlineStr">
        <is>
          <t>1000.0000.2120.57300.010</t>
        </is>
      </c>
      <c r="B14" s="9" t="inlineStr">
        <is>
          <t>Equipment</t>
        </is>
      </c>
      <c r="C14" s="27" t="n">
        <v>0</v>
      </c>
      <c r="D14" s="27" t="n">
        <v>0</v>
      </c>
      <c r="E14" s="27" t="n">
        <v>0</v>
      </c>
      <c r="F14" s="27" t="n">
        <v>0</v>
      </c>
      <c r="G14" s="27" t="n">
        <v>500</v>
      </c>
      <c r="H14" s="27">
        <f>G14-F14</f>
        <v/>
      </c>
      <c r="I14" s="11">
        <f>IF(F14=0,0,G14/F14-1)</f>
        <v/>
      </c>
    </row>
    <row r="15">
      <c r="A15" s="9" t="inlineStr">
        <is>
          <t>1000.0000.2120.58100.010</t>
        </is>
      </c>
      <c r="B15" s="9" t="inlineStr">
        <is>
          <t>Dues &amp; Fees</t>
        </is>
      </c>
      <c r="C15" s="27" t="n">
        <v>0</v>
      </c>
      <c r="D15" s="27" t="n">
        <v>0</v>
      </c>
      <c r="E15" s="27" t="n">
        <v>0</v>
      </c>
      <c r="F15" s="27" t="n">
        <v>0</v>
      </c>
      <c r="G15" s="27" t="n">
        <v>0</v>
      </c>
      <c r="H15" s="27">
        <f>G15-F15</f>
        <v/>
      </c>
      <c r="I15" s="11">
        <f>IF(F15=0,0,G15/F15-1)</f>
        <v/>
      </c>
    </row>
    <row r="16">
      <c r="A16" s="17" t="n"/>
      <c r="B16" s="31" t="inlineStr">
        <is>
          <t>Program 0000 Total</t>
        </is>
      </c>
      <c r="C16" s="32">
        <f>SUM(C7:C15)</f>
        <v/>
      </c>
      <c r="D16" s="32">
        <f>SUM(D7:D15)</f>
        <v/>
      </c>
      <c r="E16" s="32">
        <f>SUM(E7:E15)</f>
        <v/>
      </c>
      <c r="F16" s="32">
        <f>SUM(F7:F15)</f>
        <v/>
      </c>
      <c r="G16" s="32">
        <f>SUM(G7:G15)</f>
        <v/>
      </c>
      <c r="H16" s="32">
        <f>SUM(H7:H15)</f>
        <v/>
      </c>
      <c r="I16" s="32">
        <f>SUM(I7:I15)</f>
        <v/>
      </c>
    </row>
    <row r="17">
      <c r="A17" s="9" t="inlineStr">
        <is>
          <t>1000.0000.2130.51010.010</t>
        </is>
      </c>
      <c r="B17" s="9" t="inlineStr">
        <is>
          <t>Nurse Salary</t>
        </is>
      </c>
      <c r="C17" s="27" t="n">
        <v>61314</v>
      </c>
      <c r="D17" s="27" t="n">
        <v>64072.71</v>
      </c>
      <c r="E17" s="27" t="n">
        <v>67975</v>
      </c>
      <c r="F17" s="27" t="n">
        <v>65996.06</v>
      </c>
      <c r="G17" s="27" t="n">
        <v>69630</v>
      </c>
      <c r="H17" s="27">
        <f>G17-F17</f>
        <v/>
      </c>
      <c r="I17" s="11">
        <f>IF(F17=0,0,G17/F17-1)</f>
        <v/>
      </c>
    </row>
    <row r="18">
      <c r="A18" s="9" t="inlineStr">
        <is>
          <t>1000.0000.2130.52010.010</t>
        </is>
      </c>
      <c r="B18" s="9" t="inlineStr">
        <is>
          <t>Nurse Benefits</t>
        </is>
      </c>
      <c r="C18" s="27" t="n">
        <v>18975</v>
      </c>
      <c r="D18" s="27" t="n">
        <v>15205.52</v>
      </c>
      <c r="E18" s="27" t="n">
        <v>15765</v>
      </c>
      <c r="F18" s="27" t="n">
        <v>15120.47</v>
      </c>
      <c r="G18" s="27" t="n">
        <v>15884</v>
      </c>
      <c r="H18" s="27">
        <f>G18-F18</f>
        <v/>
      </c>
      <c r="I18" s="11">
        <f>IF(F18=0,0,G18/F18-1)</f>
        <v/>
      </c>
    </row>
    <row r="19">
      <c r="A19" s="9" t="inlineStr">
        <is>
          <t>1000.0000.2130.52310.010</t>
        </is>
      </c>
      <c r="B19" s="9" t="inlineStr">
        <is>
          <t>Retirement</t>
        </is>
      </c>
      <c r="C19" s="27" t="n">
        <v>2434</v>
      </c>
      <c r="D19" s="27" t="n">
        <v>2562.33</v>
      </c>
      <c r="E19" s="27" t="n">
        <v>2828</v>
      </c>
      <c r="F19" s="27" t="n">
        <v>2745.34</v>
      </c>
      <c r="G19" s="27" t="n">
        <v>2897</v>
      </c>
      <c r="H19" s="27">
        <f>G19-F19</f>
        <v/>
      </c>
      <c r="I19" s="11">
        <f>IF(F19=0,0,G19/F19-1)</f>
        <v/>
      </c>
    </row>
    <row r="20">
      <c r="A20" s="9" t="inlineStr">
        <is>
          <t>1000.0000.2130.53000.010</t>
        </is>
      </c>
      <c r="B20" s="9" t="inlineStr">
        <is>
          <t>Professional Services</t>
        </is>
      </c>
      <c r="C20" s="27" t="n">
        <v>200</v>
      </c>
      <c r="D20" s="27" t="n">
        <v>248.98</v>
      </c>
      <c r="E20" s="27" t="n">
        <v>200</v>
      </c>
      <c r="F20" s="27" t="n">
        <v>0</v>
      </c>
      <c r="G20" s="27" t="n">
        <v>200</v>
      </c>
      <c r="H20" s="27">
        <f>G20-F20</f>
        <v/>
      </c>
      <c r="I20" s="11">
        <f>IF(F20=0,0,G20/F20-1)</f>
        <v/>
      </c>
    </row>
    <row r="21">
      <c r="A21" s="9" t="inlineStr">
        <is>
          <t>1000.0000.2130.54310.010</t>
        </is>
      </c>
      <c r="B21" s="9" t="inlineStr">
        <is>
          <t>Repairs &amp; Maintenance</t>
        </is>
      </c>
      <c r="C21" s="27" t="n">
        <v>135</v>
      </c>
      <c r="D21" s="27" t="n">
        <v>0</v>
      </c>
      <c r="E21" s="27" t="n">
        <v>135</v>
      </c>
      <c r="F21" s="27" t="n">
        <v>0</v>
      </c>
      <c r="G21" s="27" t="n">
        <v>135</v>
      </c>
      <c r="H21" s="27">
        <f>G21-F21</f>
        <v/>
      </c>
      <c r="I21" s="11">
        <f>IF(F21=0,0,G21/F21-1)</f>
        <v/>
      </c>
    </row>
    <row r="22">
      <c r="A22" s="9" t="inlineStr">
        <is>
          <t>1000.0000.2130.55800.010</t>
        </is>
      </c>
      <c r="B22" s="9" t="inlineStr">
        <is>
          <t>Travel</t>
        </is>
      </c>
      <c r="C22" s="27" t="n">
        <v>0</v>
      </c>
      <c r="D22" s="27" t="n">
        <v>219.24</v>
      </c>
      <c r="E22" s="27" t="n">
        <v>0</v>
      </c>
      <c r="F22" s="27" t="n">
        <v>0</v>
      </c>
      <c r="G22" s="27" t="n">
        <v>220</v>
      </c>
      <c r="H22" s="27">
        <f>G22-F22</f>
        <v/>
      </c>
      <c r="I22" s="11">
        <f>IF(F22=0,0,G22/F22-1)</f>
        <v/>
      </c>
    </row>
    <row r="23">
      <c r="A23" s="9" t="inlineStr">
        <is>
          <t>1000.0000.2130.56000.010</t>
        </is>
      </c>
      <c r="B23" s="9" t="inlineStr">
        <is>
          <t>Supplies</t>
        </is>
      </c>
      <c r="C23" s="27" t="n">
        <v>1098</v>
      </c>
      <c r="D23" s="27" t="n">
        <v>1069.29</v>
      </c>
      <c r="E23" s="27" t="n">
        <v>1116</v>
      </c>
      <c r="F23" s="27" t="n">
        <v>1093.4</v>
      </c>
      <c r="G23" s="27" t="n">
        <v>1148</v>
      </c>
      <c r="H23" s="27">
        <f>G23-F23</f>
        <v/>
      </c>
      <c r="I23" s="11">
        <f>IF(F23=0,0,G23/F23-1)</f>
        <v/>
      </c>
    </row>
    <row r="24">
      <c r="A24" s="17" t="n"/>
      <c r="B24" s="31" t="inlineStr">
        <is>
          <t>Program 0000 Total</t>
        </is>
      </c>
      <c r="C24" s="32">
        <f>SUM(C17:C23)</f>
        <v/>
      </c>
      <c r="D24" s="32">
        <f>SUM(D17:D23)</f>
        <v/>
      </c>
      <c r="E24" s="32">
        <f>SUM(E17:E23)</f>
        <v/>
      </c>
      <c r="F24" s="32">
        <f>SUM(F17:F23)</f>
        <v/>
      </c>
      <c r="G24" s="32">
        <f>SUM(G17:G23)</f>
        <v/>
      </c>
      <c r="H24" s="32">
        <f>SUM(H17:H23)</f>
        <v/>
      </c>
      <c r="I24" s="32">
        <f>SUM(I17:I23)</f>
        <v/>
      </c>
    </row>
    <row r="25">
      <c r="A25" s="9" t="inlineStr">
        <is>
          <t>1000.0000.2213.51500.010</t>
        </is>
      </c>
      <c r="B25" s="9" t="inlineStr">
        <is>
          <t>Stipends</t>
        </is>
      </c>
      <c r="C25" s="27" t="n">
        <v>0</v>
      </c>
      <c r="D25" s="27" t="n">
        <v>0</v>
      </c>
      <c r="E25" s="27" t="n">
        <v>0</v>
      </c>
      <c r="F25" s="27" t="n">
        <v>0</v>
      </c>
      <c r="G25" s="27" t="n">
        <v>0</v>
      </c>
      <c r="H25" s="27">
        <f>G25-F25</f>
        <v/>
      </c>
      <c r="I25" s="11">
        <f>IF(F25=0,0,G25/F25-1)</f>
        <v/>
      </c>
    </row>
    <row r="26">
      <c r="A26" s="9" t="inlineStr">
        <is>
          <t>1000.0000.2213.52000.010</t>
        </is>
      </c>
      <c r="B26" s="9" t="inlineStr">
        <is>
          <t>Stipend Benefits - DCS</t>
        </is>
      </c>
      <c r="C26" s="27" t="n">
        <v>0</v>
      </c>
      <c r="D26" s="27" t="n">
        <v>0</v>
      </c>
      <c r="E26" s="27" t="n">
        <v>0</v>
      </c>
      <c r="F26" s="27" t="n">
        <v>0</v>
      </c>
      <c r="G26" s="27" t="n">
        <v>0</v>
      </c>
      <c r="H26" s="27">
        <f>G26-F26</f>
        <v/>
      </c>
      <c r="I26" s="11">
        <f>IF(F26=0,0,G26/F26-1)</f>
        <v/>
      </c>
    </row>
    <row r="27">
      <c r="A27" s="9" t="inlineStr">
        <is>
          <t>1000.0000.2213.52300.010</t>
        </is>
      </c>
      <c r="B27" s="9" t="inlineStr">
        <is>
          <t>Stipend Retirement - DCS</t>
        </is>
      </c>
      <c r="C27" s="27" t="n">
        <v>0</v>
      </c>
      <c r="D27" s="27" t="n">
        <v>0</v>
      </c>
      <c r="E27" s="27" t="n">
        <v>0</v>
      </c>
      <c r="F27" s="27" t="n">
        <v>0</v>
      </c>
      <c r="G27" s="27" t="n">
        <v>0</v>
      </c>
      <c r="H27" s="27">
        <f>G27-F27</f>
        <v/>
      </c>
      <c r="I27" s="11">
        <f>IF(F27=0,0,G27/F27-1)</f>
        <v/>
      </c>
    </row>
    <row r="28">
      <c r="A28" s="17" t="n"/>
      <c r="B28" s="31" t="inlineStr">
        <is>
          <t>Program 0000 Total</t>
        </is>
      </c>
      <c r="C28" s="32">
        <f>SUM(C25:C27)</f>
        <v/>
      </c>
      <c r="D28" s="32">
        <f>SUM(D25:D27)</f>
        <v/>
      </c>
      <c r="E28" s="32">
        <f>SUM(E25:E27)</f>
        <v/>
      </c>
      <c r="F28" s="32">
        <f>SUM(F25:F27)</f>
        <v/>
      </c>
      <c r="G28" s="32">
        <f>SUM(G25:G27)</f>
        <v/>
      </c>
      <c r="H28" s="32">
        <f>SUM(H25:H27)</f>
        <v/>
      </c>
      <c r="I28" s="32">
        <f>SUM(I25:I27)</f>
        <v/>
      </c>
    </row>
    <row r="29">
      <c r="A29" s="9" t="inlineStr">
        <is>
          <t>1000.0000.2220.51010.010</t>
        </is>
      </c>
      <c r="B29" s="9" t="inlineStr">
        <is>
          <t>Librarian Salary</t>
        </is>
      </c>
      <c r="C29" s="27" t="n">
        <v>59997</v>
      </c>
      <c r="D29" s="27" t="n">
        <v>63567.35</v>
      </c>
      <c r="E29" s="27" t="n">
        <v>67195</v>
      </c>
      <c r="F29" s="27" t="n">
        <v>66475.02</v>
      </c>
      <c r="G29" s="27" t="n">
        <v>69201</v>
      </c>
      <c r="H29" s="27">
        <f>G29-F29</f>
        <v/>
      </c>
      <c r="I29" s="11">
        <f>IF(F29=0,0,G29/F29-1)</f>
        <v/>
      </c>
    </row>
    <row r="30">
      <c r="A30" s="9" t="inlineStr">
        <is>
          <t>1000.0000.2220.51020.010</t>
        </is>
      </c>
      <c r="B30" s="9" t="inlineStr">
        <is>
          <t>Ed Tech Salaries</t>
        </is>
      </c>
      <c r="C30" s="27" t="n">
        <v>0</v>
      </c>
      <c r="D30" s="27" t="n">
        <v>0</v>
      </c>
      <c r="E30" s="27" t="n">
        <v>0</v>
      </c>
      <c r="F30" s="27" t="n">
        <v>0</v>
      </c>
      <c r="G30" s="27" t="n">
        <v>10698</v>
      </c>
      <c r="H30" s="27">
        <f>G30-F30</f>
        <v/>
      </c>
      <c r="I30" s="11">
        <f>IF(F30=0,0,G30/F30-1)</f>
        <v/>
      </c>
    </row>
    <row r="31">
      <c r="A31" s="9" t="inlineStr">
        <is>
          <t>1000.0000.2220.52010.010</t>
        </is>
      </c>
      <c r="B31" s="9" t="inlineStr">
        <is>
          <t>Librarian Benefits</t>
        </is>
      </c>
      <c r="C31" s="27" t="n">
        <v>24999</v>
      </c>
      <c r="D31" s="27" t="n">
        <v>21379.31</v>
      </c>
      <c r="E31" s="27" t="n">
        <v>21528</v>
      </c>
      <c r="F31" s="27" t="n">
        <v>21005.67</v>
      </c>
      <c r="G31" s="27" t="n">
        <v>21672</v>
      </c>
      <c r="H31" s="27">
        <f>G31-F31</f>
        <v/>
      </c>
      <c r="I31" s="11">
        <f>IF(F31=0,0,G31/F31-1)</f>
        <v/>
      </c>
    </row>
    <row r="32">
      <c r="A32" s="9" t="inlineStr">
        <is>
          <t>1000.0000.2220.52020.010</t>
        </is>
      </c>
      <c r="B32" s="9" t="inlineStr">
        <is>
          <t>Ed Tech Salaries</t>
        </is>
      </c>
      <c r="C32" s="27" t="n">
        <v>0</v>
      </c>
      <c r="D32" s="27" t="n">
        <v>0</v>
      </c>
      <c r="E32" s="27" t="n">
        <v>0</v>
      </c>
      <c r="F32" s="27" t="n">
        <v>0</v>
      </c>
      <c r="G32" s="27" t="n">
        <v>4642</v>
      </c>
      <c r="H32" s="27">
        <f>G32-F32</f>
        <v/>
      </c>
      <c r="I32" s="11">
        <f>IF(F32=0,0,G32/F32-1)</f>
        <v/>
      </c>
    </row>
    <row r="33">
      <c r="A33" s="9" t="inlineStr">
        <is>
          <t>1000.0000.2220.52310.010</t>
        </is>
      </c>
      <c r="B33" s="9" t="inlineStr">
        <is>
          <t>Retirement</t>
        </is>
      </c>
      <c r="C33" s="27" t="n">
        <v>2382</v>
      </c>
      <c r="D33" s="27" t="n">
        <v>2494.22</v>
      </c>
      <c r="E33" s="27" t="n">
        <v>2795</v>
      </c>
      <c r="F33" s="27" t="n">
        <v>2745.34</v>
      </c>
      <c r="G33" s="27" t="n">
        <v>2894</v>
      </c>
      <c r="H33" s="27">
        <f>G33-F33</f>
        <v/>
      </c>
      <c r="I33" s="11">
        <f>IF(F33=0,0,G33/F33-1)</f>
        <v/>
      </c>
    </row>
    <row r="34">
      <c r="A34" s="9" t="inlineStr">
        <is>
          <t>1000.0000.2220.52320.010</t>
        </is>
      </c>
      <c r="B34" s="9" t="inlineStr">
        <is>
          <t>Ed Tech Retirement</t>
        </is>
      </c>
      <c r="C34" s="27" t="n">
        <v>0</v>
      </c>
      <c r="D34" s="27" t="n">
        <v>0</v>
      </c>
      <c r="E34" s="27" t="n">
        <v>0</v>
      </c>
      <c r="F34" s="27" t="n">
        <v>0</v>
      </c>
      <c r="G34" s="27" t="n">
        <v>465</v>
      </c>
      <c r="H34" s="27">
        <f>G34-F34</f>
        <v/>
      </c>
      <c r="I34" s="11">
        <f>IF(F34=0,0,G34/F34-1)</f>
        <v/>
      </c>
    </row>
    <row r="35">
      <c r="A35" s="9" t="inlineStr">
        <is>
          <t>1000.0000.2220.54330.010</t>
        </is>
      </c>
      <c r="B35" s="9" t="inlineStr">
        <is>
          <t>Software</t>
        </is>
      </c>
      <c r="C35" s="27" t="n">
        <v>1100</v>
      </c>
      <c r="D35" s="27" t="n">
        <v>1042</v>
      </c>
      <c r="E35" s="27" t="n">
        <v>1043</v>
      </c>
      <c r="F35" s="27" t="n">
        <v>1042.5</v>
      </c>
      <c r="G35" s="27" t="n">
        <v>1043</v>
      </c>
      <c r="H35" s="27">
        <f>G35-F35</f>
        <v/>
      </c>
      <c r="I35" s="11">
        <f>IF(F35=0,0,G35/F35-1)</f>
        <v/>
      </c>
    </row>
    <row r="36">
      <c r="A36" s="9" t="inlineStr">
        <is>
          <t>1000.0000.2220.56000.010</t>
        </is>
      </c>
      <c r="B36" s="9" t="inlineStr">
        <is>
          <t>Supplies</t>
        </is>
      </c>
      <c r="C36" s="27" t="n">
        <v>0</v>
      </c>
      <c r="D36" s="27" t="n">
        <v>0</v>
      </c>
      <c r="E36" s="27" t="n">
        <v>0</v>
      </c>
      <c r="F36" s="27" t="n">
        <v>0</v>
      </c>
      <c r="G36" s="27" t="n">
        <v>1300</v>
      </c>
      <c r="H36" s="27">
        <f>G36-F36</f>
        <v/>
      </c>
      <c r="I36" s="11">
        <f>IF(F36=0,0,G36/F36-1)</f>
        <v/>
      </c>
    </row>
    <row r="37">
      <c r="A37" s="9" t="inlineStr">
        <is>
          <t>1000.0000.2220.56100.010</t>
        </is>
      </c>
      <c r="B37" s="9" t="inlineStr">
        <is>
          <t>Supplies</t>
        </is>
      </c>
      <c r="C37" s="27" t="n">
        <v>1300</v>
      </c>
      <c r="D37" s="27" t="n">
        <v>1319.11</v>
      </c>
      <c r="E37" s="27" t="n">
        <v>1300</v>
      </c>
      <c r="F37" s="27" t="n">
        <v>1511.42</v>
      </c>
      <c r="G37" s="27" t="n">
        <v>0</v>
      </c>
      <c r="H37" s="27">
        <f>G37-F37</f>
        <v/>
      </c>
      <c r="I37" s="11">
        <f>IF(F37=0,0,G37/F37-1)</f>
        <v/>
      </c>
    </row>
    <row r="38">
      <c r="A38" s="9" t="inlineStr">
        <is>
          <t>1000.0000.2220.56400.010</t>
        </is>
      </c>
      <c r="B38" s="9" t="inlineStr">
        <is>
          <t>Books</t>
        </is>
      </c>
      <c r="C38" s="27" t="n">
        <v>8590</v>
      </c>
      <c r="D38" s="27" t="n">
        <v>8582.540000000001</v>
      </c>
      <c r="E38" s="27" t="n">
        <v>8733</v>
      </c>
      <c r="F38" s="27" t="n">
        <v>8539.73</v>
      </c>
      <c r="G38" s="27" t="n">
        <v>9082</v>
      </c>
      <c r="H38" s="27">
        <f>G38-F38</f>
        <v/>
      </c>
      <c r="I38" s="11">
        <f>IF(F38=0,0,G38/F38-1)</f>
        <v/>
      </c>
    </row>
    <row r="39">
      <c r="A39" s="17" t="n"/>
      <c r="B39" s="31" t="inlineStr">
        <is>
          <t>Program 0000 Total</t>
        </is>
      </c>
      <c r="C39" s="32">
        <f>SUM(C29:C38)</f>
        <v/>
      </c>
      <c r="D39" s="32">
        <f>SUM(D29:D38)</f>
        <v/>
      </c>
      <c r="E39" s="32">
        <f>SUM(E29:E38)</f>
        <v/>
      </c>
      <c r="F39" s="32">
        <f>SUM(F29:F38)</f>
        <v/>
      </c>
      <c r="G39" s="32">
        <f>SUM(G29:G38)</f>
        <v/>
      </c>
      <c r="H39" s="32">
        <f>SUM(H29:H38)</f>
        <v/>
      </c>
      <c r="I39" s="32">
        <f>SUM(I29:I38)</f>
        <v/>
      </c>
    </row>
    <row r="40">
      <c r="A40" s="9" t="inlineStr">
        <is>
          <t>1000.0000.2230.51010.010</t>
        </is>
      </c>
      <c r="B40" s="9" t="inlineStr">
        <is>
          <t>Teacher Salaries</t>
        </is>
      </c>
      <c r="C40" s="27" t="n">
        <v>68359</v>
      </c>
      <c r="D40" s="27" t="n">
        <v>71298.44</v>
      </c>
      <c r="E40" s="27" t="n">
        <v>51937</v>
      </c>
      <c r="F40" s="27" t="n">
        <v>51937.6</v>
      </c>
      <c r="G40" s="27" t="n">
        <v>0</v>
      </c>
      <c r="H40" s="27">
        <f>G40-F40</f>
        <v/>
      </c>
      <c r="I40" s="11">
        <f>IF(F40=0,0,G40/F40-1)</f>
        <v/>
      </c>
    </row>
    <row r="41">
      <c r="A41" s="9" t="inlineStr">
        <is>
          <t>1000.0000.2230.51180.010</t>
        </is>
      </c>
      <c r="B41" s="9" t="inlineStr">
        <is>
          <t>Support Salaries</t>
        </is>
      </c>
      <c r="C41" s="27" t="n">
        <v>22472</v>
      </c>
      <c r="D41" s="27" t="n">
        <v>341.02</v>
      </c>
      <c r="E41" s="27" t="n">
        <v>46125</v>
      </c>
      <c r="F41" s="27" t="n">
        <v>0</v>
      </c>
      <c r="G41" s="27" t="n">
        <v>0</v>
      </c>
      <c r="H41" s="27">
        <f>G41-F41</f>
        <v/>
      </c>
      <c r="I41" s="11">
        <f>IF(F41=0,0,G41/F41-1)</f>
        <v/>
      </c>
    </row>
    <row r="42">
      <c r="A42" s="9" t="inlineStr">
        <is>
          <t>1000.0000.2230.51500.010</t>
        </is>
      </c>
      <c r="B42" s="9" t="inlineStr">
        <is>
          <t>Stipends</t>
        </is>
      </c>
      <c r="C42" s="27" t="n">
        <v>1349</v>
      </c>
      <c r="D42" s="27" t="n">
        <v>1385</v>
      </c>
      <c r="E42" s="27" t="n">
        <v>1389</v>
      </c>
      <c r="F42" s="27" t="n">
        <v>1385.02</v>
      </c>
      <c r="G42" s="27" t="n">
        <v>0</v>
      </c>
      <c r="H42" s="27">
        <f>G42-F42</f>
        <v/>
      </c>
      <c r="I42" s="11">
        <f>IF(F42=0,0,G42/F42-1)</f>
        <v/>
      </c>
    </row>
    <row r="43">
      <c r="A43" s="9" t="inlineStr">
        <is>
          <t>1000.0000.2230.52000.010</t>
        </is>
      </c>
      <c r="B43" s="9" t="inlineStr">
        <is>
          <t>Benefits</t>
        </is>
      </c>
      <c r="C43" s="27" t="n">
        <v>67</v>
      </c>
      <c r="D43" s="27" t="n">
        <v>8.5</v>
      </c>
      <c r="E43" s="27" t="n">
        <v>69</v>
      </c>
      <c r="F43" s="27" t="n">
        <v>19.7</v>
      </c>
      <c r="G43" s="27" t="n">
        <v>0</v>
      </c>
      <c r="H43" s="27">
        <f>G43-F43</f>
        <v/>
      </c>
      <c r="I43" s="11">
        <f>IF(F43=0,0,G43/F43-1)</f>
        <v/>
      </c>
    </row>
    <row r="44">
      <c r="A44" s="9" t="inlineStr">
        <is>
          <t>1000.0000.2230.52010.010</t>
        </is>
      </c>
      <c r="B44" s="9" t="inlineStr">
        <is>
          <t>Teacher Benefits</t>
        </is>
      </c>
      <c r="C44" s="27" t="n">
        <v>25066</v>
      </c>
      <c r="D44" s="27" t="n">
        <v>20578.37</v>
      </c>
      <c r="E44" s="27" t="n">
        <v>19201</v>
      </c>
      <c r="F44" s="27" t="n">
        <v>6613.16</v>
      </c>
      <c r="G44" s="27" t="n">
        <v>0</v>
      </c>
      <c r="H44" s="27">
        <f>G44-F44</f>
        <v/>
      </c>
      <c r="I44" s="11">
        <f>IF(F44=0,0,G44/F44-1)</f>
        <v/>
      </c>
    </row>
    <row r="45">
      <c r="A45" s="9" t="inlineStr">
        <is>
          <t>1000.0000.2230.52080.010</t>
        </is>
      </c>
      <c r="B45" s="9" t="inlineStr">
        <is>
          <t>Support Benefits</t>
        </is>
      </c>
      <c r="C45" s="27" t="n">
        <v>8133</v>
      </c>
      <c r="D45" s="27" t="n">
        <v>226.66</v>
      </c>
      <c r="E45" s="27" t="n">
        <v>24462</v>
      </c>
      <c r="F45" s="27" t="n">
        <v>0</v>
      </c>
      <c r="G45" s="27" t="n">
        <v>0</v>
      </c>
      <c r="H45" s="27">
        <f>G45-F45</f>
        <v/>
      </c>
      <c r="I45" s="11">
        <f>IF(F45=0,0,G45/F45-1)</f>
        <v/>
      </c>
    </row>
    <row r="46">
      <c r="A46" s="9" t="inlineStr">
        <is>
          <t>1000.0000.2230.52300.010</t>
        </is>
      </c>
      <c r="B46" s="9" t="inlineStr">
        <is>
          <t>Stipend Retirement</t>
        </is>
      </c>
      <c r="C46" s="27" t="n">
        <v>54</v>
      </c>
      <c r="D46" s="27" t="n">
        <v>0</v>
      </c>
      <c r="E46" s="27" t="n">
        <v>58</v>
      </c>
      <c r="F46" s="27" t="n">
        <v>2.22</v>
      </c>
      <c r="G46" s="27" t="n">
        <v>0</v>
      </c>
      <c r="H46" s="27">
        <f>G46-F46</f>
        <v/>
      </c>
      <c r="I46" s="11">
        <f>IF(F46=0,0,G46/F46-1)</f>
        <v/>
      </c>
    </row>
    <row r="47">
      <c r="A47" s="9" t="inlineStr">
        <is>
          <t>1000.0000.2230.52310.010</t>
        </is>
      </c>
      <c r="B47" s="9" t="inlineStr">
        <is>
          <t>Retirement</t>
        </is>
      </c>
      <c r="C47" s="27" t="n">
        <v>2714</v>
      </c>
      <c r="D47" s="27" t="n">
        <v>2441.16</v>
      </c>
      <c r="E47" s="27" t="n">
        <v>2161</v>
      </c>
      <c r="F47" s="27" t="n">
        <v>2210.1</v>
      </c>
      <c r="G47" s="27" t="n">
        <v>0</v>
      </c>
      <c r="H47" s="27">
        <f>G47-F47</f>
        <v/>
      </c>
      <c r="I47" s="11">
        <f>IF(F47=0,0,G47/F47-1)</f>
        <v/>
      </c>
    </row>
    <row r="48">
      <c r="A48" s="9" t="inlineStr">
        <is>
          <t>1000.0000.2230.54320.010</t>
        </is>
      </c>
      <c r="B48" s="9" t="inlineStr">
        <is>
          <t>Tech Repairs/Maint</t>
        </is>
      </c>
      <c r="C48" s="27" t="n">
        <v>1688</v>
      </c>
      <c r="D48" s="27" t="n">
        <v>1211</v>
      </c>
      <c r="E48" s="27" t="n">
        <v>1740</v>
      </c>
      <c r="F48" s="27" t="n">
        <v>0</v>
      </c>
      <c r="G48" s="27" t="n">
        <v>0</v>
      </c>
      <c r="H48" s="27">
        <f>G48-F48</f>
        <v/>
      </c>
      <c r="I48" s="11">
        <f>IF(F48=0,0,G48/F48-1)</f>
        <v/>
      </c>
    </row>
    <row r="49">
      <c r="A49" s="9" t="inlineStr">
        <is>
          <t>1000.0000.2230.54330.010</t>
        </is>
      </c>
      <c r="B49" s="9" t="inlineStr">
        <is>
          <t>Software</t>
        </is>
      </c>
      <c r="C49" s="27" t="n">
        <v>200</v>
      </c>
      <c r="D49" s="27" t="n">
        <v>200</v>
      </c>
      <c r="E49" s="27" t="n">
        <v>200</v>
      </c>
      <c r="F49" s="27" t="n">
        <v>0</v>
      </c>
      <c r="G49" s="27" t="n">
        <v>0</v>
      </c>
      <c r="H49" s="27">
        <f>G49-F49</f>
        <v/>
      </c>
      <c r="I49" s="11">
        <f>IF(F49=0,0,G49/F49-1)</f>
        <v/>
      </c>
    </row>
    <row r="50">
      <c r="A50" s="9" t="inlineStr">
        <is>
          <t>1000.0000.2230.55000.010</t>
        </is>
      </c>
      <c r="B50" s="9" t="inlineStr">
        <is>
          <t>Other Purchased Services</t>
        </is>
      </c>
      <c r="C50" s="27" t="n">
        <v>1100</v>
      </c>
      <c r="D50" s="27" t="n">
        <v>901.99</v>
      </c>
      <c r="E50" s="27" t="n">
        <v>1100</v>
      </c>
      <c r="F50" s="27" t="n">
        <v>440</v>
      </c>
      <c r="G50" s="27" t="n">
        <v>1100</v>
      </c>
      <c r="H50" s="27">
        <f>G50-F50</f>
        <v/>
      </c>
      <c r="I50" s="11">
        <f>IF(F50=0,0,G50/F50-1)</f>
        <v/>
      </c>
    </row>
    <row r="51">
      <c r="A51" s="9" t="inlineStr">
        <is>
          <t>1000.0000.2230.56500.010</t>
        </is>
      </c>
      <c r="B51" s="9" t="inlineStr">
        <is>
          <t>Supplies</t>
        </is>
      </c>
      <c r="C51" s="27" t="n">
        <v>700</v>
      </c>
      <c r="D51" s="27" t="n">
        <v>0</v>
      </c>
      <c r="E51" s="27" t="n">
        <v>700</v>
      </c>
      <c r="F51" s="27" t="n">
        <v>47</v>
      </c>
      <c r="G51" s="27" t="n">
        <v>0</v>
      </c>
      <c r="H51" s="27">
        <f>G51-F51</f>
        <v/>
      </c>
      <c r="I51" s="11">
        <f>IF(F51=0,0,G51/F51-1)</f>
        <v/>
      </c>
    </row>
    <row r="52">
      <c r="A52" s="17" t="n"/>
      <c r="B52" s="31" t="inlineStr">
        <is>
          <t>Program 0000 Total</t>
        </is>
      </c>
      <c r="C52" s="32">
        <f>SUM(C40:C51)</f>
        <v/>
      </c>
      <c r="D52" s="32">
        <f>SUM(D40:D51)</f>
        <v/>
      </c>
      <c r="E52" s="32">
        <f>SUM(E40:E51)</f>
        <v/>
      </c>
      <c r="F52" s="32">
        <f>SUM(F40:F51)</f>
        <v/>
      </c>
      <c r="G52" s="32">
        <f>SUM(G40:G51)</f>
        <v/>
      </c>
      <c r="H52" s="32">
        <f>SUM(H40:H51)</f>
        <v/>
      </c>
      <c r="I52" s="32">
        <f>SUM(I40:I51)</f>
        <v/>
      </c>
    </row>
    <row r="53">
      <c r="A53" s="17" t="n"/>
      <c r="B53" s="20" t="inlineStr">
        <is>
          <t>Cost Center ('010',) Total</t>
        </is>
      </c>
      <c r="C53" s="35">
        <f>C16+C24+C28+C39+C52</f>
        <v/>
      </c>
      <c r="D53" s="35">
        <f>D16+D24+D28+D39+D52</f>
        <v/>
      </c>
      <c r="E53" s="35">
        <f>E16+E24+E28+E39+E52</f>
        <v/>
      </c>
      <c r="F53" s="35">
        <f>F16+F24+F28+F39+F52</f>
        <v/>
      </c>
      <c r="G53" s="35">
        <f>G16+G24+G28+G39+G52</f>
        <v/>
      </c>
      <c r="H53" s="35">
        <f>H16+H24+H28+H39+H52</f>
        <v/>
      </c>
      <c r="I53" s="35">
        <f>I16+I24+I28+I39+I52</f>
        <v/>
      </c>
    </row>
    <row r="55">
      <c r="A55" s="3" t="inlineStr">
        <is>
          <t>Cost Center: ('020',)</t>
        </is>
      </c>
    </row>
    <row r="56">
      <c r="A56" s="9" t="inlineStr">
        <is>
          <t>1000.0000.2120.51010.020</t>
        </is>
      </c>
      <c r="B56" s="9" t="inlineStr">
        <is>
          <t>Guidance Salaries</t>
        </is>
      </c>
      <c r="C56" s="27" t="n">
        <v>68116</v>
      </c>
      <c r="D56" s="27" t="n">
        <v>55540.83</v>
      </c>
      <c r="E56" s="27" t="n">
        <v>77292</v>
      </c>
      <c r="F56" s="27" t="n">
        <v>58967.74</v>
      </c>
      <c r="G56" s="27" t="n">
        <v>81173</v>
      </c>
      <c r="H56" s="27">
        <f>G56-F56</f>
        <v/>
      </c>
      <c r="I56" s="11">
        <f>IF(F56=0,0,G56/F56-1)</f>
        <v/>
      </c>
    </row>
    <row r="57">
      <c r="A57" s="9" t="inlineStr">
        <is>
          <t>1000.0000.2120.52010.020</t>
        </is>
      </c>
      <c r="B57" s="9" t="inlineStr">
        <is>
          <t>Benefits</t>
        </is>
      </c>
      <c r="C57" s="27" t="n">
        <v>29381</v>
      </c>
      <c r="D57" s="27" t="n">
        <v>20488.88</v>
      </c>
      <c r="E57" s="27" t="n">
        <v>25321</v>
      </c>
      <c r="F57" s="27" t="n">
        <v>21223.51</v>
      </c>
      <c r="G57" s="27" t="n">
        <v>26215</v>
      </c>
      <c r="H57" s="27">
        <f>G57-F57</f>
        <v/>
      </c>
      <c r="I57" s="11">
        <f>IF(F57=0,0,G57/F57-1)</f>
        <v/>
      </c>
    </row>
    <row r="58">
      <c r="A58" s="9" t="inlineStr">
        <is>
          <t>1000.0000.2120.52310.020</t>
        </is>
      </c>
      <c r="B58" s="9" t="inlineStr">
        <is>
          <t>Retirement</t>
        </is>
      </c>
      <c r="C58" s="27" t="n">
        <v>2704</v>
      </c>
      <c r="D58" s="27" t="n">
        <v>2266.66</v>
      </c>
      <c r="E58" s="27" t="n">
        <v>3215</v>
      </c>
      <c r="F58" s="27" t="n">
        <v>2500.64</v>
      </c>
      <c r="G58" s="27" t="n">
        <v>3377</v>
      </c>
      <c r="H58" s="27">
        <f>G58-F58</f>
        <v/>
      </c>
      <c r="I58" s="11">
        <f>IF(F58=0,0,G58/F58-1)</f>
        <v/>
      </c>
    </row>
    <row r="59">
      <c r="A59" s="9" t="inlineStr">
        <is>
          <t>1000.0000.2120.54330.020</t>
        </is>
      </c>
      <c r="B59" s="9" t="inlineStr">
        <is>
          <t>Software</t>
        </is>
      </c>
      <c r="C59" s="27" t="n">
        <v>0</v>
      </c>
      <c r="D59" s="27" t="n">
        <v>0</v>
      </c>
      <c r="E59" s="27" t="n">
        <v>0</v>
      </c>
      <c r="F59" s="27" t="n">
        <v>0</v>
      </c>
      <c r="G59" s="27" t="n">
        <v>334</v>
      </c>
      <c r="H59" s="27">
        <f>G59-F59</f>
        <v/>
      </c>
      <c r="I59" s="11">
        <f>IF(F59=0,0,G59/F59-1)</f>
        <v/>
      </c>
    </row>
    <row r="60">
      <c r="A60" s="9" t="inlineStr">
        <is>
          <t>1000.0000.2120.56100.020</t>
        </is>
      </c>
      <c r="B60" s="9" t="inlineStr">
        <is>
          <t>Supplies</t>
        </is>
      </c>
      <c r="C60" s="27" t="n">
        <v>339</v>
      </c>
      <c r="D60" s="27" t="n">
        <v>289.87</v>
      </c>
      <c r="E60" s="27" t="n">
        <v>339</v>
      </c>
      <c r="F60" s="27" t="n">
        <v>216.06</v>
      </c>
      <c r="G60" s="27" t="n">
        <v>339</v>
      </c>
      <c r="H60" s="27">
        <f>G60-F60</f>
        <v/>
      </c>
      <c r="I60" s="11">
        <f>IF(F60=0,0,G60/F60-1)</f>
        <v/>
      </c>
    </row>
    <row r="61">
      <c r="A61" s="9" t="inlineStr">
        <is>
          <t>1000.0000.2120.56400.020</t>
        </is>
      </c>
      <c r="B61" s="9" t="inlineStr">
        <is>
          <t>Books</t>
        </is>
      </c>
      <c r="C61" s="27" t="n">
        <v>339</v>
      </c>
      <c r="D61" s="27" t="n">
        <v>339.02</v>
      </c>
      <c r="E61" s="27" t="n">
        <v>339</v>
      </c>
      <c r="F61" s="27" t="n">
        <v>172.9</v>
      </c>
      <c r="G61" s="27" t="n">
        <v>339</v>
      </c>
      <c r="H61" s="27">
        <f>G61-F61</f>
        <v/>
      </c>
      <c r="I61" s="11">
        <f>IF(F61=0,0,G61/F61-1)</f>
        <v/>
      </c>
    </row>
    <row r="62">
      <c r="A62" s="9" t="inlineStr">
        <is>
          <t>1000.0000.2120.57300.020</t>
        </is>
      </c>
      <c r="B62" s="9" t="inlineStr">
        <is>
          <t>Equipment</t>
        </is>
      </c>
      <c r="C62" s="27" t="n">
        <v>0</v>
      </c>
      <c r="D62" s="27" t="n">
        <v>0</v>
      </c>
      <c r="E62" s="27" t="n">
        <v>0</v>
      </c>
      <c r="F62" s="27" t="n">
        <v>0</v>
      </c>
      <c r="G62" s="27" t="n">
        <v>500</v>
      </c>
      <c r="H62" s="27">
        <f>G62-F62</f>
        <v/>
      </c>
      <c r="I62" s="11">
        <f>IF(F62=0,0,G62/F62-1)</f>
        <v/>
      </c>
    </row>
    <row r="63">
      <c r="A63" s="17" t="n"/>
      <c r="B63" s="31" t="inlineStr">
        <is>
          <t>Program 0000 Total</t>
        </is>
      </c>
      <c r="C63" s="32">
        <f>SUM(C56:C62)</f>
        <v/>
      </c>
      <c r="D63" s="32">
        <f>SUM(D56:D62)</f>
        <v/>
      </c>
      <c r="E63" s="32">
        <f>SUM(E56:E62)</f>
        <v/>
      </c>
      <c r="F63" s="32">
        <f>SUM(F56:F62)</f>
        <v/>
      </c>
      <c r="G63" s="32">
        <f>SUM(G56:G62)</f>
        <v/>
      </c>
      <c r="H63" s="32">
        <f>SUM(H56:H62)</f>
        <v/>
      </c>
      <c r="I63" s="32">
        <f>SUM(I56:I62)</f>
        <v/>
      </c>
    </row>
    <row r="64">
      <c r="A64" s="9" t="inlineStr">
        <is>
          <t>1000.0000.2130.51010.020</t>
        </is>
      </c>
      <c r="B64" s="9" t="inlineStr">
        <is>
          <t>Nurse Salary</t>
        </is>
      </c>
      <c r="C64" s="27" t="n">
        <v>61314</v>
      </c>
      <c r="D64" s="27" t="n">
        <v>62176.41</v>
      </c>
      <c r="E64" s="27" t="n">
        <v>67165</v>
      </c>
      <c r="F64" s="27" t="n">
        <v>64978.68</v>
      </c>
      <c r="G64" s="27" t="n">
        <v>67958</v>
      </c>
      <c r="H64" s="27">
        <f>G64-F64</f>
        <v/>
      </c>
      <c r="I64" s="11">
        <f>IF(F64=0,0,G64/F64-1)</f>
        <v/>
      </c>
    </row>
    <row r="65">
      <c r="A65" s="9" t="inlineStr">
        <is>
          <t>1000.0000.2130.52010.020</t>
        </is>
      </c>
      <c r="B65" s="9" t="inlineStr">
        <is>
          <t>Nurse Benefits</t>
        </is>
      </c>
      <c r="C65" s="27" t="n">
        <v>8651</v>
      </c>
      <c r="D65" s="27" t="n">
        <v>3942.45</v>
      </c>
      <c r="E65" s="27" t="n">
        <v>4944</v>
      </c>
      <c r="F65" s="27" t="n">
        <v>4785.19</v>
      </c>
      <c r="G65" s="27" t="n">
        <v>5540</v>
      </c>
      <c r="H65" s="27">
        <f>G65-F65</f>
        <v/>
      </c>
      <c r="I65" s="11">
        <f>IF(F65=0,0,G65/F65-1)</f>
        <v/>
      </c>
    </row>
    <row r="66">
      <c r="A66" s="9" t="inlineStr">
        <is>
          <t>1000.0000.2130.52310.020</t>
        </is>
      </c>
      <c r="B66" s="9" t="inlineStr">
        <is>
          <t>Retirement</t>
        </is>
      </c>
      <c r="C66" s="27" t="n">
        <v>2434</v>
      </c>
      <c r="D66" s="27" t="n">
        <v>2486.59</v>
      </c>
      <c r="E66" s="27" t="n">
        <v>2794</v>
      </c>
      <c r="F66" s="27" t="n">
        <v>2748.54</v>
      </c>
      <c r="G66" s="27" t="n">
        <v>2827</v>
      </c>
      <c r="H66" s="27">
        <f>G66-F66</f>
        <v/>
      </c>
      <c r="I66" s="11">
        <f>IF(F66=0,0,G66/F66-1)</f>
        <v/>
      </c>
    </row>
    <row r="67">
      <c r="A67" s="9" t="inlineStr">
        <is>
          <t>1000.0000.2130.53000.020</t>
        </is>
      </c>
      <c r="B67" s="9" t="inlineStr">
        <is>
          <t>Purchased Professional</t>
        </is>
      </c>
      <c r="C67" s="27" t="n">
        <v>200</v>
      </c>
      <c r="D67" s="27" t="n">
        <v>149.99</v>
      </c>
      <c r="E67" s="27" t="n">
        <v>200</v>
      </c>
      <c r="F67" s="27" t="n">
        <v>125</v>
      </c>
      <c r="G67" s="27" t="n">
        <v>200</v>
      </c>
      <c r="H67" s="27">
        <f>G67-F67</f>
        <v/>
      </c>
      <c r="I67" s="11">
        <f>IF(F67=0,0,G67/F67-1)</f>
        <v/>
      </c>
    </row>
    <row r="68">
      <c r="A68" s="9" t="inlineStr">
        <is>
          <t>1000.0000.2130.54310.020</t>
        </is>
      </c>
      <c r="B68" s="9" t="inlineStr">
        <is>
          <t>Repairs &amp; Maintenance</t>
        </is>
      </c>
      <c r="C68" s="27" t="n">
        <v>135</v>
      </c>
      <c r="D68" s="27" t="n">
        <v>0</v>
      </c>
      <c r="E68" s="27" t="n">
        <v>135</v>
      </c>
      <c r="F68" s="27" t="n">
        <v>65</v>
      </c>
      <c r="G68" s="27" t="n">
        <v>135</v>
      </c>
      <c r="H68" s="27">
        <f>G68-F68</f>
        <v/>
      </c>
      <c r="I68" s="11">
        <f>IF(F68=0,0,G68/F68-1)</f>
        <v/>
      </c>
    </row>
    <row r="69">
      <c r="A69" s="9" t="inlineStr">
        <is>
          <t>1000.0000.2130.56000.020</t>
        </is>
      </c>
      <c r="B69" s="9" t="inlineStr">
        <is>
          <t>Supplies</t>
        </is>
      </c>
      <c r="C69" s="27" t="n">
        <v>705</v>
      </c>
      <c r="D69" s="27" t="n">
        <v>700.42</v>
      </c>
      <c r="E69" s="27" t="n">
        <v>799</v>
      </c>
      <c r="F69" s="27" t="n">
        <v>765.03</v>
      </c>
      <c r="G69" s="27" t="n">
        <v>841</v>
      </c>
      <c r="H69" s="27">
        <f>G69-F69</f>
        <v/>
      </c>
      <c r="I69" s="11">
        <f>IF(F69=0,0,G69/F69-1)</f>
        <v/>
      </c>
    </row>
    <row r="70">
      <c r="A70" s="17" t="n"/>
      <c r="B70" s="31" t="inlineStr">
        <is>
          <t>Program 0000 Total</t>
        </is>
      </c>
      <c r="C70" s="32">
        <f>SUM(C64:C69)</f>
        <v/>
      </c>
      <c r="D70" s="32">
        <f>SUM(D64:D69)</f>
        <v/>
      </c>
      <c r="E70" s="32">
        <f>SUM(E64:E69)</f>
        <v/>
      </c>
      <c r="F70" s="32">
        <f>SUM(F64:F69)</f>
        <v/>
      </c>
      <c r="G70" s="32">
        <f>SUM(G64:G69)</f>
        <v/>
      </c>
      <c r="H70" s="32">
        <f>SUM(H64:H69)</f>
        <v/>
      </c>
      <c r="I70" s="32">
        <f>SUM(I64:I69)</f>
        <v/>
      </c>
    </row>
    <row r="71">
      <c r="A71" s="9" t="inlineStr">
        <is>
          <t>1000.0000.2213.51500.020</t>
        </is>
      </c>
      <c r="B71" s="9" t="inlineStr">
        <is>
          <t>Stipends - MSS</t>
        </is>
      </c>
      <c r="C71" s="27" t="n">
        <v>0</v>
      </c>
      <c r="D71" s="27" t="n">
        <v>0</v>
      </c>
      <c r="E71" s="27" t="n">
        <v>0</v>
      </c>
      <c r="F71" s="27" t="n">
        <v>0</v>
      </c>
      <c r="G71" s="27" t="n">
        <v>0</v>
      </c>
      <c r="H71" s="27">
        <f>G71-F71</f>
        <v/>
      </c>
      <c r="I71" s="11">
        <f>IF(F71=0,0,G71/F71-1)</f>
        <v/>
      </c>
    </row>
    <row r="72">
      <c r="A72" s="9" t="inlineStr">
        <is>
          <t>1000.0000.2213.52000.020</t>
        </is>
      </c>
      <c r="B72" s="9" t="inlineStr">
        <is>
          <t>Stipend Benefits - MSS</t>
        </is>
      </c>
      <c r="C72" s="27" t="n">
        <v>0</v>
      </c>
      <c r="D72" s="27" t="n">
        <v>0</v>
      </c>
      <c r="E72" s="27" t="n">
        <v>0</v>
      </c>
      <c r="F72" s="27" t="n">
        <v>0</v>
      </c>
      <c r="G72" s="27" t="n">
        <v>0</v>
      </c>
      <c r="H72" s="27">
        <f>G72-F72</f>
        <v/>
      </c>
      <c r="I72" s="11">
        <f>IF(F72=0,0,G72/F72-1)</f>
        <v/>
      </c>
    </row>
    <row r="73">
      <c r="A73" s="9" t="inlineStr">
        <is>
          <t>1000.0000.2213.52300.020</t>
        </is>
      </c>
      <c r="B73" s="9" t="inlineStr">
        <is>
          <t>Stipend Retirement - MSS</t>
        </is>
      </c>
      <c r="C73" s="27" t="n">
        <v>0</v>
      </c>
      <c r="D73" s="27" t="n">
        <v>0</v>
      </c>
      <c r="E73" s="27" t="n">
        <v>0</v>
      </c>
      <c r="F73" s="27" t="n">
        <v>0</v>
      </c>
      <c r="G73" s="27" t="n">
        <v>0</v>
      </c>
      <c r="H73" s="27">
        <f>G73-F73</f>
        <v/>
      </c>
      <c r="I73" s="11">
        <f>IF(F73=0,0,G73/F73-1)</f>
        <v/>
      </c>
    </row>
    <row r="74">
      <c r="A74" s="9" t="inlineStr">
        <is>
          <t>1000.0000.2213.55810.020</t>
        </is>
      </c>
      <c r="B74" s="9" t="inlineStr">
        <is>
          <t>Travel</t>
        </is>
      </c>
      <c r="C74" s="27" t="n">
        <v>0</v>
      </c>
      <c r="D74" s="27" t="n">
        <v>0</v>
      </c>
      <c r="E74" s="27" t="n">
        <v>0</v>
      </c>
      <c r="F74" s="27" t="n">
        <v>0</v>
      </c>
      <c r="G74" s="27" t="n">
        <v>0</v>
      </c>
      <c r="H74" s="27">
        <f>G74-F74</f>
        <v/>
      </c>
      <c r="I74" s="11">
        <f>IF(F74=0,0,G74/F74-1)</f>
        <v/>
      </c>
    </row>
    <row r="75">
      <c r="A75" s="17" t="n"/>
      <c r="B75" s="31" t="inlineStr">
        <is>
          <t>Program 0000 Total</t>
        </is>
      </c>
      <c r="C75" s="32">
        <f>SUM(C71:C74)</f>
        <v/>
      </c>
      <c r="D75" s="32">
        <f>SUM(D71:D74)</f>
        <v/>
      </c>
      <c r="E75" s="32">
        <f>SUM(E71:E74)</f>
        <v/>
      </c>
      <c r="F75" s="32">
        <f>SUM(F71:F74)</f>
        <v/>
      </c>
      <c r="G75" s="32">
        <f>SUM(G71:G74)</f>
        <v/>
      </c>
      <c r="H75" s="32">
        <f>SUM(H71:H74)</f>
        <v/>
      </c>
      <c r="I75" s="32">
        <f>SUM(I71:I74)</f>
        <v/>
      </c>
    </row>
    <row r="76">
      <c r="A76" s="9" t="inlineStr">
        <is>
          <t>1000.0000.2220.51010.020</t>
        </is>
      </c>
      <c r="B76" s="9" t="inlineStr">
        <is>
          <t>Librarian Salary</t>
        </is>
      </c>
      <c r="C76" s="27" t="n">
        <v>31266</v>
      </c>
      <c r="D76" s="27" t="n">
        <v>35315.57</v>
      </c>
      <c r="E76" s="27" t="n">
        <v>36653</v>
      </c>
      <c r="F76" s="27" t="n">
        <v>36859.24</v>
      </c>
      <c r="G76" s="27" t="n">
        <v>27502</v>
      </c>
      <c r="H76" s="27">
        <f>G76-F76</f>
        <v/>
      </c>
      <c r="I76" s="11">
        <f>IF(F76=0,0,G76/F76-1)</f>
        <v/>
      </c>
    </row>
    <row r="77">
      <c r="A77" s="9" t="inlineStr">
        <is>
          <t>1000.0000.2220.51020.020</t>
        </is>
      </c>
      <c r="B77" s="9" t="inlineStr">
        <is>
          <t>Ed Tech Salaries</t>
        </is>
      </c>
      <c r="C77" s="27" t="n">
        <v>11153</v>
      </c>
      <c r="D77" s="27" t="n">
        <v>13167.31</v>
      </c>
      <c r="E77" s="27" t="n">
        <v>11720</v>
      </c>
      <c r="F77" s="27" t="n">
        <v>11807.59</v>
      </c>
      <c r="G77" s="27" t="n">
        <v>16047</v>
      </c>
      <c r="H77" s="27">
        <f>G77-F77</f>
        <v/>
      </c>
      <c r="I77" s="11">
        <f>IF(F77=0,0,G77/F77-1)</f>
        <v/>
      </c>
    </row>
    <row r="78">
      <c r="A78" s="9" t="inlineStr">
        <is>
          <t>1000.0000.2220.52010.020</t>
        </is>
      </c>
      <c r="B78" s="9" t="inlineStr">
        <is>
          <t>Librarian Benefits</t>
        </is>
      </c>
      <c r="C78" s="27" t="n">
        <v>6887</v>
      </c>
      <c r="D78" s="27" t="n">
        <v>5311.38</v>
      </c>
      <c r="E78" s="27" t="n">
        <v>5049</v>
      </c>
      <c r="F78" s="27" t="n">
        <v>5526.31</v>
      </c>
      <c r="G78" s="27" t="n">
        <v>2369</v>
      </c>
      <c r="H78" s="27">
        <f>G78-F78</f>
        <v/>
      </c>
      <c r="I78" s="11">
        <f>IF(F78=0,0,G78/F78-1)</f>
        <v/>
      </c>
    </row>
    <row r="79">
      <c r="A79" s="9" t="inlineStr">
        <is>
          <t>1000.0000.2220.52020.020</t>
        </is>
      </c>
      <c r="B79" s="9" t="inlineStr">
        <is>
          <t>Library Ed Tech Benefit</t>
        </is>
      </c>
      <c r="C79" s="27" t="n">
        <v>7975</v>
      </c>
      <c r="D79" s="27" t="n">
        <v>4196.65</v>
      </c>
      <c r="E79" s="27" t="n">
        <v>9842</v>
      </c>
      <c r="F79" s="27" t="n">
        <v>6148.35</v>
      </c>
      <c r="G79" s="27" t="n">
        <v>6958</v>
      </c>
      <c r="H79" s="27">
        <f>G79-F79</f>
        <v/>
      </c>
      <c r="I79" s="11">
        <f>IF(F79=0,0,G79/F79-1)</f>
        <v/>
      </c>
    </row>
    <row r="80">
      <c r="A80" s="9" t="inlineStr">
        <is>
          <t>1000.0000.2220.52310.020</t>
        </is>
      </c>
      <c r="B80" s="9" t="inlineStr">
        <is>
          <t>Retirement</t>
        </is>
      </c>
      <c r="C80" s="27" t="n">
        <v>1241</v>
      </c>
      <c r="D80" s="27" t="n">
        <v>1487.5</v>
      </c>
      <c r="E80" s="27" t="n">
        <v>1525</v>
      </c>
      <c r="F80" s="27" t="n">
        <v>1577.65</v>
      </c>
      <c r="G80" s="27" t="n">
        <v>1144</v>
      </c>
      <c r="H80" s="27">
        <f>G80-F80</f>
        <v/>
      </c>
      <c r="I80" s="11">
        <f>IF(F80=0,0,G80/F80-1)</f>
        <v/>
      </c>
    </row>
    <row r="81">
      <c r="A81" s="9" t="inlineStr">
        <is>
          <t>1000.0000.2220.52320.020</t>
        </is>
      </c>
      <c r="B81" s="9" t="inlineStr">
        <is>
          <t>Retirement</t>
        </is>
      </c>
      <c r="C81" s="27" t="n">
        <v>443</v>
      </c>
      <c r="D81" s="27" t="n">
        <v>522.8200000000001</v>
      </c>
      <c r="E81" s="27" t="n">
        <v>488</v>
      </c>
      <c r="F81" s="27" t="n">
        <v>491.29</v>
      </c>
      <c r="G81" s="27" t="n">
        <v>694</v>
      </c>
      <c r="H81" s="27">
        <f>G81-F81</f>
        <v/>
      </c>
      <c r="I81" s="11">
        <f>IF(F81=0,0,G81/F81-1)</f>
        <v/>
      </c>
    </row>
    <row r="82">
      <c r="A82" s="9" t="inlineStr">
        <is>
          <t>1000.0000.2220.54330.020</t>
        </is>
      </c>
      <c r="B82" s="9" t="inlineStr">
        <is>
          <t>Software</t>
        </is>
      </c>
      <c r="C82" s="27" t="n">
        <v>1100</v>
      </c>
      <c r="D82" s="27" t="n">
        <v>1042</v>
      </c>
      <c r="E82" s="27" t="n">
        <v>1043</v>
      </c>
      <c r="F82" s="27" t="n">
        <v>1042.5</v>
      </c>
      <c r="G82" s="27" t="n">
        <v>1043</v>
      </c>
      <c r="H82" s="27">
        <f>G82-F82</f>
        <v/>
      </c>
      <c r="I82" s="11">
        <f>IF(F82=0,0,G82/F82-1)</f>
        <v/>
      </c>
    </row>
    <row r="83">
      <c r="A83" s="9" t="inlineStr">
        <is>
          <t>1000.0000.2220.56000.020</t>
        </is>
      </c>
      <c r="B83" s="9" t="inlineStr">
        <is>
          <t>Supplies</t>
        </is>
      </c>
      <c r="C83" s="27" t="n">
        <v>339</v>
      </c>
      <c r="D83" s="27" t="n">
        <v>0</v>
      </c>
      <c r="E83" s="27" t="n">
        <v>339</v>
      </c>
      <c r="F83" s="27" t="n">
        <v>309.25</v>
      </c>
      <c r="G83" s="27" t="n">
        <v>0</v>
      </c>
      <c r="H83" s="27">
        <f>G83-F83</f>
        <v/>
      </c>
      <c r="I83" s="11">
        <f>IF(F83=0,0,G83/F83-1)</f>
        <v/>
      </c>
    </row>
    <row r="84">
      <c r="A84" s="9" t="inlineStr">
        <is>
          <t>1000.0000.2220.56100.020</t>
        </is>
      </c>
      <c r="B84" s="9" t="inlineStr">
        <is>
          <t>Instructional Supplies</t>
        </is>
      </c>
      <c r="C84" s="27" t="n">
        <v>0</v>
      </c>
      <c r="D84" s="27" t="n">
        <v>0</v>
      </c>
      <c r="E84" s="27" t="n">
        <v>0</v>
      </c>
      <c r="F84" s="27" t="n">
        <v>0</v>
      </c>
      <c r="G84" s="27" t="n">
        <v>339</v>
      </c>
      <c r="H84" s="27">
        <f>G84-F84</f>
        <v/>
      </c>
      <c r="I84" s="11">
        <f>IF(F84=0,0,G84/F84-1)</f>
        <v/>
      </c>
    </row>
    <row r="85">
      <c r="A85" s="9" t="inlineStr">
        <is>
          <t>1000.0000.2220.56400.020</t>
        </is>
      </c>
      <c r="B85" s="9" t="inlineStr">
        <is>
          <t>Books</t>
        </is>
      </c>
      <c r="C85" s="27" t="n">
        <v>5535</v>
      </c>
      <c r="D85" s="27" t="n">
        <v>5499.79</v>
      </c>
      <c r="E85" s="27" t="n">
        <v>6273</v>
      </c>
      <c r="F85" s="27" t="n">
        <v>6165.95</v>
      </c>
      <c r="G85" s="27" t="n">
        <v>6581</v>
      </c>
      <c r="H85" s="27">
        <f>G85-F85</f>
        <v/>
      </c>
      <c r="I85" s="11">
        <f>IF(F85=0,0,G85/F85-1)</f>
        <v/>
      </c>
    </row>
    <row r="86">
      <c r="A86" s="17" t="n"/>
      <c r="B86" s="31" t="inlineStr">
        <is>
          <t>Program 0000 Total</t>
        </is>
      </c>
      <c r="C86" s="32">
        <f>SUM(C76:C85)</f>
        <v/>
      </c>
      <c r="D86" s="32">
        <f>SUM(D76:D85)</f>
        <v/>
      </c>
      <c r="E86" s="32">
        <f>SUM(E76:E85)</f>
        <v/>
      </c>
      <c r="F86" s="32">
        <f>SUM(F76:F85)</f>
        <v/>
      </c>
      <c r="G86" s="32">
        <f>SUM(G76:G85)</f>
        <v/>
      </c>
      <c r="H86" s="32">
        <f>SUM(H76:H85)</f>
        <v/>
      </c>
      <c r="I86" s="32">
        <f>SUM(I76:I85)</f>
        <v/>
      </c>
    </row>
    <row r="87">
      <c r="A87" s="9" t="inlineStr">
        <is>
          <t>1000.0000.2230.51010.020</t>
        </is>
      </c>
      <c r="B87" s="9" t="inlineStr">
        <is>
          <t>Teacher Salaries</t>
        </is>
      </c>
      <c r="C87" s="27" t="n">
        <v>33197</v>
      </c>
      <c r="D87" s="27" t="n">
        <v>35164.71</v>
      </c>
      <c r="E87" s="27" t="n">
        <v>36649</v>
      </c>
      <c r="F87" s="27" t="n">
        <v>36648.56</v>
      </c>
      <c r="G87" s="27" t="n">
        <v>0</v>
      </c>
      <c r="H87" s="27">
        <f>G87-F87</f>
        <v/>
      </c>
      <c r="I87" s="11">
        <f>IF(F87=0,0,G87/F87-1)</f>
        <v/>
      </c>
    </row>
    <row r="88">
      <c r="A88" s="9" t="inlineStr">
        <is>
          <t>1000.0000.2230.51180.020</t>
        </is>
      </c>
      <c r="B88" s="9" t="inlineStr">
        <is>
          <t>Support Salaries</t>
        </is>
      </c>
      <c r="C88" s="27" t="n">
        <v>20504</v>
      </c>
      <c r="D88" s="27" t="n">
        <v>0</v>
      </c>
      <c r="E88" s="27" t="n">
        <v>4101</v>
      </c>
      <c r="F88" s="27" t="n">
        <v>0</v>
      </c>
      <c r="G88" s="27" t="n">
        <v>0</v>
      </c>
      <c r="H88" s="27">
        <f>G88-F88</f>
        <v/>
      </c>
      <c r="I88" s="11">
        <f>IF(F88=0,0,G88/F88-1)</f>
        <v/>
      </c>
    </row>
    <row r="89">
      <c r="A89" s="9" t="inlineStr">
        <is>
          <t>1000.0000.2230.52010.020</t>
        </is>
      </c>
      <c r="B89" s="9" t="inlineStr">
        <is>
          <t>Teacher Benefits</t>
        </is>
      </c>
      <c r="C89" s="27" t="n">
        <v>9940</v>
      </c>
      <c r="D89" s="27" t="n">
        <v>7866.42</v>
      </c>
      <c r="E89" s="27" t="n">
        <v>7940</v>
      </c>
      <c r="F89" s="27" t="n">
        <v>7852.9</v>
      </c>
      <c r="G89" s="27" t="n">
        <v>0</v>
      </c>
      <c r="H89" s="27">
        <f>G89-F89</f>
        <v/>
      </c>
      <c r="I89" s="11">
        <f>IF(F89=0,0,G89/F89-1)</f>
        <v/>
      </c>
    </row>
    <row r="90">
      <c r="A90" s="9" t="inlineStr">
        <is>
          <t>1000.0000.2230.52080.020</t>
        </is>
      </c>
      <c r="B90" s="9" t="inlineStr">
        <is>
          <t>Support Benefits</t>
        </is>
      </c>
      <c r="C90" s="27" t="n">
        <v>7806</v>
      </c>
      <c r="D90" s="27" t="n">
        <v>0</v>
      </c>
      <c r="E90" s="27" t="n">
        <v>1429</v>
      </c>
      <c r="F90" s="27" t="n">
        <v>0</v>
      </c>
      <c r="G90" s="27" t="n">
        <v>0</v>
      </c>
      <c r="H90" s="27">
        <f>G90-F90</f>
        <v/>
      </c>
      <c r="I90" s="11">
        <f>IF(F90=0,0,G90/F90-1)</f>
        <v/>
      </c>
    </row>
    <row r="91">
      <c r="A91" s="9" t="inlineStr">
        <is>
          <t>1000.0000.2230.52310.020</t>
        </is>
      </c>
      <c r="B91" s="9" t="inlineStr">
        <is>
          <t>Retirement</t>
        </is>
      </c>
      <c r="C91" s="27" t="n">
        <v>1318</v>
      </c>
      <c r="D91" s="27" t="n">
        <v>1441.06</v>
      </c>
      <c r="E91" s="27" t="n">
        <v>1525</v>
      </c>
      <c r="F91" s="27" t="n">
        <v>1560.9</v>
      </c>
      <c r="G91" s="27" t="n">
        <v>0</v>
      </c>
      <c r="H91" s="27">
        <f>G91-F91</f>
        <v/>
      </c>
      <c r="I91" s="11">
        <f>IF(F91=0,0,G91/F91-1)</f>
        <v/>
      </c>
    </row>
    <row r="92">
      <c r="A92" s="9" t="inlineStr">
        <is>
          <t>1000.0000.2230.54320.020</t>
        </is>
      </c>
      <c r="B92" s="9" t="inlineStr">
        <is>
          <t>Tech Repairs/Maint</t>
        </is>
      </c>
      <c r="C92" s="27" t="n">
        <v>1688</v>
      </c>
      <c r="D92" s="27" t="n">
        <v>1211</v>
      </c>
      <c r="E92" s="27" t="n">
        <v>1740</v>
      </c>
      <c r="F92" s="27" t="n">
        <v>0</v>
      </c>
      <c r="G92" s="27" t="n">
        <v>0</v>
      </c>
      <c r="H92" s="27">
        <f>G92-F92</f>
        <v/>
      </c>
      <c r="I92" s="11">
        <f>IF(F92=0,0,G92/F92-1)</f>
        <v/>
      </c>
    </row>
    <row r="93">
      <c r="A93" s="9" t="inlineStr">
        <is>
          <t>1000.0000.2230.54330.020</t>
        </is>
      </c>
      <c r="B93" s="9" t="inlineStr">
        <is>
          <t>Software</t>
        </is>
      </c>
      <c r="C93" s="27" t="n">
        <v>200</v>
      </c>
      <c r="D93" s="27" t="n">
        <v>0</v>
      </c>
      <c r="E93" s="27" t="n">
        <v>200</v>
      </c>
      <c r="F93" s="27" t="n">
        <v>0</v>
      </c>
      <c r="G93" s="27" t="n">
        <v>0</v>
      </c>
      <c r="H93" s="27">
        <f>G93-F93</f>
        <v/>
      </c>
      <c r="I93" s="11">
        <f>IF(F93=0,0,G93/F93-1)</f>
        <v/>
      </c>
    </row>
    <row r="94">
      <c r="A94" s="9" t="inlineStr">
        <is>
          <t>1000.0000.2230.55000.020</t>
        </is>
      </c>
      <c r="B94" s="9" t="inlineStr">
        <is>
          <t>Other Purchased Services</t>
        </is>
      </c>
      <c r="C94" s="27" t="n">
        <v>300</v>
      </c>
      <c r="D94" s="27" t="n">
        <v>0</v>
      </c>
      <c r="E94" s="27" t="n">
        <v>0</v>
      </c>
      <c r="F94" s="27" t="n">
        <v>0</v>
      </c>
      <c r="G94" s="27" t="n">
        <v>300</v>
      </c>
      <c r="H94" s="27">
        <f>G94-F94</f>
        <v/>
      </c>
      <c r="I94" s="11">
        <f>IF(F94=0,0,G94/F94-1)</f>
        <v/>
      </c>
    </row>
    <row r="95">
      <c r="A95" s="9" t="inlineStr">
        <is>
          <t>1000.0000.2230.56500.020</t>
        </is>
      </c>
      <c r="B95" s="9" t="inlineStr">
        <is>
          <t>Supplies</t>
        </is>
      </c>
      <c r="C95" s="27" t="n">
        <v>700</v>
      </c>
      <c r="D95" s="27" t="n">
        <v>300</v>
      </c>
      <c r="E95" s="27" t="n">
        <v>700</v>
      </c>
      <c r="F95" s="27" t="n">
        <v>0</v>
      </c>
      <c r="G95" s="27" t="n">
        <v>0</v>
      </c>
      <c r="H95" s="27">
        <f>G95-F95</f>
        <v/>
      </c>
      <c r="I95" s="11">
        <f>IF(F95=0,0,G95/F95-1)</f>
        <v/>
      </c>
    </row>
    <row r="96">
      <c r="A96" s="17" t="n"/>
      <c r="B96" s="31" t="inlineStr">
        <is>
          <t>Program 0000 Total</t>
        </is>
      </c>
      <c r="C96" s="32">
        <f>SUM(C87:C95)</f>
        <v/>
      </c>
      <c r="D96" s="32">
        <f>SUM(D87:D95)</f>
        <v/>
      </c>
      <c r="E96" s="32">
        <f>SUM(E87:E95)</f>
        <v/>
      </c>
      <c r="F96" s="32">
        <f>SUM(F87:F95)</f>
        <v/>
      </c>
      <c r="G96" s="32">
        <f>SUM(G87:G95)</f>
        <v/>
      </c>
      <c r="H96" s="32">
        <f>SUM(H87:H95)</f>
        <v/>
      </c>
      <c r="I96" s="32">
        <f>SUM(I87:I95)</f>
        <v/>
      </c>
    </row>
    <row r="97">
      <c r="A97" s="17" t="n"/>
      <c r="B97" s="20" t="inlineStr">
        <is>
          <t>Cost Center ('020',) Total</t>
        </is>
      </c>
      <c r="C97" s="35">
        <f>C63+C70+C75+C86+C96</f>
        <v/>
      </c>
      <c r="D97" s="35">
        <f>D63+D70+D75+D86+D96</f>
        <v/>
      </c>
      <c r="E97" s="35">
        <f>E63+E70+E75+E86+E96</f>
        <v/>
      </c>
      <c r="F97" s="35">
        <f>F63+F70+F75+F86+F96</f>
        <v/>
      </c>
      <c r="G97" s="35">
        <f>G63+G70+G75+G86+G96</f>
        <v/>
      </c>
      <c r="H97" s="35">
        <f>H63+H70+H75+H86+H96</f>
        <v/>
      </c>
      <c r="I97" s="35">
        <f>I63+I70+I75+I86+I96</f>
        <v/>
      </c>
    </row>
    <row r="99">
      <c r="A99" s="3" t="inlineStr">
        <is>
          <t>Cost Center: ('030',)</t>
        </is>
      </c>
    </row>
    <row r="100">
      <c r="A100" s="9" t="inlineStr">
        <is>
          <t>1000.0000.2120.51010.030</t>
        </is>
      </c>
      <c r="B100" s="9" t="inlineStr">
        <is>
          <t>Guidance Salaries</t>
        </is>
      </c>
      <c r="C100" s="27" t="n">
        <v>29024</v>
      </c>
      <c r="D100" s="27" t="n">
        <v>31623.67</v>
      </c>
      <c r="E100" s="27" t="n">
        <v>32998</v>
      </c>
      <c r="F100" s="27" t="n">
        <v>34122.64</v>
      </c>
      <c r="G100" s="27" t="n">
        <v>34001</v>
      </c>
      <c r="H100" s="27">
        <f>G100-F100</f>
        <v/>
      </c>
      <c r="I100" s="11">
        <f>IF(F100=0,0,G100/F100-1)</f>
        <v/>
      </c>
    </row>
    <row r="101">
      <c r="A101" s="9" t="inlineStr">
        <is>
          <t>1000.0000.2120.52010.030</t>
        </is>
      </c>
      <c r="B101" s="9" t="inlineStr">
        <is>
          <t>Benefits</t>
        </is>
      </c>
      <c r="C101" s="27" t="n">
        <v>5938</v>
      </c>
      <c r="D101" s="27" t="n">
        <v>795.23</v>
      </c>
      <c r="E101" s="27" t="n">
        <v>2459</v>
      </c>
      <c r="F101" s="27" t="n">
        <v>3291.63</v>
      </c>
      <c r="G101" s="27" t="n">
        <v>2415</v>
      </c>
      <c r="H101" s="27">
        <f>G101-F101</f>
        <v/>
      </c>
      <c r="I101" s="11">
        <f>IF(F101=0,0,G101/F101-1)</f>
        <v/>
      </c>
    </row>
    <row r="102">
      <c r="A102" s="9" t="inlineStr">
        <is>
          <t>1000.0000.2120.52310.030</t>
        </is>
      </c>
      <c r="B102" s="9" t="inlineStr">
        <is>
          <t>Retirement</t>
        </is>
      </c>
      <c r="C102" s="27" t="n">
        <v>1152</v>
      </c>
      <c r="D102" s="27" t="n">
        <v>1490.28</v>
      </c>
      <c r="E102" s="27" t="n">
        <v>1373</v>
      </c>
      <c r="F102" s="27" t="n">
        <v>20712.24</v>
      </c>
      <c r="G102" s="27" t="n">
        <v>1414</v>
      </c>
      <c r="H102" s="27">
        <f>G102-F102</f>
        <v/>
      </c>
      <c r="I102" s="11">
        <f>IF(F102=0,0,G102/F102-1)</f>
        <v/>
      </c>
    </row>
    <row r="103">
      <c r="A103" s="9" t="inlineStr">
        <is>
          <t>1000.0000.2120.54330.030</t>
        </is>
      </c>
      <c r="B103" s="9" t="inlineStr">
        <is>
          <t>Software</t>
        </is>
      </c>
      <c r="C103" s="27" t="n">
        <v>0</v>
      </c>
      <c r="D103" s="27" t="n">
        <v>0</v>
      </c>
      <c r="E103" s="27" t="n">
        <v>0</v>
      </c>
      <c r="F103" s="27" t="n">
        <v>0</v>
      </c>
      <c r="G103" s="27" t="n">
        <v>334</v>
      </c>
      <c r="H103" s="27">
        <f>G103-F103</f>
        <v/>
      </c>
      <c r="I103" s="11">
        <f>IF(F103=0,0,G103/F103-1)</f>
        <v/>
      </c>
    </row>
    <row r="104">
      <c r="A104" s="9" t="inlineStr">
        <is>
          <t>1000.0000.2120.56100.030</t>
        </is>
      </c>
      <c r="B104" s="9" t="inlineStr">
        <is>
          <t>Supplies</t>
        </is>
      </c>
      <c r="C104" s="27" t="n">
        <v>339</v>
      </c>
      <c r="D104" s="27" t="n">
        <v>14</v>
      </c>
      <c r="E104" s="27" t="n">
        <v>339</v>
      </c>
      <c r="F104" s="27" t="n">
        <v>0</v>
      </c>
      <c r="G104" s="27" t="n">
        <v>339</v>
      </c>
      <c r="H104" s="27">
        <f>G104-F104</f>
        <v/>
      </c>
      <c r="I104" s="11">
        <f>IF(F104=0,0,G104/F104-1)</f>
        <v/>
      </c>
    </row>
    <row r="105">
      <c r="A105" s="9" t="inlineStr">
        <is>
          <t>1000.0000.2120.56400.030</t>
        </is>
      </c>
      <c r="B105" s="9" t="inlineStr">
        <is>
          <t>Books</t>
        </is>
      </c>
      <c r="C105" s="27" t="n">
        <v>150</v>
      </c>
      <c r="D105" s="27" t="n">
        <v>0</v>
      </c>
      <c r="E105" s="27" t="n">
        <v>150</v>
      </c>
      <c r="F105" s="27" t="n">
        <v>0</v>
      </c>
      <c r="G105" s="27" t="n">
        <v>150</v>
      </c>
      <c r="H105" s="27">
        <f>G105-F105</f>
        <v/>
      </c>
      <c r="I105" s="11">
        <f>IF(F105=0,0,G105/F105-1)</f>
        <v/>
      </c>
    </row>
    <row r="106">
      <c r="A106" s="9" t="inlineStr">
        <is>
          <t>1000.0000.2120.57300.030</t>
        </is>
      </c>
      <c r="B106" s="9" t="inlineStr">
        <is>
          <t>Equipment</t>
        </is>
      </c>
      <c r="C106" s="27" t="n">
        <v>0</v>
      </c>
      <c r="D106" s="27" t="n">
        <v>0</v>
      </c>
      <c r="E106" s="27" t="n">
        <v>0</v>
      </c>
      <c r="F106" s="27" t="n">
        <v>0</v>
      </c>
      <c r="G106" s="27" t="n">
        <v>500</v>
      </c>
      <c r="H106" s="27">
        <f>G106-F106</f>
        <v/>
      </c>
      <c r="I106" s="11">
        <f>IF(F106=0,0,G106/F106-1)</f>
        <v/>
      </c>
    </row>
    <row r="107">
      <c r="A107" s="17" t="n"/>
      <c r="B107" s="31" t="inlineStr">
        <is>
          <t>Program 0000 Total</t>
        </is>
      </c>
      <c r="C107" s="32">
        <f>SUM(C100:C106)</f>
        <v/>
      </c>
      <c r="D107" s="32">
        <f>SUM(D100:D106)</f>
        <v/>
      </c>
      <c r="E107" s="32">
        <f>SUM(E100:E106)</f>
        <v/>
      </c>
      <c r="F107" s="32">
        <f>SUM(F100:F106)</f>
        <v/>
      </c>
      <c r="G107" s="32">
        <f>SUM(G100:G106)</f>
        <v/>
      </c>
      <c r="H107" s="32">
        <f>SUM(H100:H106)</f>
        <v/>
      </c>
      <c r="I107" s="32">
        <f>SUM(I100:I106)</f>
        <v/>
      </c>
    </row>
    <row r="108">
      <c r="A108" s="9" t="inlineStr">
        <is>
          <t>1000.0000.2130.51010.030</t>
        </is>
      </c>
      <c r="B108" s="9" t="inlineStr">
        <is>
          <t>Nurse Salary</t>
        </is>
      </c>
      <c r="C108" s="27" t="n">
        <v>49051</v>
      </c>
      <c r="D108" s="27" t="n">
        <v>34140.36</v>
      </c>
      <c r="E108" s="27" t="n">
        <v>52171</v>
      </c>
      <c r="F108" s="27" t="n">
        <v>51907.94</v>
      </c>
      <c r="G108" s="27" t="n">
        <v>54082</v>
      </c>
      <c r="H108" s="27">
        <f>G108-F108</f>
        <v/>
      </c>
      <c r="I108" s="11">
        <f>IF(F108=0,0,G108/F108-1)</f>
        <v/>
      </c>
    </row>
    <row r="109">
      <c r="A109" s="9" t="inlineStr">
        <is>
          <t>1000.0000.2130.52010.030</t>
        </is>
      </c>
      <c r="B109" s="9" t="inlineStr">
        <is>
          <t>Nurse Benefits</t>
        </is>
      </c>
      <c r="C109" s="27" t="n">
        <v>19804</v>
      </c>
      <c r="D109" s="27" t="n">
        <v>9995.52</v>
      </c>
      <c r="E109" s="27" t="n">
        <v>17188</v>
      </c>
      <c r="F109" s="27" t="n">
        <v>16953.5</v>
      </c>
      <c r="G109" s="27" t="n">
        <v>8274</v>
      </c>
      <c r="H109" s="27">
        <f>G109-F109</f>
        <v/>
      </c>
      <c r="I109" s="11">
        <f>IF(F109=0,0,G109/F109-1)</f>
        <v/>
      </c>
    </row>
    <row r="110">
      <c r="A110" s="9" t="inlineStr">
        <is>
          <t>1000.0000.2130.52310.030</t>
        </is>
      </c>
      <c r="B110" s="9" t="inlineStr">
        <is>
          <t>Retirement</t>
        </is>
      </c>
      <c r="C110" s="27" t="n">
        <v>1947</v>
      </c>
      <c r="D110" s="27" t="n">
        <v>1355.33</v>
      </c>
      <c r="E110" s="27" t="n">
        <v>2170</v>
      </c>
      <c r="F110" s="27" t="n">
        <v>0</v>
      </c>
      <c r="G110" s="27" t="n">
        <v>2250</v>
      </c>
      <c r="H110" s="27">
        <f>G110-F110</f>
        <v/>
      </c>
      <c r="I110" s="11">
        <f>IF(F110=0,0,G110/F110-1)</f>
        <v/>
      </c>
    </row>
    <row r="111">
      <c r="A111" s="9" t="inlineStr">
        <is>
          <t>1000.0000.2130.53000.030</t>
        </is>
      </c>
      <c r="B111" s="9" t="inlineStr">
        <is>
          <t>Purchased Professional</t>
        </is>
      </c>
      <c r="C111" s="27" t="n">
        <v>200</v>
      </c>
      <c r="D111" s="27" t="n">
        <v>45</v>
      </c>
      <c r="E111" s="27" t="n">
        <v>200</v>
      </c>
      <c r="F111" s="27" t="n">
        <v>0</v>
      </c>
      <c r="G111" s="27" t="n">
        <v>200</v>
      </c>
      <c r="H111" s="27">
        <f>G111-F111</f>
        <v/>
      </c>
      <c r="I111" s="11">
        <f>IF(F111=0,0,G111/F111-1)</f>
        <v/>
      </c>
    </row>
    <row r="112">
      <c r="A112" s="9" t="inlineStr">
        <is>
          <t>1000.0000.2130.54310.030</t>
        </is>
      </c>
      <c r="B112" s="9" t="inlineStr">
        <is>
          <t>Repairs &amp; Maintenance</t>
        </is>
      </c>
      <c r="C112" s="27" t="n">
        <v>135</v>
      </c>
      <c r="D112" s="27" t="n">
        <v>0</v>
      </c>
      <c r="E112" s="27" t="n">
        <v>135</v>
      </c>
      <c r="F112" s="27" t="n">
        <v>0</v>
      </c>
      <c r="G112" s="27" t="n">
        <v>135</v>
      </c>
      <c r="H112" s="27">
        <f>G112-F112</f>
        <v/>
      </c>
      <c r="I112" s="11">
        <f>IF(F112=0,0,G112/F112-1)</f>
        <v/>
      </c>
    </row>
    <row r="113">
      <c r="A113" s="9" t="inlineStr">
        <is>
          <t>1000.0000.2130.56000.030</t>
        </is>
      </c>
      <c r="B113" s="9" t="inlineStr">
        <is>
          <t>Supplies</t>
        </is>
      </c>
      <c r="C113" s="27" t="n">
        <v>299</v>
      </c>
      <c r="D113" s="27" t="n">
        <v>297.92</v>
      </c>
      <c r="E113" s="27" t="n">
        <v>299</v>
      </c>
      <c r="F113" s="27" t="n">
        <v>720.17</v>
      </c>
      <c r="G113" s="27" t="n">
        <v>291</v>
      </c>
      <c r="H113" s="27">
        <f>G113-F113</f>
        <v/>
      </c>
      <c r="I113" s="11">
        <f>IF(F113=0,0,G113/F113-1)</f>
        <v/>
      </c>
    </row>
    <row r="114">
      <c r="A114" s="17" t="n"/>
      <c r="B114" s="31" t="inlineStr">
        <is>
          <t>Program 0000 Total</t>
        </is>
      </c>
      <c r="C114" s="32">
        <f>SUM(C108:C113)</f>
        <v/>
      </c>
      <c r="D114" s="32">
        <f>SUM(D108:D113)</f>
        <v/>
      </c>
      <c r="E114" s="32">
        <f>SUM(E108:E113)</f>
        <v/>
      </c>
      <c r="F114" s="32">
        <f>SUM(F108:F113)</f>
        <v/>
      </c>
      <c r="G114" s="32">
        <f>SUM(G108:G113)</f>
        <v/>
      </c>
      <c r="H114" s="32">
        <f>SUM(H108:H113)</f>
        <v/>
      </c>
      <c r="I114" s="32">
        <f>SUM(I108:I113)</f>
        <v/>
      </c>
    </row>
    <row r="115">
      <c r="A115" s="9" t="inlineStr">
        <is>
          <t>1000.0000.2213.51500.030</t>
        </is>
      </c>
      <c r="B115" s="9" t="inlineStr">
        <is>
          <t>Stipends</t>
        </is>
      </c>
      <c r="C115" s="27" t="n">
        <v>0</v>
      </c>
      <c r="D115" s="27" t="n">
        <v>0</v>
      </c>
      <c r="E115" s="27" t="n">
        <v>0</v>
      </c>
      <c r="F115" s="27" t="n">
        <v>0</v>
      </c>
      <c r="G115" s="27" t="n">
        <v>0</v>
      </c>
      <c r="H115" s="27">
        <f>G115-F115</f>
        <v/>
      </c>
      <c r="I115" s="11">
        <f>IF(F115=0,0,G115/F115-1)</f>
        <v/>
      </c>
    </row>
    <row r="116">
      <c r="A116" s="9" t="inlineStr">
        <is>
          <t>1000.0000.2213.52000.030</t>
        </is>
      </c>
      <c r="B116" s="9" t="inlineStr">
        <is>
          <t>Stipend Benefits - PES</t>
        </is>
      </c>
      <c r="C116" s="27" t="n">
        <v>0</v>
      </c>
      <c r="D116" s="27" t="n">
        <v>0</v>
      </c>
      <c r="E116" s="27" t="n">
        <v>0</v>
      </c>
      <c r="F116" s="27" t="n">
        <v>0</v>
      </c>
      <c r="G116" s="27" t="n">
        <v>0</v>
      </c>
      <c r="H116" s="27">
        <f>G116-F116</f>
        <v/>
      </c>
      <c r="I116" s="11">
        <f>IF(F116=0,0,G116/F116-1)</f>
        <v/>
      </c>
    </row>
    <row r="117">
      <c r="A117" s="9" t="inlineStr">
        <is>
          <t>1000.0000.2213.52300.030</t>
        </is>
      </c>
      <c r="B117" s="9" t="inlineStr">
        <is>
          <t>Stipend Retirement - PES</t>
        </is>
      </c>
      <c r="C117" s="27" t="n">
        <v>0</v>
      </c>
      <c r="D117" s="27" t="n">
        <v>0</v>
      </c>
      <c r="E117" s="27" t="n">
        <v>0</v>
      </c>
      <c r="F117" s="27" t="n">
        <v>0</v>
      </c>
      <c r="G117" s="27" t="n">
        <v>0</v>
      </c>
      <c r="H117" s="27">
        <f>G117-F117</f>
        <v/>
      </c>
      <c r="I117" s="11">
        <f>IF(F117=0,0,G117/F117-1)</f>
        <v/>
      </c>
    </row>
    <row r="118">
      <c r="A118" s="17" t="n"/>
      <c r="B118" s="31" t="inlineStr">
        <is>
          <t>Program 0000 Total</t>
        </is>
      </c>
      <c r="C118" s="32">
        <f>SUM(C115:C117)</f>
        <v/>
      </c>
      <c r="D118" s="32">
        <f>SUM(D115:D117)</f>
        <v/>
      </c>
      <c r="E118" s="32">
        <f>SUM(E115:E117)</f>
        <v/>
      </c>
      <c r="F118" s="32">
        <f>SUM(F115:F117)</f>
        <v/>
      </c>
      <c r="G118" s="32">
        <f>SUM(G115:G117)</f>
        <v/>
      </c>
      <c r="H118" s="32">
        <f>SUM(H115:H117)</f>
        <v/>
      </c>
      <c r="I118" s="32">
        <f>SUM(I115:I117)</f>
        <v/>
      </c>
    </row>
    <row r="119">
      <c r="A119" s="9" t="inlineStr">
        <is>
          <t>1000.0000.2220.51010.030</t>
        </is>
      </c>
      <c r="B119" s="9" t="inlineStr">
        <is>
          <t>Librarian Salaries</t>
        </is>
      </c>
      <c r="C119" s="27" t="n">
        <v>23694</v>
      </c>
      <c r="D119" s="27" t="n">
        <v>25054.42</v>
      </c>
      <c r="E119" s="27" t="n">
        <v>27169</v>
      </c>
      <c r="F119" s="27" t="n">
        <v>27142.8</v>
      </c>
      <c r="G119" s="27" t="n">
        <v>28702</v>
      </c>
      <c r="H119" s="27">
        <f>G119-F119</f>
        <v/>
      </c>
      <c r="I119" s="11">
        <f>IF(F119=0,0,G119/F119-1)</f>
        <v/>
      </c>
    </row>
    <row r="120">
      <c r="A120" s="9" t="inlineStr">
        <is>
          <t>1000.0000.2220.51020.030</t>
        </is>
      </c>
      <c r="B120" s="9" t="inlineStr">
        <is>
          <t>Ed Tech Salaries</t>
        </is>
      </c>
      <c r="C120" s="27" t="n">
        <v>9917</v>
      </c>
      <c r="D120" s="27" t="n">
        <v>29544.7</v>
      </c>
      <c r="E120" s="27" t="n">
        <v>2555</v>
      </c>
      <c r="F120" s="27" t="n">
        <v>31013.51</v>
      </c>
      <c r="G120" s="27" t="n">
        <v>0</v>
      </c>
      <c r="H120" s="27">
        <f>G120-F120</f>
        <v/>
      </c>
      <c r="I120" s="11">
        <f>IF(F120=0,0,G120/F120-1)</f>
        <v/>
      </c>
    </row>
    <row r="121">
      <c r="A121" s="9" t="inlineStr">
        <is>
          <t>1000.0000.2220.52010.030</t>
        </is>
      </c>
      <c r="B121" s="9" t="inlineStr">
        <is>
          <t>Librarian Benefits</t>
        </is>
      </c>
      <c r="C121" s="27" t="n">
        <v>3740</v>
      </c>
      <c r="D121" s="27" t="n">
        <v>2673.77</v>
      </c>
      <c r="E121" s="27" t="n">
        <v>2334</v>
      </c>
      <c r="F121" s="27" t="n">
        <v>2938.83</v>
      </c>
      <c r="G121" s="27" t="n">
        <v>2396</v>
      </c>
      <c r="H121" s="27">
        <f>G121-F121</f>
        <v/>
      </c>
      <c r="I121" s="11">
        <f>IF(F121=0,0,G121/F121-1)</f>
        <v/>
      </c>
    </row>
    <row r="122">
      <c r="A122" s="9" t="inlineStr">
        <is>
          <t>1000.0000.2220.52020.030</t>
        </is>
      </c>
      <c r="B122" s="9" t="inlineStr">
        <is>
          <t>Ed Tech Benefits</t>
        </is>
      </c>
      <c r="C122" s="27" t="n">
        <v>1830</v>
      </c>
      <c r="D122" s="27" t="n">
        <v>3036.29</v>
      </c>
      <c r="E122" s="27" t="n">
        <v>463</v>
      </c>
      <c r="F122" s="27" t="n">
        <v>3149.05</v>
      </c>
      <c r="G122" s="27" t="n">
        <v>0</v>
      </c>
      <c r="H122" s="27">
        <f>G122-F122</f>
        <v/>
      </c>
      <c r="I122" s="11">
        <f>IF(F122=0,0,G122/F122-1)</f>
        <v/>
      </c>
    </row>
    <row r="123">
      <c r="A123" s="9" t="inlineStr">
        <is>
          <t>1000.0000.2220.52310.030</t>
        </is>
      </c>
      <c r="B123" s="9" t="inlineStr">
        <is>
          <t>Retirement</t>
        </is>
      </c>
      <c r="C123" s="27" t="n">
        <v>941</v>
      </c>
      <c r="D123" s="27" t="n">
        <v>1119.79</v>
      </c>
      <c r="E123" s="27" t="n">
        <v>1130</v>
      </c>
      <c r="F123" s="27" t="n">
        <v>1151.82</v>
      </c>
      <c r="G123" s="27" t="n">
        <v>1194</v>
      </c>
      <c r="H123" s="27">
        <f>G123-F123</f>
        <v/>
      </c>
      <c r="I123" s="11">
        <f>IF(F123=0,0,G123/F123-1)</f>
        <v/>
      </c>
    </row>
    <row r="124">
      <c r="A124" s="9" t="inlineStr">
        <is>
          <t>1000.0000.2220.52320.030</t>
        </is>
      </c>
      <c r="B124" s="9" t="inlineStr">
        <is>
          <t>Retirement</t>
        </is>
      </c>
      <c r="C124" s="27" t="n">
        <v>394</v>
      </c>
      <c r="D124" s="27" t="n">
        <v>1172.89</v>
      </c>
      <c r="E124" s="27" t="n">
        <v>106</v>
      </c>
      <c r="F124" s="27" t="n">
        <v>1153.77</v>
      </c>
      <c r="G124" s="27" t="n">
        <v>0</v>
      </c>
      <c r="H124" s="27">
        <f>G124-F124</f>
        <v/>
      </c>
      <c r="I124" s="11">
        <f>IF(F124=0,0,G124/F124-1)</f>
        <v/>
      </c>
    </row>
    <row r="125">
      <c r="A125" s="9" t="inlineStr">
        <is>
          <t>1000.0000.2220.54330.030</t>
        </is>
      </c>
      <c r="B125" s="9" t="inlineStr">
        <is>
          <t>Software</t>
        </is>
      </c>
      <c r="C125" s="27" t="n">
        <v>1100</v>
      </c>
      <c r="D125" s="27" t="n">
        <v>1042</v>
      </c>
      <c r="E125" s="27" t="n">
        <v>1043</v>
      </c>
      <c r="F125" s="27" t="n">
        <v>1042.5</v>
      </c>
      <c r="G125" s="27" t="n">
        <v>1043</v>
      </c>
      <c r="H125" s="27">
        <f>G125-F125</f>
        <v/>
      </c>
      <c r="I125" s="11">
        <f>IF(F125=0,0,G125/F125-1)</f>
        <v/>
      </c>
    </row>
    <row r="126">
      <c r="A126" s="9" t="inlineStr">
        <is>
          <t>1000.0000.2220.56000.030</t>
        </is>
      </c>
      <c r="B126" s="9" t="inlineStr">
        <is>
          <t>Supplies</t>
        </is>
      </c>
      <c r="C126" s="27" t="n">
        <v>373</v>
      </c>
      <c r="D126" s="27" t="n">
        <v>9.92</v>
      </c>
      <c r="E126" s="27" t="n">
        <v>339</v>
      </c>
      <c r="F126" s="27" t="n">
        <v>159.62</v>
      </c>
      <c r="G126" s="27" t="n">
        <v>0</v>
      </c>
      <c r="H126" s="27">
        <f>G126-F126</f>
        <v/>
      </c>
      <c r="I126" s="11">
        <f>IF(F126=0,0,G126/F126-1)</f>
        <v/>
      </c>
    </row>
    <row r="127">
      <c r="A127" s="9" t="inlineStr">
        <is>
          <t>1000.0000.2220.56100.030</t>
        </is>
      </c>
      <c r="B127" s="9" t="inlineStr">
        <is>
          <t>Instructional Supplies</t>
        </is>
      </c>
      <c r="C127" s="27" t="n">
        <v>0</v>
      </c>
      <c r="D127" s="27" t="n">
        <v>0</v>
      </c>
      <c r="E127" s="27" t="n">
        <v>0</v>
      </c>
      <c r="F127" s="27" t="n">
        <v>0</v>
      </c>
      <c r="G127" s="27" t="n">
        <v>339</v>
      </c>
      <c r="H127" s="27">
        <f>G127-F127</f>
        <v/>
      </c>
      <c r="I127" s="11">
        <f>IF(F127=0,0,G127/F127-1)</f>
        <v/>
      </c>
    </row>
    <row r="128">
      <c r="A128" s="9" t="inlineStr">
        <is>
          <t>1000.0000.2220.56400.030</t>
        </is>
      </c>
      <c r="B128" s="9" t="inlineStr">
        <is>
          <t>Books &amp; Periodicals</t>
        </is>
      </c>
      <c r="C128" s="27" t="n">
        <v>2337</v>
      </c>
      <c r="D128" s="27" t="n">
        <v>2315.77</v>
      </c>
      <c r="E128" s="27" t="n">
        <v>6637</v>
      </c>
      <c r="F128" s="27" t="n">
        <v>6607.35</v>
      </c>
      <c r="G128" s="27" t="n">
        <v>4276</v>
      </c>
      <c r="H128" s="27">
        <f>G128-F128</f>
        <v/>
      </c>
      <c r="I128" s="11">
        <f>IF(F128=0,0,G128/F128-1)</f>
        <v/>
      </c>
    </row>
    <row r="129">
      <c r="A129" s="17" t="n"/>
      <c r="B129" s="31" t="inlineStr">
        <is>
          <t>Program 0000 Total</t>
        </is>
      </c>
      <c r="C129" s="32">
        <f>SUM(C119:C128)</f>
        <v/>
      </c>
      <c r="D129" s="32">
        <f>SUM(D119:D128)</f>
        <v/>
      </c>
      <c r="E129" s="32">
        <f>SUM(E119:E128)</f>
        <v/>
      </c>
      <c r="F129" s="32">
        <f>SUM(F119:F128)</f>
        <v/>
      </c>
      <c r="G129" s="32">
        <f>SUM(G119:G128)</f>
        <v/>
      </c>
      <c r="H129" s="32">
        <f>SUM(H119:H128)</f>
        <v/>
      </c>
      <c r="I129" s="32">
        <f>SUM(I119:I128)</f>
        <v/>
      </c>
    </row>
    <row r="130">
      <c r="A130" s="9" t="inlineStr">
        <is>
          <t>1000.0000.2230.51010.030</t>
        </is>
      </c>
      <c r="B130" s="9" t="inlineStr">
        <is>
          <t>Teacher Salaries</t>
        </is>
      </c>
      <c r="C130" s="27" t="n">
        <v>33197</v>
      </c>
      <c r="D130" s="27" t="n">
        <v>35164.71</v>
      </c>
      <c r="E130" s="27" t="n">
        <v>36649</v>
      </c>
      <c r="F130" s="27" t="n">
        <v>36648.56</v>
      </c>
      <c r="G130" s="27" t="n">
        <v>0</v>
      </c>
      <c r="H130" s="27">
        <f>G130-F130</f>
        <v/>
      </c>
      <c r="I130" s="11">
        <f>IF(F130=0,0,G130/F130-1)</f>
        <v/>
      </c>
    </row>
    <row r="131">
      <c r="A131" s="9" t="inlineStr">
        <is>
          <t>1000.0000.2230.51180.030</t>
        </is>
      </c>
      <c r="B131" s="9" t="inlineStr">
        <is>
          <t>Support Salaries</t>
        </is>
      </c>
      <c r="C131" s="27" t="n">
        <v>22472</v>
      </c>
      <c r="D131" s="27" t="n">
        <v>324.38</v>
      </c>
      <c r="E131" s="27" t="n">
        <v>4101</v>
      </c>
      <c r="F131" s="27" t="n">
        <v>0</v>
      </c>
      <c r="G131" s="27" t="n">
        <v>0</v>
      </c>
      <c r="H131" s="27">
        <f>G131-F131</f>
        <v/>
      </c>
      <c r="I131" s="11">
        <f>IF(F131=0,0,G131/F131-1)</f>
        <v/>
      </c>
    </row>
    <row r="132">
      <c r="A132" s="9" t="inlineStr">
        <is>
          <t>1000.0000.2230.52000.030</t>
        </is>
      </c>
      <c r="B132" s="9" t="inlineStr">
        <is>
          <t>Benefits</t>
        </is>
      </c>
      <c r="C132" s="27" t="n">
        <v>0</v>
      </c>
      <c r="D132" s="27" t="n">
        <v>0</v>
      </c>
      <c r="E132" s="27" t="n">
        <v>0</v>
      </c>
      <c r="F132" s="27" t="n">
        <v>0</v>
      </c>
      <c r="G132" s="27" t="n">
        <v>0</v>
      </c>
      <c r="H132" s="27">
        <f>G132-F132</f>
        <v/>
      </c>
      <c r="I132" s="11">
        <f>IF(F132=0,0,G132/F132-1)</f>
        <v/>
      </c>
    </row>
    <row r="133">
      <c r="A133" s="9" t="inlineStr">
        <is>
          <t>1000.0000.2230.52010.030</t>
        </is>
      </c>
      <c r="B133" s="9" t="inlineStr">
        <is>
          <t>Teacher Benefits</t>
        </is>
      </c>
      <c r="C133" s="27" t="n">
        <v>9940</v>
      </c>
      <c r="D133" s="27" t="n">
        <v>7865.82</v>
      </c>
      <c r="E133" s="27" t="n">
        <v>7940</v>
      </c>
      <c r="F133" s="27" t="n">
        <v>7852.49</v>
      </c>
      <c r="G133" s="27" t="n">
        <v>0</v>
      </c>
      <c r="H133" s="27">
        <f>G133-F133</f>
        <v/>
      </c>
      <c r="I133" s="11">
        <f>IF(F133=0,0,G133/F133-1)</f>
        <v/>
      </c>
    </row>
    <row r="134">
      <c r="A134" s="9" t="inlineStr">
        <is>
          <t>1000.0000.2230.52080.030</t>
        </is>
      </c>
      <c r="B134" s="9" t="inlineStr">
        <is>
          <t>Support Benefits</t>
        </is>
      </c>
      <c r="C134" s="27" t="n">
        <v>8133</v>
      </c>
      <c r="D134" s="27" t="n">
        <v>226.63</v>
      </c>
      <c r="E134" s="27" t="n">
        <v>1429</v>
      </c>
      <c r="F134" s="27" t="n">
        <v>0</v>
      </c>
      <c r="G134" s="27" t="n">
        <v>0</v>
      </c>
      <c r="H134" s="27">
        <f>G134-F134</f>
        <v/>
      </c>
      <c r="I134" s="11">
        <f>IF(F134=0,0,G134/F134-1)</f>
        <v/>
      </c>
    </row>
    <row r="135">
      <c r="A135" s="9" t="inlineStr">
        <is>
          <t>1000.0000.2230.52310.030</t>
        </is>
      </c>
      <c r="B135" s="9" t="inlineStr">
        <is>
          <t>Retirement</t>
        </is>
      </c>
      <c r="C135" s="27" t="n">
        <v>1318</v>
      </c>
      <c r="D135" s="27" t="n">
        <v>1440.83</v>
      </c>
      <c r="E135" s="27" t="n">
        <v>1525</v>
      </c>
      <c r="F135" s="27" t="n">
        <v>1560.88</v>
      </c>
      <c r="G135" s="27" t="n">
        <v>0</v>
      </c>
      <c r="H135" s="27">
        <f>G135-F135</f>
        <v/>
      </c>
      <c r="I135" s="11">
        <f>IF(F135=0,0,G135/F135-1)</f>
        <v/>
      </c>
    </row>
    <row r="136">
      <c r="A136" s="9" t="inlineStr">
        <is>
          <t>1000.0000.2230.54320.030</t>
        </is>
      </c>
      <c r="B136" s="9" t="inlineStr">
        <is>
          <t>Tech Repairs &amp; Maint</t>
        </is>
      </c>
      <c r="C136" s="27" t="n">
        <v>1688</v>
      </c>
      <c r="D136" s="27" t="n">
        <v>1211</v>
      </c>
      <c r="E136" s="27" t="n">
        <v>1740</v>
      </c>
      <c r="F136" s="27" t="n">
        <v>0</v>
      </c>
      <c r="G136" s="27" t="n">
        <v>0</v>
      </c>
      <c r="H136" s="27">
        <f>G136-F136</f>
        <v/>
      </c>
      <c r="I136" s="11">
        <f>IF(F136=0,0,G136/F136-1)</f>
        <v/>
      </c>
    </row>
    <row r="137">
      <c r="A137" s="9" t="inlineStr">
        <is>
          <t>1000.0000.2230.54330.030</t>
        </is>
      </c>
      <c r="B137" s="9" t="inlineStr">
        <is>
          <t>Software</t>
        </is>
      </c>
      <c r="C137" s="27" t="n">
        <v>476</v>
      </c>
      <c r="D137" s="27" t="n">
        <v>95</v>
      </c>
      <c r="E137" s="27" t="n">
        <v>476</v>
      </c>
      <c r="F137" s="27" t="n">
        <v>0</v>
      </c>
      <c r="G137" s="27" t="n">
        <v>0</v>
      </c>
      <c r="H137" s="27">
        <f>G137-F137</f>
        <v/>
      </c>
      <c r="I137" s="11">
        <f>IF(F137=0,0,G137/F137-1)</f>
        <v/>
      </c>
    </row>
    <row r="138">
      <c r="A138" s="9" t="inlineStr">
        <is>
          <t>1000.0000.2230.55000.030</t>
        </is>
      </c>
      <c r="B138" s="9" t="inlineStr">
        <is>
          <t>Other Purchased Services</t>
        </is>
      </c>
      <c r="C138" s="27" t="n">
        <v>300</v>
      </c>
      <c r="D138" s="27" t="n">
        <v>0</v>
      </c>
      <c r="E138" s="27" t="n">
        <v>0</v>
      </c>
      <c r="F138" s="27" t="n">
        <v>0</v>
      </c>
      <c r="G138" s="27" t="n">
        <v>300</v>
      </c>
      <c r="H138" s="27">
        <f>G138-F138</f>
        <v/>
      </c>
      <c r="I138" s="11">
        <f>IF(F138=0,0,G138/F138-1)</f>
        <v/>
      </c>
    </row>
    <row r="139">
      <c r="A139" s="9" t="inlineStr">
        <is>
          <t>1000.0000.2230.56500.030</t>
        </is>
      </c>
      <c r="B139" s="9" t="inlineStr">
        <is>
          <t>Supplies</t>
        </is>
      </c>
      <c r="C139" s="27" t="n">
        <v>700</v>
      </c>
      <c r="D139" s="27" t="n">
        <v>697.96</v>
      </c>
      <c r="E139" s="27" t="n">
        <v>700</v>
      </c>
      <c r="F139" s="27" t="n">
        <v>342.8</v>
      </c>
      <c r="G139" s="27" t="n">
        <v>0</v>
      </c>
      <c r="H139" s="27">
        <f>G139-F139</f>
        <v/>
      </c>
      <c r="I139" s="11">
        <f>IF(F139=0,0,G139/F139-1)</f>
        <v/>
      </c>
    </row>
    <row r="140">
      <c r="A140" s="17" t="n"/>
      <c r="B140" s="31" t="inlineStr">
        <is>
          <t>Program 0000 Total</t>
        </is>
      </c>
      <c r="C140" s="32">
        <f>SUM(C130:C139)</f>
        <v/>
      </c>
      <c r="D140" s="32">
        <f>SUM(D130:D139)</f>
        <v/>
      </c>
      <c r="E140" s="32">
        <f>SUM(E130:E139)</f>
        <v/>
      </c>
      <c r="F140" s="32">
        <f>SUM(F130:F139)</f>
        <v/>
      </c>
      <c r="G140" s="32">
        <f>SUM(G130:G139)</f>
        <v/>
      </c>
      <c r="H140" s="32">
        <f>SUM(H130:H139)</f>
        <v/>
      </c>
      <c r="I140" s="32">
        <f>SUM(I130:I139)</f>
        <v/>
      </c>
    </row>
    <row r="141">
      <c r="A141" s="17" t="n"/>
      <c r="B141" s="20" t="inlineStr">
        <is>
          <t>Cost Center ('030',) Total</t>
        </is>
      </c>
      <c r="C141" s="35">
        <f>C107+C114+C118+C129+C140</f>
        <v/>
      </c>
      <c r="D141" s="35">
        <f>D107+D114+D118+D129+D140</f>
        <v/>
      </c>
      <c r="E141" s="35">
        <f>E107+E114+E118+E129+E140</f>
        <v/>
      </c>
      <c r="F141" s="35">
        <f>F107+F114+F118+F129+F140</f>
        <v/>
      </c>
      <c r="G141" s="35">
        <f>G107+G114+G118+G129+G140</f>
        <v/>
      </c>
      <c r="H141" s="35">
        <f>H107+H114+H118+H129+H140</f>
        <v/>
      </c>
      <c r="I141" s="35">
        <f>I107+I114+I118+I129+I140</f>
        <v/>
      </c>
    </row>
    <row r="143">
      <c r="A143" s="3" t="inlineStr">
        <is>
          <t>Cost Center: ('040',)</t>
        </is>
      </c>
    </row>
    <row r="144">
      <c r="A144" s="9" t="inlineStr">
        <is>
          <t>1000.0000.2120.51010.040</t>
        </is>
      </c>
      <c r="B144" s="9" t="inlineStr">
        <is>
          <t>Guidance Salaries</t>
        </is>
      </c>
      <c r="C144" s="27" t="n">
        <v>66485</v>
      </c>
      <c r="D144" s="27" t="n">
        <v>53896.49</v>
      </c>
      <c r="E144" s="27" t="n">
        <v>75531</v>
      </c>
      <c r="F144" s="27" t="n">
        <v>64189.58</v>
      </c>
      <c r="G144" s="27" t="n">
        <v>79375</v>
      </c>
      <c r="H144" s="27">
        <f>G144-F144</f>
        <v/>
      </c>
      <c r="I144" s="11">
        <f>IF(F144=0,0,G144/F144-1)</f>
        <v/>
      </c>
    </row>
    <row r="145">
      <c r="A145" s="9" t="inlineStr">
        <is>
          <t>1000.0000.2120.52010.040</t>
        </is>
      </c>
      <c r="B145" s="9" t="inlineStr">
        <is>
          <t>Benefits</t>
        </is>
      </c>
      <c r="C145" s="27" t="n">
        <v>29244</v>
      </c>
      <c r="D145" s="27" t="n">
        <v>21181.43</v>
      </c>
      <c r="E145" s="27" t="n">
        <v>25283</v>
      </c>
      <c r="F145" s="27" t="n">
        <v>21177.54</v>
      </c>
      <c r="G145" s="27" t="n">
        <v>26175</v>
      </c>
      <c r="H145" s="27">
        <f>G145-F145</f>
        <v/>
      </c>
      <c r="I145" s="11">
        <f>IF(F145=0,0,G145/F145-1)</f>
        <v/>
      </c>
    </row>
    <row r="146">
      <c r="A146" s="9" t="inlineStr">
        <is>
          <t>1000.0000.2120.52310.040</t>
        </is>
      </c>
      <c r="B146" s="9" t="inlineStr">
        <is>
          <t>Retirement</t>
        </is>
      </c>
      <c r="C146" s="27" t="n">
        <v>2639</v>
      </c>
      <c r="D146" s="27" t="n">
        <v>2155.35</v>
      </c>
      <c r="E146" s="27" t="n">
        <v>3142</v>
      </c>
      <c r="F146" s="27" t="n">
        <v>2670.45</v>
      </c>
      <c r="G146" s="27" t="n">
        <v>3302</v>
      </c>
      <c r="H146" s="27">
        <f>G146-F146</f>
        <v/>
      </c>
      <c r="I146" s="11">
        <f>IF(F146=0,0,G146/F146-1)</f>
        <v/>
      </c>
    </row>
    <row r="147">
      <c r="A147" s="9" t="inlineStr">
        <is>
          <t>1000.0000.2120.54330.040</t>
        </is>
      </c>
      <c r="B147" s="9" t="inlineStr">
        <is>
          <t>Software</t>
        </is>
      </c>
      <c r="C147" s="27" t="n">
        <v>0</v>
      </c>
      <c r="D147" s="27" t="n">
        <v>0</v>
      </c>
      <c r="E147" s="27" t="n">
        <v>0</v>
      </c>
      <c r="F147" s="27" t="n">
        <v>0</v>
      </c>
      <c r="G147" s="27" t="n">
        <v>334</v>
      </c>
      <c r="H147" s="27">
        <f>G147-F147</f>
        <v/>
      </c>
      <c r="I147" s="11">
        <f>IF(F147=0,0,G147/F147-1)</f>
        <v/>
      </c>
    </row>
    <row r="148">
      <c r="A148" s="9" t="inlineStr">
        <is>
          <t>1000.0000.2120.56100.040</t>
        </is>
      </c>
      <c r="B148" s="9" t="inlineStr">
        <is>
          <t>Instructional Supplies</t>
        </is>
      </c>
      <c r="C148" s="27" t="n">
        <v>339</v>
      </c>
      <c r="D148" s="27" t="n">
        <v>177.24</v>
      </c>
      <c r="E148" s="27" t="n">
        <v>339</v>
      </c>
      <c r="F148" s="27" t="n">
        <v>169</v>
      </c>
      <c r="G148" s="27" t="n">
        <v>339</v>
      </c>
      <c r="H148" s="27">
        <f>G148-F148</f>
        <v/>
      </c>
      <c r="I148" s="11">
        <f>IF(F148=0,0,G148/F148-1)</f>
        <v/>
      </c>
    </row>
    <row r="149">
      <c r="A149" s="9" t="inlineStr">
        <is>
          <t>1000.0000.2120.57300.040</t>
        </is>
      </c>
      <c r="B149" s="9" t="inlineStr">
        <is>
          <t>Equipment</t>
        </is>
      </c>
      <c r="C149" s="27" t="n">
        <v>0</v>
      </c>
      <c r="D149" s="27" t="n">
        <v>0</v>
      </c>
      <c r="E149" s="27" t="n">
        <v>0</v>
      </c>
      <c r="F149" s="27" t="n">
        <v>0</v>
      </c>
      <c r="G149" s="27" t="n">
        <v>500</v>
      </c>
      <c r="H149" s="27">
        <f>G149-F149</f>
        <v/>
      </c>
      <c r="I149" s="11">
        <f>IF(F149=0,0,G149/F149-1)</f>
        <v/>
      </c>
    </row>
    <row r="150">
      <c r="A150" s="17" t="n"/>
      <c r="B150" s="31" t="inlineStr">
        <is>
          <t>Program 0000 Total</t>
        </is>
      </c>
      <c r="C150" s="32">
        <f>SUM(C144:C149)</f>
        <v/>
      </c>
      <c r="D150" s="32">
        <f>SUM(D144:D149)</f>
        <v/>
      </c>
      <c r="E150" s="32">
        <f>SUM(E144:E149)</f>
        <v/>
      </c>
      <c r="F150" s="32">
        <f>SUM(F144:F149)</f>
        <v/>
      </c>
      <c r="G150" s="32">
        <f>SUM(G144:G149)</f>
        <v/>
      </c>
      <c r="H150" s="32">
        <f>SUM(H144:H149)</f>
        <v/>
      </c>
      <c r="I150" s="32">
        <f>SUM(I144:I149)</f>
        <v/>
      </c>
    </row>
    <row r="151">
      <c r="A151" s="9" t="inlineStr">
        <is>
          <t>1000.0000.2130.51010.040</t>
        </is>
      </c>
      <c r="B151" s="9" t="inlineStr">
        <is>
          <t>Nurse Salary</t>
        </is>
      </c>
      <c r="C151" s="27" t="n">
        <v>62713</v>
      </c>
      <c r="D151" s="27" t="n">
        <v>65536</v>
      </c>
      <c r="E151" s="27" t="n">
        <v>67502</v>
      </c>
      <c r="F151" s="27" t="n">
        <v>67501.98</v>
      </c>
      <c r="G151" s="27" t="n">
        <v>67586</v>
      </c>
      <c r="H151" s="27">
        <f>G151-F151</f>
        <v/>
      </c>
      <c r="I151" s="11">
        <f>IF(F151=0,0,G151/F151-1)</f>
        <v/>
      </c>
    </row>
    <row r="152">
      <c r="A152" s="9" t="inlineStr">
        <is>
          <t>1000.0000.2130.52010.040</t>
        </is>
      </c>
      <c r="B152" s="9" t="inlineStr">
        <is>
          <t>Nurse Benefits</t>
        </is>
      </c>
      <c r="C152" s="27" t="n">
        <v>9248</v>
      </c>
      <c r="D152" s="27" t="n">
        <v>5337.17</v>
      </c>
      <c r="E152" s="27" t="n">
        <v>5431</v>
      </c>
      <c r="F152" s="27" t="n">
        <v>5923.84</v>
      </c>
      <c r="G152" s="27" t="n">
        <v>5532</v>
      </c>
      <c r="H152" s="27">
        <f>G152-F152</f>
        <v/>
      </c>
      <c r="I152" s="11">
        <f>IF(F152=0,0,G152/F152-1)</f>
        <v/>
      </c>
    </row>
    <row r="153">
      <c r="A153" s="9" t="inlineStr">
        <is>
          <t>1000.0000.2130.52310.040</t>
        </is>
      </c>
      <c r="B153" s="9" t="inlineStr">
        <is>
          <t>Retirement</t>
        </is>
      </c>
      <c r="C153" s="27" t="n">
        <v>2490</v>
      </c>
      <c r="D153" s="27" t="n">
        <v>2620.97</v>
      </c>
      <c r="E153" s="27" t="n">
        <v>2808</v>
      </c>
      <c r="F153" s="27" t="n">
        <v>2808</v>
      </c>
      <c r="G153" s="27" t="n">
        <v>2812</v>
      </c>
      <c r="H153" s="27">
        <f>G153-F153</f>
        <v/>
      </c>
      <c r="I153" s="11">
        <f>IF(F153=0,0,G153/F153-1)</f>
        <v/>
      </c>
    </row>
    <row r="154">
      <c r="A154" s="9" t="inlineStr">
        <is>
          <t>1000.0000.2130.53000.040</t>
        </is>
      </c>
      <c r="B154" s="9" t="inlineStr">
        <is>
          <t>Purchased Professional</t>
        </is>
      </c>
      <c r="C154" s="27" t="n">
        <v>200</v>
      </c>
      <c r="D154" s="27" t="n">
        <v>0</v>
      </c>
      <c r="E154" s="27" t="n">
        <v>200</v>
      </c>
      <c r="F154" s="27" t="n">
        <v>0</v>
      </c>
      <c r="G154" s="27" t="n">
        <v>200</v>
      </c>
      <c r="H154" s="27">
        <f>G154-F154</f>
        <v/>
      </c>
      <c r="I154" s="11">
        <f>IF(F154=0,0,G154/F154-1)</f>
        <v/>
      </c>
    </row>
    <row r="155">
      <c r="A155" s="9" t="inlineStr">
        <is>
          <t>1000.0000.2130.54310.040</t>
        </is>
      </c>
      <c r="B155" s="9" t="inlineStr">
        <is>
          <t>Repairs &amp; Maintenance</t>
        </is>
      </c>
      <c r="C155" s="27" t="n">
        <v>135</v>
      </c>
      <c r="D155" s="27" t="n">
        <v>130</v>
      </c>
      <c r="E155" s="27" t="n">
        <v>135</v>
      </c>
      <c r="F155" s="27" t="n">
        <v>0</v>
      </c>
      <c r="G155" s="27" t="n">
        <v>135</v>
      </c>
      <c r="H155" s="27">
        <f>G155-F155</f>
        <v/>
      </c>
      <c r="I155" s="11">
        <f>IF(F155=0,0,G155/F155-1)</f>
        <v/>
      </c>
    </row>
    <row r="156">
      <c r="A156" s="9" t="inlineStr">
        <is>
          <t>1000.0000.2130.55800.040</t>
        </is>
      </c>
      <c r="B156" s="9" t="inlineStr">
        <is>
          <t>Travel</t>
        </is>
      </c>
      <c r="C156" s="27" t="n">
        <v>50</v>
      </c>
      <c r="D156" s="27" t="n">
        <v>0</v>
      </c>
      <c r="E156" s="27" t="n">
        <v>0</v>
      </c>
      <c r="F156" s="27" t="n">
        <v>0</v>
      </c>
      <c r="G156" s="27" t="n">
        <v>0</v>
      </c>
      <c r="H156" s="27">
        <f>G156-F156</f>
        <v/>
      </c>
      <c r="I156" s="11">
        <f>IF(F156=0,0,G156/F156-1)</f>
        <v/>
      </c>
    </row>
    <row r="157">
      <c r="A157" s="9" t="inlineStr">
        <is>
          <t>1000.0000.2130.56000.040</t>
        </is>
      </c>
      <c r="B157" s="9" t="inlineStr">
        <is>
          <t>Supplies</t>
        </is>
      </c>
      <c r="C157" s="27" t="n">
        <v>658</v>
      </c>
      <c r="D157" s="27" t="n">
        <v>244.6</v>
      </c>
      <c r="E157" s="27" t="n">
        <v>600</v>
      </c>
      <c r="F157" s="27" t="n">
        <v>547.15</v>
      </c>
      <c r="G157" s="27" t="n">
        <v>574</v>
      </c>
      <c r="H157" s="27">
        <f>G157-F157</f>
        <v/>
      </c>
      <c r="I157" s="11">
        <f>IF(F157=0,0,G157/F157-1)</f>
        <v/>
      </c>
    </row>
    <row r="158">
      <c r="A158" s="17" t="n"/>
      <c r="B158" s="31" t="inlineStr">
        <is>
          <t>Program 0000 Total</t>
        </is>
      </c>
      <c r="C158" s="32">
        <f>SUM(C151:C157)</f>
        <v/>
      </c>
      <c r="D158" s="32">
        <f>SUM(D151:D157)</f>
        <v/>
      </c>
      <c r="E158" s="32">
        <f>SUM(E151:E157)</f>
        <v/>
      </c>
      <c r="F158" s="32">
        <f>SUM(F151:F157)</f>
        <v/>
      </c>
      <c r="G158" s="32">
        <f>SUM(G151:G157)</f>
        <v/>
      </c>
      <c r="H158" s="32">
        <f>SUM(H151:H157)</f>
        <v/>
      </c>
      <c r="I158" s="32">
        <f>SUM(I151:I157)</f>
        <v/>
      </c>
    </row>
    <row r="159">
      <c r="A159" s="9" t="inlineStr">
        <is>
          <t>1000.0000.2213.51500.040</t>
        </is>
      </c>
      <c r="B159" s="9" t="inlineStr">
        <is>
          <t>Stipends</t>
        </is>
      </c>
      <c r="C159" s="27" t="n">
        <v>0</v>
      </c>
      <c r="D159" s="27" t="n">
        <v>0</v>
      </c>
      <c r="E159" s="27" t="n">
        <v>0</v>
      </c>
      <c r="F159" s="27" t="n">
        <v>0</v>
      </c>
      <c r="G159" s="27" t="n">
        <v>0</v>
      </c>
      <c r="H159" s="27">
        <f>G159-F159</f>
        <v/>
      </c>
      <c r="I159" s="11">
        <f>IF(F159=0,0,G159/F159-1)</f>
        <v/>
      </c>
    </row>
    <row r="160">
      <c r="A160" s="9" t="inlineStr">
        <is>
          <t>1000.0000.2213.52000.040</t>
        </is>
      </c>
      <c r="B160" s="9" t="inlineStr">
        <is>
          <t>Stipend Benefits - MLS</t>
        </is>
      </c>
      <c r="C160" s="27" t="n">
        <v>0</v>
      </c>
      <c r="D160" s="27" t="n">
        <v>0</v>
      </c>
      <c r="E160" s="27" t="n">
        <v>0</v>
      </c>
      <c r="F160" s="27" t="n">
        <v>0</v>
      </c>
      <c r="G160" s="27" t="n">
        <v>0</v>
      </c>
      <c r="H160" s="27">
        <f>G160-F160</f>
        <v/>
      </c>
      <c r="I160" s="11">
        <f>IF(F160=0,0,G160/F160-1)</f>
        <v/>
      </c>
    </row>
    <row r="161">
      <c r="A161" s="9" t="inlineStr">
        <is>
          <t>1000.0000.2213.52300.040</t>
        </is>
      </c>
      <c r="B161" s="9" t="inlineStr">
        <is>
          <t>Stipend Retirement - MLS</t>
        </is>
      </c>
      <c r="C161" s="27" t="n">
        <v>0</v>
      </c>
      <c r="D161" s="27" t="n">
        <v>0</v>
      </c>
      <c r="E161" s="27" t="n">
        <v>0</v>
      </c>
      <c r="F161" s="27" t="n">
        <v>0</v>
      </c>
      <c r="G161" s="27" t="n">
        <v>0</v>
      </c>
      <c r="H161" s="27">
        <f>G161-F161</f>
        <v/>
      </c>
      <c r="I161" s="11">
        <f>IF(F161=0,0,G161/F161-1)</f>
        <v/>
      </c>
    </row>
    <row r="162">
      <c r="A162" s="17" t="n"/>
      <c r="B162" s="31" t="inlineStr">
        <is>
          <t>Program 0000 Total</t>
        </is>
      </c>
      <c r="C162" s="32">
        <f>SUM(C159:C161)</f>
        <v/>
      </c>
      <c r="D162" s="32">
        <f>SUM(D159:D161)</f>
        <v/>
      </c>
      <c r="E162" s="32">
        <f>SUM(E159:E161)</f>
        <v/>
      </c>
      <c r="F162" s="32">
        <f>SUM(F159:F161)</f>
        <v/>
      </c>
      <c r="G162" s="32">
        <f>SUM(G159:G161)</f>
        <v/>
      </c>
      <c r="H162" s="32">
        <f>SUM(H159:H161)</f>
        <v/>
      </c>
      <c r="I162" s="32">
        <f>SUM(I159:I161)</f>
        <v/>
      </c>
    </row>
    <row r="163">
      <c r="A163" s="9" t="inlineStr">
        <is>
          <t>1000.0000.2220.51010.040</t>
        </is>
      </c>
      <c r="B163" s="9" t="inlineStr">
        <is>
          <t>Librarian Salary</t>
        </is>
      </c>
      <c r="C163" s="27" t="n">
        <v>58309</v>
      </c>
      <c r="D163" s="27" t="n">
        <v>61297.24</v>
      </c>
      <c r="E163" s="27" t="n">
        <v>63512</v>
      </c>
      <c r="F163" s="27" t="n">
        <v>63512.28</v>
      </c>
      <c r="G163" s="27" t="n">
        <v>81802</v>
      </c>
      <c r="H163" s="27">
        <f>G163-F163</f>
        <v/>
      </c>
      <c r="I163" s="11">
        <f>IF(F163=0,0,G163/F163-1)</f>
        <v/>
      </c>
    </row>
    <row r="164">
      <c r="A164" s="9" t="inlineStr">
        <is>
          <t>1000.0000.2220.51020.040</t>
        </is>
      </c>
      <c r="B164" s="9" t="inlineStr">
        <is>
          <t>Ed Tech Salaries</t>
        </is>
      </c>
      <c r="C164" s="27" t="n">
        <v>9917</v>
      </c>
      <c r="D164" s="27" t="n">
        <v>13167.12</v>
      </c>
      <c r="E164" s="27" t="n">
        <v>11720</v>
      </c>
      <c r="F164" s="27" t="n">
        <v>11807.36</v>
      </c>
      <c r="G164" s="27" t="n">
        <v>0</v>
      </c>
      <c r="H164" s="27">
        <f>G164-F164</f>
        <v/>
      </c>
      <c r="I164" s="11">
        <f>IF(F164=0,0,G164/F164-1)</f>
        <v/>
      </c>
    </row>
    <row r="165">
      <c r="A165" s="9" t="inlineStr">
        <is>
          <t>1000.0000.2220.52010.040</t>
        </is>
      </c>
      <c r="B165" s="9" t="inlineStr">
        <is>
          <t>Librarian Benefits</t>
        </is>
      </c>
      <c r="C165" s="27" t="n">
        <v>16341</v>
      </c>
      <c r="D165" s="27" t="n">
        <v>12751.55</v>
      </c>
      <c r="E165" s="27" t="n">
        <v>12808</v>
      </c>
      <c r="F165" s="27" t="n">
        <v>12695.74</v>
      </c>
      <c r="G165" s="27" t="n">
        <v>16176</v>
      </c>
      <c r="H165" s="27">
        <f>G165-F165</f>
        <v/>
      </c>
      <c r="I165" s="11">
        <f>IF(F165=0,0,G165/F165-1)</f>
        <v/>
      </c>
    </row>
    <row r="166">
      <c r="A166" s="9" t="inlineStr">
        <is>
          <t>1000.0000.2220.52020.040</t>
        </is>
      </c>
      <c r="B166" s="9" t="inlineStr">
        <is>
          <t>Ed Tech Benefits</t>
        </is>
      </c>
      <c r="C166" s="27" t="n">
        <v>4018</v>
      </c>
      <c r="D166" s="27" t="n">
        <v>4196.17</v>
      </c>
      <c r="E166" s="27" t="n">
        <v>9388</v>
      </c>
      <c r="F166" s="27" t="n">
        <v>6147.95</v>
      </c>
      <c r="G166" s="27" t="n">
        <v>0</v>
      </c>
      <c r="H166" s="27">
        <f>G166-F166</f>
        <v/>
      </c>
      <c r="I166" s="11">
        <f>IF(F166=0,0,G166/F166-1)</f>
        <v/>
      </c>
    </row>
    <row r="167">
      <c r="A167" s="9" t="inlineStr">
        <is>
          <t>1000.0000.2220.52310.040</t>
        </is>
      </c>
      <c r="B167" s="9" t="inlineStr">
        <is>
          <t>Retirement</t>
        </is>
      </c>
      <c r="C167" s="27" t="n">
        <v>2315</v>
      </c>
      <c r="D167" s="27" t="n">
        <v>2451.48</v>
      </c>
      <c r="E167" s="27" t="n">
        <v>2642</v>
      </c>
      <c r="F167" s="27" t="n">
        <v>2642.12</v>
      </c>
      <c r="G167" s="27" t="n">
        <v>3403</v>
      </c>
      <c r="H167" s="27">
        <f>G167-F167</f>
        <v/>
      </c>
      <c r="I167" s="11">
        <f>IF(F167=0,0,G167/F167-1)</f>
        <v/>
      </c>
    </row>
    <row r="168">
      <c r="A168" s="9" t="inlineStr">
        <is>
          <t>1000.0000.2220.52320.040</t>
        </is>
      </c>
      <c r="B168" s="9" t="inlineStr">
        <is>
          <t>Retirement</t>
        </is>
      </c>
      <c r="C168" s="27" t="n">
        <v>394</v>
      </c>
      <c r="D168" s="27" t="n">
        <v>522.66</v>
      </c>
      <c r="E168" s="27" t="n">
        <v>488</v>
      </c>
      <c r="F168" s="27" t="n">
        <v>491.07</v>
      </c>
      <c r="G168" s="27" t="n">
        <v>0</v>
      </c>
      <c r="H168" s="27">
        <f>G168-F168</f>
        <v/>
      </c>
      <c r="I168" s="11">
        <f>IF(F168=0,0,G168/F168-1)</f>
        <v/>
      </c>
    </row>
    <row r="169">
      <c r="A169" s="9" t="inlineStr">
        <is>
          <t>1000.0000.2220.54330.040</t>
        </is>
      </c>
      <c r="B169" s="9" t="inlineStr">
        <is>
          <t>Software</t>
        </is>
      </c>
      <c r="C169" s="27" t="n">
        <v>1100</v>
      </c>
      <c r="D169" s="27" t="n">
        <v>1042</v>
      </c>
      <c r="E169" s="27" t="n">
        <v>1043</v>
      </c>
      <c r="F169" s="27" t="n">
        <v>1042.5</v>
      </c>
      <c r="G169" s="27" t="n">
        <v>1043</v>
      </c>
      <c r="H169" s="27">
        <f>G169-F169</f>
        <v/>
      </c>
      <c r="I169" s="11">
        <f>IF(F169=0,0,G169/F169-1)</f>
        <v/>
      </c>
    </row>
    <row r="170">
      <c r="A170" s="9" t="inlineStr">
        <is>
          <t>1000.0000.2220.56000.040</t>
        </is>
      </c>
      <c r="B170" s="9" t="inlineStr">
        <is>
          <t>Supplies</t>
        </is>
      </c>
      <c r="C170" s="27" t="n">
        <v>339</v>
      </c>
      <c r="D170" s="27" t="n">
        <v>268.08</v>
      </c>
      <c r="E170" s="27" t="n">
        <v>339</v>
      </c>
      <c r="F170" s="27" t="n">
        <v>449.14</v>
      </c>
      <c r="G170" s="27" t="n">
        <v>0</v>
      </c>
      <c r="H170" s="27">
        <f>G170-F170</f>
        <v/>
      </c>
      <c r="I170" s="11">
        <f>IF(F170=0,0,G170/F170-1)</f>
        <v/>
      </c>
    </row>
    <row r="171">
      <c r="A171" s="9" t="inlineStr">
        <is>
          <t>1000.0000.2220.56100.040</t>
        </is>
      </c>
      <c r="B171" s="9" t="inlineStr">
        <is>
          <t>Instructional Supplies</t>
        </is>
      </c>
      <c r="C171" s="27" t="n">
        <v>0</v>
      </c>
      <c r="D171" s="27" t="n">
        <v>0</v>
      </c>
      <c r="E171" s="27" t="n">
        <v>0</v>
      </c>
      <c r="F171" s="27" t="n">
        <v>0</v>
      </c>
      <c r="G171" s="27" t="n">
        <v>339</v>
      </c>
      <c r="H171" s="27">
        <f>G171-F171</f>
        <v/>
      </c>
      <c r="I171" s="11">
        <f>IF(F171=0,0,G171/F171-1)</f>
        <v/>
      </c>
    </row>
    <row r="172">
      <c r="A172" s="9" t="inlineStr">
        <is>
          <t>1000.0000.2220.56400.040</t>
        </is>
      </c>
      <c r="B172" s="9" t="inlineStr">
        <is>
          <t>Books</t>
        </is>
      </c>
      <c r="C172" s="27" t="n">
        <v>5207</v>
      </c>
      <c r="D172" s="27" t="n">
        <v>5143.01</v>
      </c>
      <c r="E172" s="27" t="n">
        <v>4818</v>
      </c>
      <c r="F172" s="27" t="n">
        <v>3294.48</v>
      </c>
      <c r="G172" s="27" t="n">
        <v>4490</v>
      </c>
      <c r="H172" s="27">
        <f>G172-F172</f>
        <v/>
      </c>
      <c r="I172" s="11">
        <f>IF(F172=0,0,G172/F172-1)</f>
        <v/>
      </c>
    </row>
    <row r="173">
      <c r="A173" s="17" t="n"/>
      <c r="B173" s="31" t="inlineStr">
        <is>
          <t>Program 0000 Total</t>
        </is>
      </c>
      <c r="C173" s="32">
        <f>SUM(C163:C172)</f>
        <v/>
      </c>
      <c r="D173" s="32">
        <f>SUM(D163:D172)</f>
        <v/>
      </c>
      <c r="E173" s="32">
        <f>SUM(E163:E172)</f>
        <v/>
      </c>
      <c r="F173" s="32">
        <f>SUM(F163:F172)</f>
        <v/>
      </c>
      <c r="G173" s="32">
        <f>SUM(G163:G172)</f>
        <v/>
      </c>
      <c r="H173" s="32">
        <f>SUM(H163:H172)</f>
        <v/>
      </c>
      <c r="I173" s="32">
        <f>SUM(I163:I172)</f>
        <v/>
      </c>
    </row>
    <row r="174">
      <c r="A174" s="9" t="inlineStr">
        <is>
          <t>1000.0000.2230.51010.040</t>
        </is>
      </c>
      <c r="B174" s="9" t="inlineStr">
        <is>
          <t>Teacher Salaries</t>
        </is>
      </c>
      <c r="C174" s="27" t="n">
        <v>37440</v>
      </c>
      <c r="D174" s="27" t="n">
        <v>0</v>
      </c>
      <c r="E174" s="27" t="n">
        <v>41330</v>
      </c>
      <c r="F174" s="27" t="n">
        <v>0</v>
      </c>
      <c r="G174" s="27" t="n">
        <v>0</v>
      </c>
      <c r="H174" s="27">
        <f>G174-F174</f>
        <v/>
      </c>
      <c r="I174" s="11">
        <f>IF(F174=0,0,G174/F174-1)</f>
        <v/>
      </c>
    </row>
    <row r="175">
      <c r="A175" s="9" t="inlineStr">
        <is>
          <t>1000.0000.2230.51180.040</t>
        </is>
      </c>
      <c r="B175" s="9" t="inlineStr">
        <is>
          <t>Support Salaries</t>
        </is>
      </c>
      <c r="C175" s="27" t="n">
        <v>20504</v>
      </c>
      <c r="D175" s="27" t="n">
        <v>6304.5</v>
      </c>
      <c r="E175" s="27" t="n">
        <v>4101</v>
      </c>
      <c r="F175" s="27" t="n">
        <v>0</v>
      </c>
      <c r="G175" s="27" t="n">
        <v>0</v>
      </c>
      <c r="H175" s="27">
        <f>G175-F175</f>
        <v/>
      </c>
      <c r="I175" s="11">
        <f>IF(F175=0,0,G175/F175-1)</f>
        <v/>
      </c>
    </row>
    <row r="176">
      <c r="A176" s="9" t="inlineStr">
        <is>
          <t>1000.0000.2230.52010.040</t>
        </is>
      </c>
      <c r="B176" s="9" t="inlineStr">
        <is>
          <t>Teacher Benefits</t>
        </is>
      </c>
      <c r="C176" s="27" t="n">
        <v>15195</v>
      </c>
      <c r="D176" s="27" t="n">
        <v>0</v>
      </c>
      <c r="E176" s="27" t="n">
        <v>12938</v>
      </c>
      <c r="F176" s="27" t="n">
        <v>0</v>
      </c>
      <c r="G176" s="27" t="n">
        <v>0</v>
      </c>
      <c r="H176" s="27">
        <f>G176-F176</f>
        <v/>
      </c>
      <c r="I176" s="11">
        <f>IF(F176=0,0,G176/F176-1)</f>
        <v/>
      </c>
    </row>
    <row r="177">
      <c r="A177" s="9" t="inlineStr">
        <is>
          <t>1000.0000.2230.52080.040</t>
        </is>
      </c>
      <c r="B177" s="9" t="inlineStr">
        <is>
          <t>Support Benefits</t>
        </is>
      </c>
      <c r="C177" s="27" t="n">
        <v>7806</v>
      </c>
      <c r="D177" s="27" t="n">
        <v>1898.61</v>
      </c>
      <c r="E177" s="27" t="n">
        <v>1429</v>
      </c>
      <c r="F177" s="27" t="n">
        <v>0</v>
      </c>
      <c r="G177" s="27" t="n">
        <v>0</v>
      </c>
      <c r="H177" s="27">
        <f>G177-F177</f>
        <v/>
      </c>
      <c r="I177" s="11">
        <f>IF(F177=0,0,G177/F177-1)</f>
        <v/>
      </c>
    </row>
    <row r="178">
      <c r="A178" s="9" t="inlineStr">
        <is>
          <t>1000.0000.2230.52310.040</t>
        </is>
      </c>
      <c r="B178" s="9" t="inlineStr">
        <is>
          <t>Retirement</t>
        </is>
      </c>
      <c r="C178" s="27" t="n">
        <v>1486</v>
      </c>
      <c r="D178" s="27" t="n">
        <v>0</v>
      </c>
      <c r="E178" s="27" t="n">
        <v>1719</v>
      </c>
      <c r="F178" s="27" t="n">
        <v>0</v>
      </c>
      <c r="G178" s="27" t="n">
        <v>0</v>
      </c>
      <c r="H178" s="27">
        <f>G178-F178</f>
        <v/>
      </c>
      <c r="I178" s="11">
        <f>IF(F178=0,0,G178/F178-1)</f>
        <v/>
      </c>
    </row>
    <row r="179">
      <c r="A179" s="9" t="inlineStr">
        <is>
          <t>1000.0000.2230.54320.040</t>
        </is>
      </c>
      <c r="B179" s="9" t="inlineStr">
        <is>
          <t>Tech Repairs/Maint</t>
        </is>
      </c>
      <c r="C179" s="27" t="n">
        <v>1688</v>
      </c>
      <c r="D179" s="27" t="n">
        <v>1211</v>
      </c>
      <c r="E179" s="27" t="n">
        <v>1740</v>
      </c>
      <c r="F179" s="27" t="n">
        <v>0</v>
      </c>
      <c r="G179" s="27" t="n">
        <v>0</v>
      </c>
      <c r="H179" s="27">
        <f>G179-F179</f>
        <v/>
      </c>
      <c r="I179" s="11">
        <f>IF(F179=0,0,G179/F179-1)</f>
        <v/>
      </c>
    </row>
    <row r="180">
      <c r="A180" s="9" t="inlineStr">
        <is>
          <t>1000.0000.2230.54330.040</t>
        </is>
      </c>
      <c r="B180" s="9" t="inlineStr">
        <is>
          <t>Software</t>
        </is>
      </c>
      <c r="C180" s="27" t="n">
        <v>200</v>
      </c>
      <c r="D180" s="27" t="n">
        <v>0</v>
      </c>
      <c r="E180" s="27" t="n">
        <v>200</v>
      </c>
      <c r="F180" s="27" t="n">
        <v>0</v>
      </c>
      <c r="G180" s="27" t="n">
        <v>0</v>
      </c>
      <c r="H180" s="27">
        <f>G180-F180</f>
        <v/>
      </c>
      <c r="I180" s="11">
        <f>IF(F180=0,0,G180/F180-1)</f>
        <v/>
      </c>
    </row>
    <row r="181">
      <c r="A181" s="9" t="inlineStr">
        <is>
          <t>1000.0000.2230.55000.040</t>
        </is>
      </c>
      <c r="B181" s="9" t="inlineStr">
        <is>
          <t>Other Purchased Services</t>
        </is>
      </c>
      <c r="C181" s="27" t="n">
        <v>300</v>
      </c>
      <c r="D181" s="27" t="n">
        <v>0</v>
      </c>
      <c r="E181" s="27" t="n">
        <v>0</v>
      </c>
      <c r="F181" s="27" t="n">
        <v>0</v>
      </c>
      <c r="G181" s="27" t="n">
        <v>300</v>
      </c>
      <c r="H181" s="27">
        <f>G181-F181</f>
        <v/>
      </c>
      <c r="I181" s="11">
        <f>IF(F181=0,0,G181/F181-1)</f>
        <v/>
      </c>
    </row>
    <row r="182">
      <c r="A182" s="9" t="inlineStr">
        <is>
          <t>1000.0000.2230.56500.040</t>
        </is>
      </c>
      <c r="B182" s="9" t="inlineStr">
        <is>
          <t>Supplies</t>
        </is>
      </c>
      <c r="C182" s="27" t="n">
        <v>700</v>
      </c>
      <c r="D182" s="27" t="n">
        <v>1124.15</v>
      </c>
      <c r="E182" s="27" t="n">
        <v>700</v>
      </c>
      <c r="F182" s="27" t="n">
        <v>74.2</v>
      </c>
      <c r="G182" s="27" t="n">
        <v>0</v>
      </c>
      <c r="H182" s="27">
        <f>G182-F182</f>
        <v/>
      </c>
      <c r="I182" s="11">
        <f>IF(F182=0,0,G182/F182-1)</f>
        <v/>
      </c>
    </row>
    <row r="183">
      <c r="A183" s="17" t="n"/>
      <c r="B183" s="31" t="inlineStr">
        <is>
          <t>Program 0000 Total</t>
        </is>
      </c>
      <c r="C183" s="32">
        <f>SUM(C174:C182)</f>
        <v/>
      </c>
      <c r="D183" s="32">
        <f>SUM(D174:D182)</f>
        <v/>
      </c>
      <c r="E183" s="32">
        <f>SUM(E174:E182)</f>
        <v/>
      </c>
      <c r="F183" s="32">
        <f>SUM(F174:F182)</f>
        <v/>
      </c>
      <c r="G183" s="32">
        <f>SUM(G174:G182)</f>
        <v/>
      </c>
      <c r="H183" s="32">
        <f>SUM(H174:H182)</f>
        <v/>
      </c>
      <c r="I183" s="32">
        <f>SUM(I174:I182)</f>
        <v/>
      </c>
    </row>
    <row r="184">
      <c r="A184" s="17" t="n"/>
      <c r="B184" s="20" t="inlineStr">
        <is>
          <t>Cost Center ('040',) Total</t>
        </is>
      </c>
      <c r="C184" s="35">
        <f>C150+C158+C162+C173+C183</f>
        <v/>
      </c>
      <c r="D184" s="35">
        <f>D150+D158+D162+D173+D183</f>
        <v/>
      </c>
      <c r="E184" s="35">
        <f>E150+E158+E162+E173+E183</f>
        <v/>
      </c>
      <c r="F184" s="35">
        <f>F150+F158+F162+F173+F183</f>
        <v/>
      </c>
      <c r="G184" s="35">
        <f>G150+G158+G162+G173+G183</f>
        <v/>
      </c>
      <c r="H184" s="35">
        <f>H150+H158+H162+H173+H183</f>
        <v/>
      </c>
      <c r="I184" s="35">
        <f>I150+I158+I162+I173+I183</f>
        <v/>
      </c>
    </row>
    <row r="186">
      <c r="A186" s="3" t="inlineStr">
        <is>
          <t>Cost Center: ('050',)</t>
        </is>
      </c>
    </row>
    <row r="187">
      <c r="A187" s="9" t="inlineStr">
        <is>
          <t>1000.0000.2120.51010.050</t>
        </is>
      </c>
      <c r="B187" s="9" t="inlineStr">
        <is>
          <t>Guidance Salaries</t>
        </is>
      </c>
      <c r="C187" s="27" t="n">
        <v>73169</v>
      </c>
      <c r="D187" s="27" t="n">
        <v>75354.35000000001</v>
      </c>
      <c r="E187" s="27" t="n">
        <v>78756</v>
      </c>
      <c r="F187" s="27" t="n">
        <v>74875</v>
      </c>
      <c r="G187" s="27" t="n">
        <v>80276</v>
      </c>
      <c r="H187" s="27">
        <f>G187-F187</f>
        <v/>
      </c>
      <c r="I187" s="11">
        <f>IF(F187=0,0,G187/F187-1)</f>
        <v/>
      </c>
    </row>
    <row r="188">
      <c r="A188" s="9" t="inlineStr">
        <is>
          <t>1000.0000.2120.52010.050</t>
        </is>
      </c>
      <c r="B188" s="9" t="inlineStr">
        <is>
          <t>Benefits</t>
        </is>
      </c>
      <c r="C188" s="27" t="n">
        <v>25988</v>
      </c>
      <c r="D188" s="27" t="n">
        <v>21634.56</v>
      </c>
      <c r="E188" s="27" t="n">
        <v>21776</v>
      </c>
      <c r="F188" s="27" t="n">
        <v>21593.87</v>
      </c>
      <c r="G188" s="27" t="n">
        <v>21920</v>
      </c>
      <c r="H188" s="27">
        <f>G188-F188</f>
        <v/>
      </c>
      <c r="I188" s="11">
        <f>IF(F188=0,0,G188/F188-1)</f>
        <v/>
      </c>
    </row>
    <row r="189">
      <c r="A189" s="9" t="inlineStr">
        <is>
          <t>1000.0000.2120.52310.050</t>
        </is>
      </c>
      <c r="B189" s="9" t="inlineStr">
        <is>
          <t>Retirement</t>
        </is>
      </c>
      <c r="C189" s="27" t="n">
        <v>2905</v>
      </c>
      <c r="D189" s="27" t="n">
        <v>3226.36</v>
      </c>
      <c r="E189" s="27" t="n">
        <v>3276</v>
      </c>
      <c r="F189" s="27" t="n">
        <v>3265.5</v>
      </c>
      <c r="G189" s="27" t="n">
        <v>3339</v>
      </c>
      <c r="H189" s="27">
        <f>G189-F189</f>
        <v/>
      </c>
      <c r="I189" s="11">
        <f>IF(F189=0,0,G189/F189-1)</f>
        <v/>
      </c>
    </row>
    <row r="190">
      <c r="A190" s="9" t="inlineStr">
        <is>
          <t>1000.0000.2120.54330.050</t>
        </is>
      </c>
      <c r="B190" s="9" t="inlineStr">
        <is>
          <t>Software</t>
        </is>
      </c>
      <c r="C190" s="27" t="n">
        <v>0</v>
      </c>
      <c r="D190" s="27" t="n">
        <v>0</v>
      </c>
      <c r="E190" s="27" t="n">
        <v>0</v>
      </c>
      <c r="F190" s="27" t="n">
        <v>0</v>
      </c>
      <c r="G190" s="27" t="n">
        <v>334</v>
      </c>
      <c r="H190" s="27">
        <f>G190-F190</f>
        <v/>
      </c>
      <c r="I190" s="11">
        <f>IF(F190=0,0,G190/F190-1)</f>
        <v/>
      </c>
    </row>
    <row r="191">
      <c r="A191" s="9" t="inlineStr">
        <is>
          <t>1000.0000.2120.56100.050</t>
        </is>
      </c>
      <c r="B191" s="9" t="inlineStr">
        <is>
          <t>Instructional Supplies</t>
        </is>
      </c>
      <c r="C191" s="27" t="n">
        <v>339</v>
      </c>
      <c r="D191" s="27" t="n">
        <v>335.89</v>
      </c>
      <c r="E191" s="27" t="n">
        <v>339</v>
      </c>
      <c r="F191" s="27" t="n">
        <v>122.95</v>
      </c>
      <c r="G191" s="27" t="n">
        <v>339</v>
      </c>
      <c r="H191" s="27">
        <f>G191-F191</f>
        <v/>
      </c>
      <c r="I191" s="11">
        <f>IF(F191=0,0,G191/F191-1)</f>
        <v/>
      </c>
    </row>
    <row r="192">
      <c r="A192" s="9" t="inlineStr">
        <is>
          <t>1000.0000.2120.57300.050</t>
        </is>
      </c>
      <c r="B192" s="9" t="inlineStr">
        <is>
          <t>Equipment</t>
        </is>
      </c>
      <c r="C192" s="27" t="n">
        <v>0</v>
      </c>
      <c r="D192" s="27" t="n">
        <v>0</v>
      </c>
      <c r="E192" s="27" t="n">
        <v>0</v>
      </c>
      <c r="F192" s="27" t="n">
        <v>0</v>
      </c>
      <c r="G192" s="27" t="n">
        <v>500</v>
      </c>
      <c r="H192" s="27">
        <f>G192-F192</f>
        <v/>
      </c>
      <c r="I192" s="11">
        <f>IF(F192=0,0,G192/F192-1)</f>
        <v/>
      </c>
    </row>
    <row r="193">
      <c r="A193" s="17" t="n"/>
      <c r="B193" s="31" t="inlineStr">
        <is>
          <t>Program 0000 Total</t>
        </is>
      </c>
      <c r="C193" s="32">
        <f>SUM(C187:C192)</f>
        <v/>
      </c>
      <c r="D193" s="32">
        <f>SUM(D187:D192)</f>
        <v/>
      </c>
      <c r="E193" s="32">
        <f>SUM(E187:E192)</f>
        <v/>
      </c>
      <c r="F193" s="32">
        <f>SUM(F187:F192)</f>
        <v/>
      </c>
      <c r="G193" s="32">
        <f>SUM(G187:G192)</f>
        <v/>
      </c>
      <c r="H193" s="32">
        <f>SUM(H187:H192)</f>
        <v/>
      </c>
      <c r="I193" s="32">
        <f>SUM(I187:I192)</f>
        <v/>
      </c>
    </row>
    <row r="194">
      <c r="A194" s="9" t="inlineStr">
        <is>
          <t>1000.0000.2130.51010.050</t>
        </is>
      </c>
      <c r="B194" s="9" t="inlineStr">
        <is>
          <t>Nurse Salary</t>
        </is>
      </c>
      <c r="C194" s="27" t="n">
        <v>41905</v>
      </c>
      <c r="D194" s="27" t="n">
        <v>44320.02</v>
      </c>
      <c r="E194" s="27" t="n">
        <v>65995</v>
      </c>
      <c r="F194" s="27" t="n">
        <v>39687.44</v>
      </c>
      <c r="G194" s="27" t="n">
        <v>69630</v>
      </c>
      <c r="H194" s="27">
        <f>G194-F194</f>
        <v/>
      </c>
      <c r="I194" s="11">
        <f>IF(F194=0,0,G194/F194-1)</f>
        <v/>
      </c>
    </row>
    <row r="195">
      <c r="A195" s="9" t="inlineStr">
        <is>
          <t>1000.0000.2130.52010.050</t>
        </is>
      </c>
      <c r="B195" s="9" t="inlineStr">
        <is>
          <t>Nurse Benefits</t>
        </is>
      </c>
      <c r="C195" s="27" t="n">
        <v>17243</v>
      </c>
      <c r="D195" s="27" t="n">
        <v>14496.08</v>
      </c>
      <c r="E195" s="27" t="n">
        <v>21023</v>
      </c>
      <c r="F195" s="27" t="n">
        <v>12360.4</v>
      </c>
      <c r="G195" s="27" t="n">
        <v>13106</v>
      </c>
      <c r="H195" s="27">
        <f>G195-F195</f>
        <v/>
      </c>
      <c r="I195" s="11">
        <f>IF(F195=0,0,G195/F195-1)</f>
        <v/>
      </c>
    </row>
    <row r="196">
      <c r="A196" s="9" t="inlineStr">
        <is>
          <t>1000.0000.2130.52310.050</t>
        </is>
      </c>
      <c r="B196" s="9" t="inlineStr">
        <is>
          <t>Retirement</t>
        </is>
      </c>
      <c r="C196" s="27" t="n">
        <v>1664</v>
      </c>
      <c r="D196" s="27" t="n">
        <v>1772.39</v>
      </c>
      <c r="E196" s="27" t="n">
        <v>2745</v>
      </c>
      <c r="F196" s="27" t="n">
        <v>1651</v>
      </c>
      <c r="G196" s="27" t="n">
        <v>2897</v>
      </c>
      <c r="H196" s="27">
        <f>G196-F196</f>
        <v/>
      </c>
      <c r="I196" s="11">
        <f>IF(F196=0,0,G196/F196-1)</f>
        <v/>
      </c>
    </row>
    <row r="197">
      <c r="A197" s="9" t="inlineStr">
        <is>
          <t>1000.0000.2130.53000.050</t>
        </is>
      </c>
      <c r="B197" s="9" t="inlineStr">
        <is>
          <t>Purchased Professional</t>
        </is>
      </c>
      <c r="C197" s="27" t="n">
        <v>200</v>
      </c>
      <c r="D197" s="27" t="n">
        <v>2019.26</v>
      </c>
      <c r="E197" s="27" t="n">
        <v>200</v>
      </c>
      <c r="F197" s="27" t="n">
        <v>88</v>
      </c>
      <c r="G197" s="27" t="n">
        <v>200</v>
      </c>
      <c r="H197" s="27">
        <f>G197-F197</f>
        <v/>
      </c>
      <c r="I197" s="11">
        <f>IF(F197=0,0,G197/F197-1)</f>
        <v/>
      </c>
    </row>
    <row r="198">
      <c r="A198" s="9" t="inlineStr">
        <is>
          <t>1000.0000.2130.54310.050</t>
        </is>
      </c>
      <c r="B198" s="9" t="inlineStr">
        <is>
          <t>Repairs &amp; Maintenance</t>
        </is>
      </c>
      <c r="C198" s="27" t="n">
        <v>135</v>
      </c>
      <c r="D198" s="27" t="n">
        <v>135</v>
      </c>
      <c r="E198" s="27" t="n">
        <v>135</v>
      </c>
      <c r="F198" s="27" t="n">
        <v>131.73</v>
      </c>
      <c r="G198" s="27" t="n">
        <v>135</v>
      </c>
      <c r="H198" s="27">
        <f>G198-F198</f>
        <v/>
      </c>
      <c r="I198" s="11">
        <f>IF(F198=0,0,G198/F198-1)</f>
        <v/>
      </c>
    </row>
    <row r="199">
      <c r="A199" s="9" t="inlineStr">
        <is>
          <t>1000.0000.2130.56000.050</t>
        </is>
      </c>
      <c r="B199" s="9" t="inlineStr">
        <is>
          <t>Supplies</t>
        </is>
      </c>
      <c r="C199" s="27" t="n">
        <v>927</v>
      </c>
      <c r="D199" s="27" t="n">
        <v>963.7</v>
      </c>
      <c r="E199" s="27" t="n">
        <v>917</v>
      </c>
      <c r="F199" s="27" t="n">
        <v>896.87</v>
      </c>
      <c r="G199" s="27" t="n">
        <v>844</v>
      </c>
      <c r="H199" s="27">
        <f>G199-F199</f>
        <v/>
      </c>
      <c r="I199" s="11">
        <f>IF(F199=0,0,G199/F199-1)</f>
        <v/>
      </c>
    </row>
    <row r="200">
      <c r="A200" s="17" t="n"/>
      <c r="B200" s="31" t="inlineStr">
        <is>
          <t>Program 0000 Total</t>
        </is>
      </c>
      <c r="C200" s="32">
        <f>SUM(C194:C199)</f>
        <v/>
      </c>
      <c r="D200" s="32">
        <f>SUM(D194:D199)</f>
        <v/>
      </c>
      <c r="E200" s="32">
        <f>SUM(E194:E199)</f>
        <v/>
      </c>
      <c r="F200" s="32">
        <f>SUM(F194:F199)</f>
        <v/>
      </c>
      <c r="G200" s="32">
        <f>SUM(G194:G199)</f>
        <v/>
      </c>
      <c r="H200" s="32">
        <f>SUM(H194:H199)</f>
        <v/>
      </c>
      <c r="I200" s="32">
        <f>SUM(I194:I199)</f>
        <v/>
      </c>
    </row>
    <row r="201">
      <c r="A201" s="9" t="inlineStr">
        <is>
          <t>1000.0000.2213.51500.050</t>
        </is>
      </c>
      <c r="B201" s="9" t="inlineStr">
        <is>
          <t>Stipends - FMS</t>
        </is>
      </c>
      <c r="C201" s="27" t="n">
        <v>0</v>
      </c>
      <c r="D201" s="27" t="n">
        <v>0</v>
      </c>
      <c r="E201" s="27" t="n">
        <v>0</v>
      </c>
      <c r="F201" s="27" t="n">
        <v>0</v>
      </c>
      <c r="G201" s="27" t="n">
        <v>0</v>
      </c>
      <c r="H201" s="27">
        <f>G201-F201</f>
        <v/>
      </c>
      <c r="I201" s="11">
        <f>IF(F201=0,0,G201/F201-1)</f>
        <v/>
      </c>
    </row>
    <row r="202">
      <c r="A202" s="9" t="inlineStr">
        <is>
          <t>1000.0000.2213.52000.050</t>
        </is>
      </c>
      <c r="B202" s="9" t="inlineStr">
        <is>
          <t>Stipend Benefits - FMS</t>
        </is>
      </c>
      <c r="C202" s="27" t="n">
        <v>0</v>
      </c>
      <c r="D202" s="27" t="n">
        <v>0</v>
      </c>
      <c r="E202" s="27" t="n">
        <v>0</v>
      </c>
      <c r="F202" s="27" t="n">
        <v>0</v>
      </c>
      <c r="G202" s="27" t="n">
        <v>0</v>
      </c>
      <c r="H202" s="27">
        <f>G202-F202</f>
        <v/>
      </c>
      <c r="I202" s="11">
        <f>IF(F202=0,0,G202/F202-1)</f>
        <v/>
      </c>
    </row>
    <row r="203">
      <c r="A203" s="9" t="inlineStr">
        <is>
          <t>1000.0000.2213.52300.050</t>
        </is>
      </c>
      <c r="B203" s="9" t="inlineStr">
        <is>
          <t>Stipend Retirement - FMS</t>
        </is>
      </c>
      <c r="C203" s="27" t="n">
        <v>0</v>
      </c>
      <c r="D203" s="27" t="n">
        <v>0</v>
      </c>
      <c r="E203" s="27" t="n">
        <v>0</v>
      </c>
      <c r="F203" s="27" t="n">
        <v>0</v>
      </c>
      <c r="G203" s="27" t="n">
        <v>0</v>
      </c>
      <c r="H203" s="27">
        <f>G203-F203</f>
        <v/>
      </c>
      <c r="I203" s="11">
        <f>IF(F203=0,0,G203/F203-1)</f>
        <v/>
      </c>
    </row>
    <row r="204">
      <c r="A204" s="17" t="n"/>
      <c r="B204" s="31" t="inlineStr">
        <is>
          <t>Program 0000 Total</t>
        </is>
      </c>
      <c r="C204" s="32">
        <f>SUM(C201:C203)</f>
        <v/>
      </c>
      <c r="D204" s="32">
        <f>SUM(D201:D203)</f>
        <v/>
      </c>
      <c r="E204" s="32">
        <f>SUM(E201:E203)</f>
        <v/>
      </c>
      <c r="F204" s="32">
        <f>SUM(F201:F203)</f>
        <v/>
      </c>
      <c r="G204" s="32">
        <f>SUM(G201:G203)</f>
        <v/>
      </c>
      <c r="H204" s="32">
        <f>SUM(H201:H203)</f>
        <v/>
      </c>
      <c r="I204" s="32">
        <f>SUM(I201:I203)</f>
        <v/>
      </c>
    </row>
    <row r="205">
      <c r="A205" s="9" t="inlineStr">
        <is>
          <t>1000.0000.2220.51010.050</t>
        </is>
      </c>
      <c r="B205" s="9" t="inlineStr">
        <is>
          <t>Librarian Salaries</t>
        </is>
      </c>
      <c r="C205" s="27" t="n">
        <v>59682</v>
      </c>
      <c r="D205" s="27" t="n">
        <v>64432.71</v>
      </c>
      <c r="E205" s="27" t="n">
        <v>66384</v>
      </c>
      <c r="F205" s="27" t="n">
        <v>66384.5</v>
      </c>
      <c r="G205" s="27" t="n">
        <v>68801</v>
      </c>
      <c r="H205" s="27">
        <f>G205-F205</f>
        <v/>
      </c>
      <c r="I205" s="11">
        <f>IF(F205=0,0,G205/F205-1)</f>
        <v/>
      </c>
    </row>
    <row r="206">
      <c r="A206" s="9" t="inlineStr">
        <is>
          <t>1000.0000.2220.51020.050</t>
        </is>
      </c>
      <c r="B206" s="9" t="inlineStr">
        <is>
          <t>Ed Tech Salaries</t>
        </is>
      </c>
      <c r="C206" s="27" t="n">
        <v>0</v>
      </c>
      <c r="D206" s="27" t="n">
        <v>0</v>
      </c>
      <c r="E206" s="27" t="n">
        <v>0</v>
      </c>
      <c r="F206" s="27" t="n">
        <v>0</v>
      </c>
      <c r="G206" s="27" t="n">
        <v>0</v>
      </c>
      <c r="H206" s="27">
        <f>G206-F206</f>
        <v/>
      </c>
      <c r="I206" s="11">
        <f>IF(F206=0,0,G206/F206-1)</f>
        <v/>
      </c>
    </row>
    <row r="207">
      <c r="A207" s="9" t="inlineStr">
        <is>
          <t>1000.0000.2220.52010.050</t>
        </is>
      </c>
      <c r="B207" s="9" t="inlineStr">
        <is>
          <t>Librarian Benefits</t>
        </is>
      </c>
      <c r="C207" s="27" t="n">
        <v>25097</v>
      </c>
      <c r="D207" s="27" t="n">
        <v>21499.08</v>
      </c>
      <c r="E207" s="27" t="n">
        <v>21510</v>
      </c>
      <c r="F207" s="27" t="n">
        <v>21476.06</v>
      </c>
      <c r="G207" s="27" t="n">
        <v>21662</v>
      </c>
      <c r="H207" s="27">
        <f>G207-F207</f>
        <v/>
      </c>
      <c r="I207" s="11">
        <f>IF(F207=0,0,G207/F207-1)</f>
        <v/>
      </c>
    </row>
    <row r="208">
      <c r="A208" s="9" t="inlineStr">
        <is>
          <t>1000.0000.2220.52310.050</t>
        </is>
      </c>
      <c r="B208" s="9" t="inlineStr">
        <is>
          <t>Retirement</t>
        </is>
      </c>
      <c r="C208" s="27" t="n">
        <v>2369</v>
      </c>
      <c r="D208" s="27" t="n">
        <v>2902.35</v>
      </c>
      <c r="E208" s="27" t="n">
        <v>2762</v>
      </c>
      <c r="F208" s="27" t="n">
        <v>3116.26</v>
      </c>
      <c r="G208" s="27" t="n">
        <v>2862</v>
      </c>
      <c r="H208" s="27">
        <f>G208-F208</f>
        <v/>
      </c>
      <c r="I208" s="11">
        <f>IF(F208=0,0,G208/F208-1)</f>
        <v/>
      </c>
    </row>
    <row r="209">
      <c r="A209" s="9" t="inlineStr">
        <is>
          <t>1000.0000.2220.54330.050</t>
        </is>
      </c>
      <c r="B209" s="9" t="inlineStr">
        <is>
          <t>Software</t>
        </is>
      </c>
      <c r="C209" s="27" t="n">
        <v>1100</v>
      </c>
      <c r="D209" s="27" t="n">
        <v>1294</v>
      </c>
      <c r="E209" s="27" t="n">
        <v>1043</v>
      </c>
      <c r="F209" s="27" t="n">
        <v>1042.5</v>
      </c>
      <c r="G209" s="27" t="n">
        <v>1043</v>
      </c>
      <c r="H209" s="27">
        <f>G209-F209</f>
        <v/>
      </c>
      <c r="I209" s="11">
        <f>IF(F209=0,0,G209/F209-1)</f>
        <v/>
      </c>
    </row>
    <row r="210">
      <c r="A210" s="9" t="inlineStr">
        <is>
          <t>1000.0000.2220.56000.050</t>
        </is>
      </c>
      <c r="B210" s="9" t="inlineStr">
        <is>
          <t>Supplies</t>
        </is>
      </c>
      <c r="C210" s="27" t="n">
        <v>500</v>
      </c>
      <c r="D210" s="27" t="n">
        <v>499.08</v>
      </c>
      <c r="E210" s="27" t="n">
        <v>500</v>
      </c>
      <c r="F210" s="27" t="n">
        <v>153.47</v>
      </c>
      <c r="G210" s="27" t="n">
        <v>500</v>
      </c>
      <c r="H210" s="27">
        <f>G210-F210</f>
        <v/>
      </c>
      <c r="I210" s="11">
        <f>IF(F210=0,0,G210/F210-1)</f>
        <v/>
      </c>
    </row>
    <row r="211">
      <c r="A211" s="9" t="inlineStr">
        <is>
          <t>1000.0000.2220.56400.050</t>
        </is>
      </c>
      <c r="B211" s="9" t="inlineStr">
        <is>
          <t>Books</t>
        </is>
      </c>
      <c r="C211" s="27" t="n">
        <v>6990</v>
      </c>
      <c r="D211" s="27" t="n">
        <v>6866.56</v>
      </c>
      <c r="E211" s="27" t="n">
        <v>7155</v>
      </c>
      <c r="F211" s="27" t="n">
        <v>7107.02</v>
      </c>
      <c r="G211" s="27" t="n">
        <v>6601</v>
      </c>
      <c r="H211" s="27">
        <f>G211-F211</f>
        <v/>
      </c>
      <c r="I211" s="11">
        <f>IF(F211=0,0,G211/F211-1)</f>
        <v/>
      </c>
    </row>
    <row r="212">
      <c r="A212" s="9" t="inlineStr">
        <is>
          <t>1000.0000.2220.57300.050</t>
        </is>
      </c>
      <c r="B212" s="9" t="inlineStr">
        <is>
          <t>Equipment</t>
        </is>
      </c>
      <c r="C212" s="27" t="n">
        <v>0</v>
      </c>
      <c r="D212" s="27" t="n">
        <v>1188.72</v>
      </c>
      <c r="E212" s="27" t="n">
        <v>0</v>
      </c>
      <c r="F212" s="27" t="n">
        <v>0</v>
      </c>
      <c r="G212" s="27" t="n">
        <v>0</v>
      </c>
      <c r="H212" s="27">
        <f>G212-F212</f>
        <v/>
      </c>
      <c r="I212" s="11">
        <f>IF(F212=0,0,G212/F212-1)</f>
        <v/>
      </c>
    </row>
    <row r="213">
      <c r="A213" s="17" t="n"/>
      <c r="B213" s="31" t="inlineStr">
        <is>
          <t>Program 0000 Total</t>
        </is>
      </c>
      <c r="C213" s="32">
        <f>SUM(C205:C212)</f>
        <v/>
      </c>
      <c r="D213" s="32">
        <f>SUM(D205:D212)</f>
        <v/>
      </c>
      <c r="E213" s="32">
        <f>SUM(E205:E212)</f>
        <v/>
      </c>
      <c r="F213" s="32">
        <f>SUM(F205:F212)</f>
        <v/>
      </c>
      <c r="G213" s="32">
        <f>SUM(G205:G212)</f>
        <v/>
      </c>
      <c r="H213" s="32">
        <f>SUM(H205:H212)</f>
        <v/>
      </c>
      <c r="I213" s="32">
        <f>SUM(I205:I212)</f>
        <v/>
      </c>
    </row>
    <row r="214">
      <c r="A214" s="9" t="inlineStr">
        <is>
          <t>1000.0000.2230.51010.050</t>
        </is>
      </c>
      <c r="B214" s="9" t="inlineStr">
        <is>
          <t>Teacher Salary</t>
        </is>
      </c>
      <c r="C214" s="27" t="n">
        <v>63998</v>
      </c>
      <c r="D214" s="27" t="n">
        <v>57294.4</v>
      </c>
      <c r="E214" s="27" t="n">
        <v>70602</v>
      </c>
      <c r="F214" s="27" t="n">
        <v>70602.22</v>
      </c>
      <c r="G214" s="27" t="n">
        <v>0</v>
      </c>
      <c r="H214" s="27">
        <f>G214-F214</f>
        <v/>
      </c>
      <c r="I214" s="11">
        <f>IF(F214=0,0,G214/F214-1)</f>
        <v/>
      </c>
    </row>
    <row r="215">
      <c r="A215" s="9" t="inlineStr">
        <is>
          <t>1000.0000.2230.51180.050</t>
        </is>
      </c>
      <c r="B215" s="9" t="inlineStr">
        <is>
          <t>Support Salaries</t>
        </is>
      </c>
      <c r="C215" s="27" t="n">
        <v>19510</v>
      </c>
      <c r="D215" s="27" t="n">
        <v>40136.91</v>
      </c>
      <c r="E215" s="27" t="n">
        <v>41006</v>
      </c>
      <c r="F215" s="27" t="n">
        <v>39689.43</v>
      </c>
      <c r="G215" s="27" t="n">
        <v>0</v>
      </c>
      <c r="H215" s="27">
        <f>G215-F215</f>
        <v/>
      </c>
      <c r="I215" s="11">
        <f>IF(F215=0,0,G215/F215-1)</f>
        <v/>
      </c>
    </row>
    <row r="216">
      <c r="A216" s="9" t="inlineStr">
        <is>
          <t>1000.0000.2230.51500.050</t>
        </is>
      </c>
      <c r="B216" s="9" t="inlineStr">
        <is>
          <t>Stipends</t>
        </is>
      </c>
      <c r="C216" s="27" t="n">
        <v>5396</v>
      </c>
      <c r="D216" s="27" t="n">
        <v>3855</v>
      </c>
      <c r="E216" s="27" t="n">
        <v>5558</v>
      </c>
      <c r="F216" s="27" t="n">
        <v>3855</v>
      </c>
      <c r="G216" s="27" t="n">
        <v>0</v>
      </c>
      <c r="H216" s="27">
        <f>G216-F216</f>
        <v/>
      </c>
      <c r="I216" s="11">
        <f>IF(F216=0,0,G216/F216-1)</f>
        <v/>
      </c>
    </row>
    <row r="217">
      <c r="A217" s="9" t="inlineStr">
        <is>
          <t>1000.0000.2230.52000.050</t>
        </is>
      </c>
      <c r="B217" s="9" t="inlineStr">
        <is>
          <t>Stipend Benefits</t>
        </is>
      </c>
      <c r="C217" s="27" t="n">
        <v>270</v>
      </c>
      <c r="D217" s="27" t="n">
        <v>21.95</v>
      </c>
      <c r="E217" s="27" t="n">
        <v>278</v>
      </c>
      <c r="F217" s="27" t="n">
        <v>19.31</v>
      </c>
      <c r="G217" s="27" t="n">
        <v>0</v>
      </c>
      <c r="H217" s="27">
        <f>G217-F217</f>
        <v/>
      </c>
      <c r="I217" s="11">
        <f>IF(F217=0,0,G217/F217-1)</f>
        <v/>
      </c>
    </row>
    <row r="218">
      <c r="A218" s="9" t="inlineStr">
        <is>
          <t>1000.0000.2230.52010.050</t>
        </is>
      </c>
      <c r="B218" s="9" t="inlineStr">
        <is>
          <t>Teacher Benefits</t>
        </is>
      </c>
      <c r="C218" s="27" t="n">
        <v>25459</v>
      </c>
      <c r="D218" s="27" t="n">
        <v>18191.52</v>
      </c>
      <c r="E218" s="27" t="n">
        <v>21601</v>
      </c>
      <c r="F218" s="27" t="n">
        <v>21433.95</v>
      </c>
      <c r="G218" s="27" t="n">
        <v>0</v>
      </c>
      <c r="H218" s="27">
        <f>G218-F218</f>
        <v/>
      </c>
      <c r="I218" s="11">
        <f>IF(F218=0,0,G218/F218-1)</f>
        <v/>
      </c>
    </row>
    <row r="219">
      <c r="A219" s="9" t="inlineStr">
        <is>
          <t>1000.0000.2230.52080.050</t>
        </is>
      </c>
      <c r="B219" s="9" t="inlineStr">
        <is>
          <t>Support Benefits</t>
        </is>
      </c>
      <c r="C219" s="27" t="n">
        <v>4789</v>
      </c>
      <c r="D219" s="27" t="n">
        <v>12050.05</v>
      </c>
      <c r="E219" s="27" t="n">
        <v>14293</v>
      </c>
      <c r="F219" s="27" t="n">
        <v>5686.93</v>
      </c>
      <c r="G219" s="27" t="n">
        <v>0</v>
      </c>
      <c r="H219" s="27">
        <f>G219-F219</f>
        <v/>
      </c>
      <c r="I219" s="11">
        <f>IF(F219=0,0,G219/F219-1)</f>
        <v/>
      </c>
    </row>
    <row r="220">
      <c r="A220" s="9" t="inlineStr">
        <is>
          <t>1000.0000.2230.52300.050</t>
        </is>
      </c>
      <c r="B220" s="9" t="inlineStr">
        <is>
          <t>Retirement</t>
        </is>
      </c>
      <c r="C220" s="27" t="n">
        <v>214</v>
      </c>
      <c r="D220" s="27" t="n">
        <v>0</v>
      </c>
      <c r="E220" s="27" t="n">
        <v>231</v>
      </c>
      <c r="F220" s="27" t="n">
        <v>3.09</v>
      </c>
      <c r="G220" s="27" t="n">
        <v>0</v>
      </c>
      <c r="H220" s="27">
        <f>G220-F220</f>
        <v/>
      </c>
      <c r="I220" s="11">
        <f>IF(F220=0,0,G220/F220-1)</f>
        <v/>
      </c>
    </row>
    <row r="221">
      <c r="A221" s="9" t="inlineStr">
        <is>
          <t>1000.0000.2230.52310.050</t>
        </is>
      </c>
      <c r="B221" s="9" t="inlineStr">
        <is>
          <t>Retirement</t>
        </is>
      </c>
      <c r="C221" s="27" t="n">
        <v>2801</v>
      </c>
      <c r="D221" s="27" t="n">
        <v>2294.38</v>
      </c>
      <c r="E221" s="27" t="n">
        <v>2937</v>
      </c>
      <c r="F221" s="27" t="n">
        <v>2936.96</v>
      </c>
      <c r="G221" s="27" t="n">
        <v>0</v>
      </c>
      <c r="H221" s="27">
        <f>G221-F221</f>
        <v/>
      </c>
      <c r="I221" s="11">
        <f>IF(F221=0,0,G221/F221-1)</f>
        <v/>
      </c>
    </row>
    <row r="222">
      <c r="A222" s="9" t="inlineStr">
        <is>
          <t>1000.0000.2230.54320.050</t>
        </is>
      </c>
      <c r="B222" s="9" t="inlineStr">
        <is>
          <t>Tech Repairs/Maint</t>
        </is>
      </c>
      <c r="C222" s="27" t="n">
        <v>1688</v>
      </c>
      <c r="D222" s="27" t="n">
        <v>1211</v>
      </c>
      <c r="E222" s="27" t="n">
        <v>1740</v>
      </c>
      <c r="F222" s="27" t="n">
        <v>474.8</v>
      </c>
      <c r="G222" s="27" t="n">
        <v>0</v>
      </c>
      <c r="H222" s="27">
        <f>G222-F222</f>
        <v/>
      </c>
      <c r="I222" s="11">
        <f>IF(F222=0,0,G222/F222-1)</f>
        <v/>
      </c>
    </row>
    <row r="223">
      <c r="A223" s="9" t="inlineStr">
        <is>
          <t>1000.0000.2230.54330.050</t>
        </is>
      </c>
      <c r="B223" s="9" t="inlineStr">
        <is>
          <t>Software</t>
        </is>
      </c>
      <c r="C223" s="27" t="n">
        <v>200</v>
      </c>
      <c r="D223" s="27" t="n">
        <v>0</v>
      </c>
      <c r="E223" s="27" t="n">
        <v>200</v>
      </c>
      <c r="F223" s="27" t="n">
        <v>0</v>
      </c>
      <c r="G223" s="27" t="n">
        <v>0</v>
      </c>
      <c r="H223" s="27">
        <f>G223-F223</f>
        <v/>
      </c>
      <c r="I223" s="11">
        <f>IF(F223=0,0,G223/F223-1)</f>
        <v/>
      </c>
    </row>
    <row r="224">
      <c r="A224" s="9" t="inlineStr">
        <is>
          <t>1000.0000.2230.56500.050</t>
        </is>
      </c>
      <c r="B224" s="9" t="inlineStr">
        <is>
          <t>Supplies</t>
        </is>
      </c>
      <c r="C224" s="27" t="n">
        <v>700</v>
      </c>
      <c r="D224" s="27" t="n">
        <v>0</v>
      </c>
      <c r="E224" s="27" t="n">
        <v>700</v>
      </c>
      <c r="F224" s="27" t="n">
        <v>0</v>
      </c>
      <c r="G224" s="27" t="n">
        <v>200</v>
      </c>
      <c r="H224" s="27">
        <f>G224-F224</f>
        <v/>
      </c>
      <c r="I224" s="11">
        <f>IF(F224=0,0,G224/F224-1)</f>
        <v/>
      </c>
    </row>
    <row r="225">
      <c r="A225" s="17" t="n"/>
      <c r="B225" s="31" t="inlineStr">
        <is>
          <t>Program 0000 Total</t>
        </is>
      </c>
      <c r="C225" s="32">
        <f>SUM(C214:C224)</f>
        <v/>
      </c>
      <c r="D225" s="32">
        <f>SUM(D214:D224)</f>
        <v/>
      </c>
      <c r="E225" s="32">
        <f>SUM(E214:E224)</f>
        <v/>
      </c>
      <c r="F225" s="32">
        <f>SUM(F214:F224)</f>
        <v/>
      </c>
      <c r="G225" s="32">
        <f>SUM(G214:G224)</f>
        <v/>
      </c>
      <c r="H225" s="32">
        <f>SUM(H214:H224)</f>
        <v/>
      </c>
      <c r="I225" s="32">
        <f>SUM(I214:I224)</f>
        <v/>
      </c>
    </row>
    <row r="226">
      <c r="A226" s="17" t="n"/>
      <c r="B226" s="20" t="inlineStr">
        <is>
          <t>Cost Center ('050',) Total</t>
        </is>
      </c>
      <c r="C226" s="35">
        <f>C193+C200+C204+C213+C225</f>
        <v/>
      </c>
      <c r="D226" s="35">
        <f>D193+D200+D204+D213+D225</f>
        <v/>
      </c>
      <c r="E226" s="35">
        <f>E193+E200+E204+E213+E225</f>
        <v/>
      </c>
      <c r="F226" s="35">
        <f>F193+F200+F204+F213+F225</f>
        <v/>
      </c>
      <c r="G226" s="35">
        <f>G193+G200+G204+G213+G225</f>
        <v/>
      </c>
      <c r="H226" s="35">
        <f>H193+H200+H204+H213+H225</f>
        <v/>
      </c>
      <c r="I226" s="35">
        <f>I193+I200+I204+I213+I225</f>
        <v/>
      </c>
    </row>
    <row r="228">
      <c r="A228" s="3" t="inlineStr">
        <is>
          <t>Cost Center: ('300',)</t>
        </is>
      </c>
    </row>
    <row r="229">
      <c r="A229" s="9" t="inlineStr">
        <is>
          <t>1000.0000.2110.51010.300</t>
        </is>
      </c>
      <c r="B229" s="9" t="inlineStr">
        <is>
          <t>Teachers Salaries</t>
        </is>
      </c>
      <c r="C229" s="27" t="n">
        <v>0</v>
      </c>
      <c r="D229" s="27" t="n">
        <v>0</v>
      </c>
      <c r="E229" s="27" t="n">
        <v>0</v>
      </c>
      <c r="F229" s="27" t="n">
        <v>0</v>
      </c>
      <c r="G229" s="27" t="n">
        <v>0</v>
      </c>
      <c r="H229" s="27">
        <f>G229-F229</f>
        <v/>
      </c>
      <c r="I229" s="11">
        <f>IF(F229=0,0,G229/F229-1)</f>
        <v/>
      </c>
    </row>
    <row r="230">
      <c r="A230" s="9" t="inlineStr">
        <is>
          <t>1000.0000.2110.52010.300</t>
        </is>
      </c>
      <c r="B230" s="9" t="inlineStr">
        <is>
          <t>Teacher Benefits</t>
        </is>
      </c>
      <c r="C230" s="27" t="n">
        <v>0</v>
      </c>
      <c r="D230" s="27" t="n">
        <v>0</v>
      </c>
      <c r="E230" s="27" t="n">
        <v>0</v>
      </c>
      <c r="F230" s="27" t="n">
        <v>0</v>
      </c>
      <c r="G230" s="27" t="n">
        <v>0</v>
      </c>
      <c r="H230" s="27">
        <f>G230-F230</f>
        <v/>
      </c>
      <c r="I230" s="11">
        <f>IF(F230=0,0,G230/F230-1)</f>
        <v/>
      </c>
    </row>
    <row r="231">
      <c r="A231" s="9" t="inlineStr">
        <is>
          <t>1000.0000.2110.52310.300</t>
        </is>
      </c>
      <c r="B231" s="9" t="inlineStr">
        <is>
          <t>Retirement</t>
        </is>
      </c>
      <c r="C231" s="27" t="n">
        <v>0</v>
      </c>
      <c r="D231" s="27" t="n">
        <v>0</v>
      </c>
      <c r="E231" s="27" t="n">
        <v>0</v>
      </c>
      <c r="F231" s="27" t="n">
        <v>0</v>
      </c>
      <c r="G231" s="27" t="n">
        <v>0</v>
      </c>
      <c r="H231" s="27">
        <f>G231-F231</f>
        <v/>
      </c>
      <c r="I231" s="11">
        <f>IF(F231=0,0,G231/F231-1)</f>
        <v/>
      </c>
    </row>
    <row r="232">
      <c r="A232" s="17" t="n"/>
      <c r="B232" s="31" t="inlineStr">
        <is>
          <t>Program 0000 Total</t>
        </is>
      </c>
      <c r="C232" s="32">
        <f>SUM(C229:C231)</f>
        <v/>
      </c>
      <c r="D232" s="32">
        <f>SUM(D229:D231)</f>
        <v/>
      </c>
      <c r="E232" s="32">
        <f>SUM(E229:E231)</f>
        <v/>
      </c>
      <c r="F232" s="32">
        <f>SUM(F229:F231)</f>
        <v/>
      </c>
      <c r="G232" s="32">
        <f>SUM(G229:G231)</f>
        <v/>
      </c>
      <c r="H232" s="32">
        <f>SUM(H229:H231)</f>
        <v/>
      </c>
      <c r="I232" s="32">
        <f>SUM(I229:I231)</f>
        <v/>
      </c>
    </row>
    <row r="233">
      <c r="A233" s="9" t="inlineStr">
        <is>
          <t>1000.0000.2120.51010.300</t>
        </is>
      </c>
      <c r="B233" s="9" t="inlineStr">
        <is>
          <t>Counselor Salaries</t>
        </is>
      </c>
      <c r="C233" s="27" t="n">
        <v>214659</v>
      </c>
      <c r="D233" s="27" t="n">
        <v>227766.92</v>
      </c>
      <c r="E233" s="27" t="n">
        <v>240697</v>
      </c>
      <c r="F233" s="27" t="n">
        <v>235415.87</v>
      </c>
      <c r="G233" s="27" t="n">
        <v>249774</v>
      </c>
      <c r="H233" s="27">
        <f>G233-F233</f>
        <v/>
      </c>
      <c r="I233" s="11">
        <f>IF(F233=0,0,G233/F233-1)</f>
        <v/>
      </c>
    </row>
    <row r="234">
      <c r="A234" s="9" t="inlineStr">
        <is>
          <t>1000.0000.2120.51180.300</t>
        </is>
      </c>
      <c r="B234" s="9" t="inlineStr">
        <is>
          <t>Guidance Support Wages</t>
        </is>
      </c>
      <c r="C234" s="27" t="n">
        <v>40150</v>
      </c>
      <c r="D234" s="27" t="n">
        <v>41477.9</v>
      </c>
      <c r="E234" s="27" t="n">
        <v>40150</v>
      </c>
      <c r="F234" s="27" t="n">
        <v>25239.72</v>
      </c>
      <c r="G234" s="27" t="n">
        <v>40768</v>
      </c>
      <c r="H234" s="27">
        <f>G234-F234</f>
        <v/>
      </c>
      <c r="I234" s="11">
        <f>IF(F234=0,0,G234/F234-1)</f>
        <v/>
      </c>
    </row>
    <row r="235">
      <c r="A235" s="9" t="inlineStr">
        <is>
          <t>1000.0000.2120.52010.300</t>
        </is>
      </c>
      <c r="B235" s="9" t="inlineStr">
        <is>
          <t>Counselor Benefits</t>
        </is>
      </c>
      <c r="C235" s="27" t="n">
        <v>25988</v>
      </c>
      <c r="D235" s="27" t="n">
        <v>43922.56</v>
      </c>
      <c r="E235" s="27" t="n">
        <v>39398</v>
      </c>
      <c r="F235" s="27" t="n">
        <v>60220.84</v>
      </c>
      <c r="G235" s="27" t="n">
        <v>58949</v>
      </c>
      <c r="H235" s="27">
        <f>G235-F235</f>
        <v/>
      </c>
      <c r="I235" s="11">
        <f>IF(F235=0,0,G235/F235-1)</f>
        <v/>
      </c>
    </row>
    <row r="236">
      <c r="A236" s="9" t="inlineStr">
        <is>
          <t>1000.0000.2120.52080.300</t>
        </is>
      </c>
      <c r="B236" s="9" t="inlineStr">
        <is>
          <t>Support Benefits</t>
        </is>
      </c>
      <c r="C236" s="27" t="n">
        <v>15673</v>
      </c>
      <c r="D236" s="27" t="n">
        <v>9953.360000000001</v>
      </c>
      <c r="E236" s="27" t="n">
        <v>15673</v>
      </c>
      <c r="F236" s="27" t="n">
        <v>2168.22</v>
      </c>
      <c r="G236" s="27" t="n">
        <v>16490</v>
      </c>
      <c r="H236" s="27">
        <f>G236-F236</f>
        <v/>
      </c>
      <c r="I236" s="11">
        <f>IF(F236=0,0,G236/F236-1)</f>
        <v/>
      </c>
    </row>
    <row r="237">
      <c r="A237" s="9" t="inlineStr">
        <is>
          <t>1000.0000.2120.52310.300</t>
        </is>
      </c>
      <c r="B237" s="9" t="inlineStr">
        <is>
          <t>Retirement</t>
        </is>
      </c>
      <c r="C237" s="27" t="n">
        <v>8522</v>
      </c>
      <c r="D237" s="27" t="n">
        <v>9331.6</v>
      </c>
      <c r="E237" s="27" t="n">
        <v>10013</v>
      </c>
      <c r="F237" s="27" t="n">
        <v>9987.27</v>
      </c>
      <c r="G237" s="27" t="n">
        <v>10391</v>
      </c>
      <c r="H237" s="27">
        <f>G237-F237</f>
        <v/>
      </c>
      <c r="I237" s="11">
        <f>IF(F237=0,0,G237/F237-1)</f>
        <v/>
      </c>
    </row>
    <row r="238">
      <c r="A238" s="9" t="inlineStr">
        <is>
          <t>1000.0000.2120.53000.300</t>
        </is>
      </c>
      <c r="B238" s="9" t="inlineStr">
        <is>
          <t>Purchased Professional</t>
        </is>
      </c>
      <c r="C238" s="27" t="n">
        <v>10400</v>
      </c>
      <c r="D238" s="27" t="n">
        <v>3755.78</v>
      </c>
      <c r="E238" s="27" t="n">
        <v>13082</v>
      </c>
      <c r="F238" s="27" t="n">
        <v>11710.98</v>
      </c>
      <c r="G238" s="27" t="n">
        <v>13482</v>
      </c>
      <c r="H238" s="27">
        <f>G238-F238</f>
        <v/>
      </c>
      <c r="I238" s="11">
        <f>IF(F238=0,0,G238/F238-1)</f>
        <v/>
      </c>
    </row>
    <row r="239">
      <c r="A239" s="9" t="inlineStr">
        <is>
          <t>1000.0000.2120.54330.300</t>
        </is>
      </c>
      <c r="B239" s="9" t="inlineStr">
        <is>
          <t>Software</t>
        </is>
      </c>
      <c r="C239" s="27" t="n">
        <v>0</v>
      </c>
      <c r="D239" s="27" t="n">
        <v>0</v>
      </c>
      <c r="E239" s="27" t="n">
        <v>0</v>
      </c>
      <c r="F239" s="27" t="n">
        <v>0</v>
      </c>
      <c r="G239" s="27" t="n">
        <v>334</v>
      </c>
      <c r="H239" s="27">
        <f>G239-F239</f>
        <v/>
      </c>
      <c r="I239" s="11">
        <f>IF(F239=0,0,G239/F239-1)</f>
        <v/>
      </c>
    </row>
    <row r="240">
      <c r="A240" s="9" t="inlineStr">
        <is>
          <t>1000.0000.2120.55800.300</t>
        </is>
      </c>
      <c r="B240" s="9" t="inlineStr">
        <is>
          <t>Travel</t>
        </is>
      </c>
      <c r="C240" s="27" t="n">
        <v>0</v>
      </c>
      <c r="D240" s="27" t="n">
        <v>0</v>
      </c>
      <c r="E240" s="27" t="n">
        <v>0</v>
      </c>
      <c r="F240" s="27" t="n">
        <v>0</v>
      </c>
      <c r="G240" s="27" t="n">
        <v>400</v>
      </c>
      <c r="H240" s="27">
        <f>G240-F240</f>
        <v/>
      </c>
      <c r="I240" s="11">
        <f>IF(F240=0,0,G240/F240-1)</f>
        <v/>
      </c>
    </row>
    <row r="241">
      <c r="A241" s="9" t="inlineStr">
        <is>
          <t>1000.0000.2120.55810.300</t>
        </is>
      </c>
      <c r="B241" s="9" t="inlineStr">
        <is>
          <t>Travel</t>
        </is>
      </c>
      <c r="C241" s="27" t="n">
        <v>300</v>
      </c>
      <c r="D241" s="27" t="n">
        <v>0</v>
      </c>
      <c r="E241" s="27" t="n">
        <v>400</v>
      </c>
      <c r="F241" s="27" t="n">
        <v>0</v>
      </c>
      <c r="G241" s="27" t="n">
        <v>0</v>
      </c>
      <c r="H241" s="27">
        <f>G241-F241</f>
        <v/>
      </c>
      <c r="I241" s="11">
        <f>IF(F241=0,0,G241/F241-1)</f>
        <v/>
      </c>
    </row>
    <row r="242">
      <c r="A242" s="9" t="inlineStr">
        <is>
          <t>1000.0000.2120.56100.300</t>
        </is>
      </c>
      <c r="B242" s="9" t="inlineStr">
        <is>
          <t>Instructional Supplies</t>
        </is>
      </c>
      <c r="C242" s="27" t="n">
        <v>700</v>
      </c>
      <c r="D242" s="27" t="n">
        <v>621.87</v>
      </c>
      <c r="E242" s="27" t="n">
        <v>1000</v>
      </c>
      <c r="F242" s="27" t="n">
        <v>470.99</v>
      </c>
      <c r="G242" s="27" t="n">
        <v>1000</v>
      </c>
      <c r="H242" s="27">
        <f>G242-F242</f>
        <v/>
      </c>
      <c r="I242" s="11">
        <f>IF(F242=0,0,G242/F242-1)</f>
        <v/>
      </c>
    </row>
    <row r="243">
      <c r="A243" s="9" t="inlineStr">
        <is>
          <t>1000.0000.2120.57300.300</t>
        </is>
      </c>
      <c r="B243" s="9" t="inlineStr">
        <is>
          <t>Equipment</t>
        </is>
      </c>
      <c r="C243" s="27" t="n">
        <v>0</v>
      </c>
      <c r="D243" s="27" t="n">
        <v>0</v>
      </c>
      <c r="E243" s="27" t="n">
        <v>0</v>
      </c>
      <c r="F243" s="27" t="n">
        <v>0</v>
      </c>
      <c r="G243" s="27" t="n">
        <v>500</v>
      </c>
      <c r="H243" s="27">
        <f>G243-F243</f>
        <v/>
      </c>
      <c r="I243" s="11">
        <f>IF(F243=0,0,G243/F243-1)</f>
        <v/>
      </c>
    </row>
    <row r="244">
      <c r="A244" s="17" t="n"/>
      <c r="B244" s="31" t="inlineStr">
        <is>
          <t>Program 0000 Total</t>
        </is>
      </c>
      <c r="C244" s="32">
        <f>SUM(C233:C243)</f>
        <v/>
      </c>
      <c r="D244" s="32">
        <f>SUM(D233:D243)</f>
        <v/>
      </c>
      <c r="E244" s="32">
        <f>SUM(E233:E243)</f>
        <v/>
      </c>
      <c r="F244" s="32">
        <f>SUM(F233:F243)</f>
        <v/>
      </c>
      <c r="G244" s="32">
        <f>SUM(G233:G243)</f>
        <v/>
      </c>
      <c r="H244" s="32">
        <f>SUM(H233:H243)</f>
        <v/>
      </c>
      <c r="I244" s="32">
        <f>SUM(I233:I243)</f>
        <v/>
      </c>
    </row>
    <row r="245">
      <c r="A245" s="9" t="inlineStr">
        <is>
          <t>1000.0000.2130.51010.300</t>
        </is>
      </c>
      <c r="B245" s="9" t="inlineStr">
        <is>
          <t>Nurse Salary</t>
        </is>
      </c>
      <c r="C245" s="27" t="n">
        <v>53694</v>
      </c>
      <c r="D245" s="27" t="n">
        <v>57818.03</v>
      </c>
      <c r="E245" s="27" t="n">
        <v>61309</v>
      </c>
      <c r="F245" s="27" t="n">
        <v>61708.78</v>
      </c>
      <c r="G245" s="27" t="n">
        <v>63603</v>
      </c>
      <c r="H245" s="27">
        <f>G245-F245</f>
        <v/>
      </c>
      <c r="I245" s="11">
        <f>IF(F245=0,0,G245/F245-1)</f>
        <v/>
      </c>
    </row>
    <row r="246">
      <c r="A246" s="9" t="inlineStr">
        <is>
          <t>1000.0000.2130.52010.300</t>
        </is>
      </c>
      <c r="B246" s="9" t="inlineStr">
        <is>
          <t>Nurses Benefits</t>
        </is>
      </c>
      <c r="C246" s="27" t="n">
        <v>24114</v>
      </c>
      <c r="D246" s="27" t="n">
        <v>20803.03</v>
      </c>
      <c r="E246" s="27" t="n">
        <v>20922</v>
      </c>
      <c r="F246" s="27" t="n">
        <v>21149.41</v>
      </c>
      <c r="G246" s="27" t="n">
        <v>21520</v>
      </c>
      <c r="H246" s="27">
        <f>G246-F246</f>
        <v/>
      </c>
      <c r="I246" s="11">
        <f>IF(F246=0,0,G246/F246-1)</f>
        <v/>
      </c>
    </row>
    <row r="247">
      <c r="A247" s="9" t="inlineStr">
        <is>
          <t>1000.0000.2130.52310.300</t>
        </is>
      </c>
      <c r="B247" s="9" t="inlineStr">
        <is>
          <t>Retirement</t>
        </is>
      </c>
      <c r="C247" s="27" t="n">
        <v>2132</v>
      </c>
      <c r="D247" s="27" t="n">
        <v>2312.2</v>
      </c>
      <c r="E247" s="27" t="n">
        <v>2550</v>
      </c>
      <c r="F247" s="27" t="n">
        <v>2566.98</v>
      </c>
      <c r="G247" s="27" t="n">
        <v>2645</v>
      </c>
      <c r="H247" s="27">
        <f>G247-F247</f>
        <v/>
      </c>
      <c r="I247" s="11">
        <f>IF(F247=0,0,G247/F247-1)</f>
        <v/>
      </c>
    </row>
    <row r="248">
      <c r="A248" s="9" t="inlineStr">
        <is>
          <t>1000.0000.2130.53000.300</t>
        </is>
      </c>
      <c r="B248" s="9" t="inlineStr">
        <is>
          <t>Purchased Professional</t>
        </is>
      </c>
      <c r="C248" s="27" t="n">
        <v>200</v>
      </c>
      <c r="D248" s="27" t="n">
        <v>0</v>
      </c>
      <c r="E248" s="27" t="n">
        <v>200</v>
      </c>
      <c r="F248" s="27" t="n">
        <v>28.5</v>
      </c>
      <c r="G248" s="27" t="n">
        <v>200</v>
      </c>
      <c r="H248" s="27">
        <f>G248-F248</f>
        <v/>
      </c>
      <c r="I248" s="11">
        <f>IF(F248=0,0,G248/F248-1)</f>
        <v/>
      </c>
    </row>
    <row r="249">
      <c r="A249" s="9" t="inlineStr">
        <is>
          <t>1000.0000.2130.54310.300</t>
        </is>
      </c>
      <c r="B249" s="9" t="inlineStr">
        <is>
          <t>Repairs &amp; Maintenance</t>
        </is>
      </c>
      <c r="C249" s="27" t="n">
        <v>135</v>
      </c>
      <c r="D249" s="27" t="n">
        <v>0</v>
      </c>
      <c r="E249" s="27" t="n">
        <v>135</v>
      </c>
      <c r="F249" s="27" t="n">
        <v>0</v>
      </c>
      <c r="G249" s="27" t="n">
        <v>135</v>
      </c>
      <c r="H249" s="27">
        <f>G249-F249</f>
        <v/>
      </c>
      <c r="I249" s="11">
        <f>IF(F249=0,0,G249/F249-1)</f>
        <v/>
      </c>
    </row>
    <row r="250">
      <c r="A250" s="9" t="inlineStr">
        <is>
          <t>1000.0000.2130.56000.300</t>
        </is>
      </c>
      <c r="B250" s="9" t="inlineStr">
        <is>
          <t>Supplies</t>
        </is>
      </c>
      <c r="C250" s="27" t="n">
        <v>1399</v>
      </c>
      <c r="D250" s="27" t="n">
        <v>1245.3</v>
      </c>
      <c r="E250" s="27" t="n">
        <v>1541</v>
      </c>
      <c r="F250" s="27" t="n">
        <v>1181.37</v>
      </c>
      <c r="G250" s="27" t="n">
        <v>1617</v>
      </c>
      <c r="H250" s="27">
        <f>G250-F250</f>
        <v/>
      </c>
      <c r="I250" s="11">
        <f>IF(F250=0,0,G250/F250-1)</f>
        <v/>
      </c>
    </row>
    <row r="251">
      <c r="A251" s="17" t="n"/>
      <c r="B251" s="31" t="inlineStr">
        <is>
          <t>Program 0000 Total</t>
        </is>
      </c>
      <c r="C251" s="32">
        <f>SUM(C245:C250)</f>
        <v/>
      </c>
      <c r="D251" s="32">
        <f>SUM(D245:D250)</f>
        <v/>
      </c>
      <c r="E251" s="32">
        <f>SUM(E245:E250)</f>
        <v/>
      </c>
      <c r="F251" s="32">
        <f>SUM(F245:F250)</f>
        <v/>
      </c>
      <c r="G251" s="32">
        <f>SUM(G245:G250)</f>
        <v/>
      </c>
      <c r="H251" s="32">
        <f>SUM(H245:H250)</f>
        <v/>
      </c>
      <c r="I251" s="32">
        <f>SUM(I245:I250)</f>
        <v/>
      </c>
    </row>
    <row r="252">
      <c r="A252" s="9" t="inlineStr">
        <is>
          <t>1000.0000.2213.51010.300</t>
        </is>
      </c>
      <c r="B252" s="9" t="inlineStr">
        <is>
          <t>9-12 HONORARIUM</t>
        </is>
      </c>
      <c r="C252" s="27" t="n">
        <v>3405</v>
      </c>
      <c r="D252" s="27" t="n">
        <v>4822.5</v>
      </c>
      <c r="E252" s="27" t="n">
        <v>3405</v>
      </c>
      <c r="F252" s="27" t="n">
        <v>1632.72</v>
      </c>
      <c r="G252" s="27" t="n">
        <v>3650</v>
      </c>
      <c r="H252" s="27">
        <f>G252-F252</f>
        <v/>
      </c>
      <c r="I252" s="11">
        <f>IF(F252=0,0,G252/F252-1)</f>
        <v/>
      </c>
    </row>
    <row r="253">
      <c r="A253" s="9" t="inlineStr">
        <is>
          <t>1000.0000.2213.51500.300</t>
        </is>
      </c>
      <c r="B253" s="9" t="inlineStr">
        <is>
          <t>Stipends</t>
        </is>
      </c>
      <c r="C253" s="27" t="n">
        <v>46169</v>
      </c>
      <c r="D253" s="27" t="n">
        <v>26075.48</v>
      </c>
      <c r="E253" s="27" t="n">
        <v>57434</v>
      </c>
      <c r="F253" s="27" t="n">
        <v>19716.82</v>
      </c>
      <c r="G253" s="27" t="n">
        <v>57434</v>
      </c>
      <c r="H253" s="27">
        <f>G253-F253</f>
        <v/>
      </c>
      <c r="I253" s="11">
        <f>IF(F253=0,0,G253/F253-1)</f>
        <v/>
      </c>
    </row>
    <row r="254">
      <c r="A254" s="9" t="inlineStr">
        <is>
          <t>1000.0000.2213.52000.300</t>
        </is>
      </c>
      <c r="B254" s="9" t="inlineStr">
        <is>
          <t>Stipend Benefits - FHS</t>
        </is>
      </c>
      <c r="C254" s="27" t="n">
        <v>2308</v>
      </c>
      <c r="D254" s="27" t="n">
        <v>733</v>
      </c>
      <c r="E254" s="27" t="n">
        <v>2872</v>
      </c>
      <c r="F254" s="27" t="n">
        <v>3179.32</v>
      </c>
      <c r="G254" s="27" t="n">
        <v>2872</v>
      </c>
      <c r="H254" s="27">
        <f>G254-F254</f>
        <v/>
      </c>
      <c r="I254" s="11">
        <f>IF(F254=0,0,G254/F254-1)</f>
        <v/>
      </c>
    </row>
    <row r="255">
      <c r="A255" s="9" t="inlineStr">
        <is>
          <t>1000.0000.2213.52010.300</t>
        </is>
      </c>
      <c r="B255" s="9" t="inlineStr">
        <is>
          <t>9-12 HONORARIUM BENEFITS</t>
        </is>
      </c>
      <c r="C255" s="27" t="n">
        <v>170</v>
      </c>
      <c r="D255" s="27" t="n">
        <v>416.5</v>
      </c>
      <c r="E255" s="27" t="n">
        <v>170</v>
      </c>
      <c r="F255" s="27" t="n">
        <v>169.88</v>
      </c>
      <c r="G255" s="27" t="n">
        <v>183</v>
      </c>
      <c r="H255" s="27">
        <f>G255-F255</f>
        <v/>
      </c>
      <c r="I255" s="11">
        <f>IF(F255=0,0,G255/F255-1)</f>
        <v/>
      </c>
    </row>
    <row r="256">
      <c r="A256" s="9" t="inlineStr">
        <is>
          <t>1000.0000.2213.52300.300</t>
        </is>
      </c>
      <c r="B256" s="9" t="inlineStr">
        <is>
          <t>Stipend Retirement - FHS</t>
        </is>
      </c>
      <c r="C256" s="27" t="n">
        <v>1833</v>
      </c>
      <c r="D256" s="27" t="n">
        <v>0</v>
      </c>
      <c r="E256" s="27" t="n">
        <v>2389</v>
      </c>
      <c r="F256" s="27" t="n">
        <v>650.2</v>
      </c>
      <c r="G256" s="27" t="n">
        <v>2389</v>
      </c>
      <c r="H256" s="27">
        <f>G256-F256</f>
        <v/>
      </c>
      <c r="I256" s="11">
        <f>IF(F256=0,0,G256/F256-1)</f>
        <v/>
      </c>
    </row>
    <row r="257">
      <c r="A257" s="9" t="inlineStr">
        <is>
          <t>1000.0000.2213.52310.300</t>
        </is>
      </c>
      <c r="B257" s="9" t="inlineStr">
        <is>
          <t>9-12 HONORARIUM RETIREMENT</t>
        </is>
      </c>
      <c r="C257" s="27" t="n">
        <v>135</v>
      </c>
      <c r="D257" s="27" t="n">
        <v>98.48</v>
      </c>
      <c r="E257" s="27" t="n">
        <v>142</v>
      </c>
      <c r="F257" s="27" t="n">
        <v>73.84999999999999</v>
      </c>
      <c r="G257" s="27" t="n">
        <v>152</v>
      </c>
      <c r="H257" s="27">
        <f>G257-F257</f>
        <v/>
      </c>
      <c r="I257" s="11">
        <f>IF(F257=0,0,G257/F257-1)</f>
        <v/>
      </c>
    </row>
    <row r="258">
      <c r="A258" s="9" t="inlineStr">
        <is>
          <t>1000.0000.2213.52510.300</t>
        </is>
      </c>
      <c r="B258" s="9" t="inlineStr">
        <is>
          <t>Tuition Reimbursement-Teacher</t>
        </is>
      </c>
      <c r="C258" s="27" t="n">
        <v>11000</v>
      </c>
      <c r="D258" s="27" t="n">
        <v>27025</v>
      </c>
      <c r="E258" s="27" t="n">
        <v>20000</v>
      </c>
      <c r="F258" s="27" t="n">
        <v>16336.5</v>
      </c>
      <c r="G258" s="27" t="n">
        <v>20000</v>
      </c>
      <c r="H258" s="27">
        <f>G258-F258</f>
        <v/>
      </c>
      <c r="I258" s="11">
        <f>IF(F258=0,0,G258/F258-1)</f>
        <v/>
      </c>
    </row>
    <row r="259">
      <c r="A259" s="9" t="inlineStr">
        <is>
          <t>1000.0000.2213.52520.300</t>
        </is>
      </c>
      <c r="B259" s="9" t="inlineStr">
        <is>
          <t>Tuition Reimbursement-Support</t>
        </is>
      </c>
      <c r="C259" s="27" t="n">
        <v>1000</v>
      </c>
      <c r="D259" s="27" t="n">
        <v>0</v>
      </c>
      <c r="E259" s="27" t="n">
        <v>1300</v>
      </c>
      <c r="F259" s="27" t="n">
        <v>0</v>
      </c>
      <c r="G259" s="27" t="n">
        <v>1300</v>
      </c>
      <c r="H259" s="27">
        <f>G259-F259</f>
        <v/>
      </c>
      <c r="I259" s="11">
        <f>IF(F259=0,0,G259/F259-1)</f>
        <v/>
      </c>
    </row>
    <row r="260">
      <c r="A260" s="9" t="inlineStr">
        <is>
          <t>1000.0000.2213.53000.300</t>
        </is>
      </c>
      <c r="B260" s="9" t="inlineStr">
        <is>
          <t>Purchased Professional Services</t>
        </is>
      </c>
      <c r="C260" s="27" t="n">
        <v>37000</v>
      </c>
      <c r="D260" s="27" t="n">
        <v>14453.82</v>
      </c>
      <c r="E260" s="27" t="n">
        <v>37000</v>
      </c>
      <c r="F260" s="27" t="n">
        <v>20298.79</v>
      </c>
      <c r="G260" s="27" t="n">
        <v>43000</v>
      </c>
      <c r="H260" s="27">
        <f>G260-F260</f>
        <v/>
      </c>
      <c r="I260" s="11">
        <f>IF(F260=0,0,G260/F260-1)</f>
        <v/>
      </c>
    </row>
    <row r="261">
      <c r="A261" s="9" t="inlineStr">
        <is>
          <t>1000.0000.2213.55810.300</t>
        </is>
      </c>
      <c r="B261" s="9" t="inlineStr">
        <is>
          <t>Travel</t>
        </is>
      </c>
      <c r="C261" s="27" t="n">
        <v>400</v>
      </c>
      <c r="D261" s="27" t="n">
        <v>592.49</v>
      </c>
      <c r="E261" s="27" t="n">
        <v>600</v>
      </c>
      <c r="F261" s="27" t="n">
        <v>1185.81</v>
      </c>
      <c r="G261" s="27" t="n">
        <v>1000</v>
      </c>
      <c r="H261" s="27">
        <f>G261-F261</f>
        <v/>
      </c>
      <c r="I261" s="11">
        <f>IF(F261=0,0,G261/F261-1)</f>
        <v/>
      </c>
    </row>
    <row r="262">
      <c r="A262" s="9" t="inlineStr">
        <is>
          <t>1000.0000.2213.56000.300</t>
        </is>
      </c>
      <c r="B262" s="9" t="inlineStr">
        <is>
          <t>Supplies</t>
        </is>
      </c>
      <c r="C262" s="27" t="n">
        <v>0</v>
      </c>
      <c r="D262" s="27" t="n">
        <v>70.2</v>
      </c>
      <c r="E262" s="27" t="n">
        <v>0</v>
      </c>
      <c r="F262" s="27" t="n">
        <v>0</v>
      </c>
      <c r="G262" s="27" t="n">
        <v>0</v>
      </c>
      <c r="H262" s="27">
        <f>G262-F262</f>
        <v/>
      </c>
      <c r="I262" s="11">
        <f>IF(F262=0,0,G262/F262-1)</f>
        <v/>
      </c>
    </row>
    <row r="263">
      <c r="A263" s="17" t="n"/>
      <c r="B263" s="31" t="inlineStr">
        <is>
          <t>Program 0000 Total</t>
        </is>
      </c>
      <c r="C263" s="32">
        <f>SUM(C252:C262)</f>
        <v/>
      </c>
      <c r="D263" s="32">
        <f>SUM(D252:D262)</f>
        <v/>
      </c>
      <c r="E263" s="32">
        <f>SUM(E252:E262)</f>
        <v/>
      </c>
      <c r="F263" s="32">
        <f>SUM(F252:F262)</f>
        <v/>
      </c>
      <c r="G263" s="32">
        <f>SUM(G252:G262)</f>
        <v/>
      </c>
      <c r="H263" s="32">
        <f>SUM(H252:H262)</f>
        <v/>
      </c>
      <c r="I263" s="32">
        <f>SUM(I252:I262)</f>
        <v/>
      </c>
    </row>
    <row r="264">
      <c r="A264" s="9" t="inlineStr">
        <is>
          <t>1000.0000.2220.51010.300</t>
        </is>
      </c>
      <c r="B264" s="9" t="inlineStr">
        <is>
          <t>Librarian Salary</t>
        </is>
      </c>
      <c r="C264" s="27" t="n">
        <v>73758</v>
      </c>
      <c r="D264" s="27" t="n">
        <v>80670.8</v>
      </c>
      <c r="E264" s="27" t="n">
        <v>71463</v>
      </c>
      <c r="F264" s="27" t="n">
        <v>77525.22</v>
      </c>
      <c r="G264" s="27" t="n">
        <v>74203</v>
      </c>
      <c r="H264" s="27">
        <f>G264-F264</f>
        <v/>
      </c>
      <c r="I264" s="11">
        <f>IF(F264=0,0,G264/F264-1)</f>
        <v/>
      </c>
    </row>
    <row r="265">
      <c r="A265" s="9" t="inlineStr">
        <is>
          <t>1000.0000.2220.51020.300</t>
        </is>
      </c>
      <c r="B265" s="9" t="inlineStr">
        <is>
          <t>Ed Tech Salaries</t>
        </is>
      </c>
      <c r="C265" s="27" t="n">
        <v>33552</v>
      </c>
      <c r="D265" s="27" t="n">
        <v>12791.03</v>
      </c>
      <c r="E265" s="27" t="n">
        <v>34903</v>
      </c>
      <c r="F265" s="27" t="n">
        <v>14836.94</v>
      </c>
      <c r="G265" s="27" t="n">
        <v>21002</v>
      </c>
      <c r="H265" s="27">
        <f>G265-F265</f>
        <v/>
      </c>
      <c r="I265" s="11">
        <f>IF(F265=0,0,G265/F265-1)</f>
        <v/>
      </c>
    </row>
    <row r="266">
      <c r="A266" s="9" t="inlineStr">
        <is>
          <t>1000.0000.2220.52010.300</t>
        </is>
      </c>
      <c r="B266" s="9" t="inlineStr">
        <is>
          <t>Librarian Benefits</t>
        </is>
      </c>
      <c r="C266" s="27" t="n">
        <v>24280</v>
      </c>
      <c r="D266" s="27" t="n">
        <v>15915.09</v>
      </c>
      <c r="E266" s="27" t="n">
        <v>15840</v>
      </c>
      <c r="F266" s="27" t="n">
        <v>15834.88</v>
      </c>
      <c r="G266" s="27" t="n">
        <v>16005</v>
      </c>
      <c r="H266" s="27">
        <f>G266-F266</f>
        <v/>
      </c>
      <c r="I266" s="11">
        <f>IF(F266=0,0,G266/F266-1)</f>
        <v/>
      </c>
    </row>
    <row r="267">
      <c r="A267" s="9" t="inlineStr">
        <is>
          <t>1000.0000.2220.52020.300</t>
        </is>
      </c>
      <c r="B267" s="9" t="inlineStr">
        <is>
          <t>Ed Tech Benefits</t>
        </is>
      </c>
      <c r="C267" s="27" t="n">
        <v>14040</v>
      </c>
      <c r="D267" s="27" t="n">
        <v>3617.4</v>
      </c>
      <c r="E267" s="27" t="n">
        <v>13039</v>
      </c>
      <c r="F267" s="27" t="n">
        <v>4174.01</v>
      </c>
      <c r="G267" s="27" t="n">
        <v>11000</v>
      </c>
      <c r="H267" s="27">
        <f>G267-F267</f>
        <v/>
      </c>
      <c r="I267" s="11">
        <f>IF(F267=0,0,G267/F267-1)</f>
        <v/>
      </c>
    </row>
    <row r="268">
      <c r="A268" s="9" t="inlineStr">
        <is>
          <t>1000.0000.2220.52310.300</t>
        </is>
      </c>
      <c r="B268" s="9" t="inlineStr">
        <is>
          <t>Retirement</t>
        </is>
      </c>
      <c r="C268" s="27" t="n">
        <v>2928</v>
      </c>
      <c r="D268" s="27" t="n">
        <v>2741.21</v>
      </c>
      <c r="E268" s="27" t="n">
        <v>2973</v>
      </c>
      <c r="F268" s="27" t="n">
        <v>2972.84</v>
      </c>
      <c r="G268" s="27" t="n">
        <v>3087</v>
      </c>
      <c r="H268" s="27">
        <f>G268-F268</f>
        <v/>
      </c>
      <c r="I268" s="11">
        <f>IF(F268=0,0,G268/F268-1)</f>
        <v/>
      </c>
    </row>
    <row r="269">
      <c r="A269" s="9" t="inlineStr">
        <is>
          <t>1000.0000.2220.52320.300</t>
        </is>
      </c>
      <c r="B269" s="9" t="inlineStr">
        <is>
          <t>Retirement</t>
        </is>
      </c>
      <c r="C269" s="27" t="n">
        <v>1332</v>
      </c>
      <c r="D269" s="27" t="n">
        <v>0</v>
      </c>
      <c r="E269" s="27" t="n">
        <v>1452</v>
      </c>
      <c r="F269" s="27" t="n">
        <v>0</v>
      </c>
      <c r="G269" s="27" t="n">
        <v>909</v>
      </c>
      <c r="H269" s="27">
        <f>G269-F269</f>
        <v/>
      </c>
      <c r="I269" s="11">
        <f>IF(F269=0,0,G269/F269-1)</f>
        <v/>
      </c>
    </row>
    <row r="270">
      <c r="A270" s="9" t="inlineStr">
        <is>
          <t>1000.0000.2220.54330.300</t>
        </is>
      </c>
      <c r="B270" s="9" t="inlineStr">
        <is>
          <t>Software</t>
        </is>
      </c>
      <c r="C270" s="27" t="n">
        <v>1100</v>
      </c>
      <c r="D270" s="27" t="n">
        <v>1042</v>
      </c>
      <c r="E270" s="27" t="n">
        <v>1043</v>
      </c>
      <c r="F270" s="27" t="n">
        <v>1042.5</v>
      </c>
      <c r="G270" s="27" t="n">
        <v>1043</v>
      </c>
      <c r="H270" s="27">
        <f>G270-F270</f>
        <v/>
      </c>
      <c r="I270" s="11">
        <f>IF(F270=0,0,G270/F270-1)</f>
        <v/>
      </c>
    </row>
    <row r="271">
      <c r="A271" s="9" t="inlineStr">
        <is>
          <t>1000.0000.2220.56000.300</t>
        </is>
      </c>
      <c r="B271" s="9" t="inlineStr">
        <is>
          <t>Supplies</t>
        </is>
      </c>
      <c r="C271" s="27" t="n">
        <v>2190</v>
      </c>
      <c r="D271" s="27" t="n">
        <v>2178.72</v>
      </c>
      <c r="E271" s="27" t="n">
        <v>1640</v>
      </c>
      <c r="F271" s="27" t="n">
        <v>535.8099999999999</v>
      </c>
      <c r="G271" s="27" t="n">
        <v>820</v>
      </c>
      <c r="H271" s="27">
        <f>G271-F271</f>
        <v/>
      </c>
      <c r="I271" s="11">
        <f>IF(F271=0,0,G271/F271-1)</f>
        <v/>
      </c>
    </row>
    <row r="272">
      <c r="A272" s="9" t="inlineStr">
        <is>
          <t>1000.0000.2220.56400.300</t>
        </is>
      </c>
      <c r="B272" s="9" t="inlineStr">
        <is>
          <t>Books</t>
        </is>
      </c>
      <c r="C272" s="27" t="n">
        <v>11869</v>
      </c>
      <c r="D272" s="27" t="n">
        <v>11861.02</v>
      </c>
      <c r="E272" s="27" t="n">
        <v>11869</v>
      </c>
      <c r="F272" s="27" t="n">
        <v>7489.04</v>
      </c>
      <c r="G272" s="27" t="n">
        <v>12649</v>
      </c>
      <c r="H272" s="27">
        <f>G272-F272</f>
        <v/>
      </c>
      <c r="I272" s="11">
        <f>IF(F272=0,0,G272/F272-1)</f>
        <v/>
      </c>
    </row>
    <row r="273">
      <c r="A273" s="9" t="inlineStr">
        <is>
          <t>1000.0000.2220.57300.300</t>
        </is>
      </c>
      <c r="B273" s="9" t="inlineStr">
        <is>
          <t>Equipment</t>
        </is>
      </c>
      <c r="C273" s="27" t="n">
        <v>100</v>
      </c>
      <c r="D273" s="27" t="n">
        <v>0</v>
      </c>
      <c r="E273" s="27" t="n">
        <v>100</v>
      </c>
      <c r="F273" s="27" t="n">
        <v>0</v>
      </c>
      <c r="G273" s="27" t="n">
        <v>100</v>
      </c>
      <c r="H273" s="27">
        <f>G273-F273</f>
        <v/>
      </c>
      <c r="I273" s="11">
        <f>IF(F273=0,0,G273/F273-1)</f>
        <v/>
      </c>
    </row>
    <row r="274">
      <c r="A274" s="17" t="n"/>
      <c r="B274" s="31" t="inlineStr">
        <is>
          <t>Program 0000 Total</t>
        </is>
      </c>
      <c r="C274" s="32">
        <f>SUM(C264:C273)</f>
        <v/>
      </c>
      <c r="D274" s="32">
        <f>SUM(D264:D273)</f>
        <v/>
      </c>
      <c r="E274" s="32">
        <f>SUM(E264:E273)</f>
        <v/>
      </c>
      <c r="F274" s="32">
        <f>SUM(F264:F273)</f>
        <v/>
      </c>
      <c r="G274" s="32">
        <f>SUM(G264:G273)</f>
        <v/>
      </c>
      <c r="H274" s="32">
        <f>SUM(H264:H273)</f>
        <v/>
      </c>
      <c r="I274" s="32">
        <f>SUM(I264:I273)</f>
        <v/>
      </c>
    </row>
    <row r="275">
      <c r="A275" s="9" t="inlineStr">
        <is>
          <t>1000.0000.2230.51010.300</t>
        </is>
      </c>
      <c r="B275" s="9" t="inlineStr">
        <is>
          <t>Teacher Salaries</t>
        </is>
      </c>
      <c r="C275" s="27" t="n">
        <v>70548</v>
      </c>
      <c r="D275" s="27" t="n">
        <v>74103</v>
      </c>
      <c r="E275" s="27" t="n">
        <v>75935</v>
      </c>
      <c r="F275" s="27" t="n">
        <v>76135.08</v>
      </c>
      <c r="G275" s="27" t="n">
        <v>0</v>
      </c>
      <c r="H275" s="27">
        <f>G275-F275</f>
        <v/>
      </c>
      <c r="I275" s="11">
        <f>IF(F275=0,0,G275/F275-1)</f>
        <v/>
      </c>
    </row>
    <row r="276">
      <c r="A276" s="9" t="inlineStr">
        <is>
          <t>1000.0000.2230.51180.300</t>
        </is>
      </c>
      <c r="B276" s="9" t="inlineStr">
        <is>
          <t>Support Salaries</t>
        </is>
      </c>
      <c r="C276" s="27" t="n">
        <v>19510</v>
      </c>
      <c r="D276" s="27" t="n">
        <v>34005.77</v>
      </c>
      <c r="E276" s="27" t="n">
        <v>28704</v>
      </c>
      <c r="F276" s="27" t="n">
        <v>36247.68</v>
      </c>
      <c r="G276" s="27" t="n">
        <v>0</v>
      </c>
      <c r="H276" s="27">
        <f>G276-F276</f>
        <v/>
      </c>
      <c r="I276" s="11">
        <f>IF(F276=0,0,G276/F276-1)</f>
        <v/>
      </c>
    </row>
    <row r="277">
      <c r="A277" s="9" t="inlineStr">
        <is>
          <t>1000.0000.2230.52000.300</t>
        </is>
      </c>
      <c r="B277" s="9" t="inlineStr">
        <is>
          <t>Teacher Benefits</t>
        </is>
      </c>
      <c r="C277" s="27" t="n">
        <v>0</v>
      </c>
      <c r="D277" s="27" t="n">
        <v>0</v>
      </c>
      <c r="E277" s="27" t="n">
        <v>0</v>
      </c>
      <c r="F277" s="27" t="n">
        <v>0</v>
      </c>
      <c r="G277" s="27" t="n">
        <v>0</v>
      </c>
      <c r="H277" s="27">
        <f>G277-F277</f>
        <v/>
      </c>
      <c r="I277" s="11">
        <f>IF(F277=0,0,G277/F277-1)</f>
        <v/>
      </c>
    </row>
    <row r="278">
      <c r="A278" s="9" t="inlineStr">
        <is>
          <t>1000.0000.2230.52010.300</t>
        </is>
      </c>
      <c r="B278" s="9" t="inlineStr">
        <is>
          <t>Teacher Benefits</t>
        </is>
      </c>
      <c r="C278" s="27" t="n">
        <v>24011</v>
      </c>
      <c r="D278" s="27" t="n">
        <v>19441.72</v>
      </c>
      <c r="E278" s="27" t="n">
        <v>19717</v>
      </c>
      <c r="F278" s="27" t="n">
        <v>19851.7</v>
      </c>
      <c r="G278" s="27" t="n">
        <v>0</v>
      </c>
      <c r="H278" s="27">
        <f>G278-F278</f>
        <v/>
      </c>
      <c r="I278" s="11">
        <f>IF(F278=0,0,G278/F278-1)</f>
        <v/>
      </c>
    </row>
    <row r="279">
      <c r="A279" s="9" t="inlineStr">
        <is>
          <t>1000.0000.2230.52080.300</t>
        </is>
      </c>
      <c r="B279" s="9" t="inlineStr">
        <is>
          <t>SUPPORT BENEFITS</t>
        </is>
      </c>
      <c r="C279" s="27" t="n">
        <v>4789</v>
      </c>
      <c r="D279" s="27" t="n">
        <v>8788.16</v>
      </c>
      <c r="E279" s="27" t="n">
        <v>10005</v>
      </c>
      <c r="F279" s="27" t="n">
        <v>12879.91</v>
      </c>
      <c r="G279" s="27" t="n">
        <v>0</v>
      </c>
      <c r="H279" s="27">
        <f>G279-F279</f>
        <v/>
      </c>
      <c r="I279" s="11">
        <f>IF(F279=0,0,G279/F279-1)</f>
        <v/>
      </c>
    </row>
    <row r="280">
      <c r="A280" s="9" t="inlineStr">
        <is>
          <t>1000.0000.2230.52310.300</t>
        </is>
      </c>
      <c r="B280" s="9" t="inlineStr">
        <is>
          <t>Retirement</t>
        </is>
      </c>
      <c r="C280" s="27" t="n">
        <v>2801</v>
      </c>
      <c r="D280" s="27" t="n">
        <v>2941.91</v>
      </c>
      <c r="E280" s="27" t="n">
        <v>3159</v>
      </c>
      <c r="F280" s="27" t="n">
        <v>3284.95</v>
      </c>
      <c r="G280" s="27" t="n">
        <v>0</v>
      </c>
      <c r="H280" s="27">
        <f>G280-F280</f>
        <v/>
      </c>
      <c r="I280" s="11">
        <f>IF(F280=0,0,G280/F280-1)</f>
        <v/>
      </c>
    </row>
    <row r="281">
      <c r="A281" s="9" t="inlineStr">
        <is>
          <t>1000.0000.2230.54320.300</t>
        </is>
      </c>
      <c r="B281" s="9" t="inlineStr">
        <is>
          <t>Tech Repairs/Maint</t>
        </is>
      </c>
      <c r="C281" s="27" t="n">
        <v>1689</v>
      </c>
      <c r="D281" s="27" t="n">
        <v>1211</v>
      </c>
      <c r="E281" s="27" t="n">
        <v>1740</v>
      </c>
      <c r="F281" s="27" t="n">
        <v>0</v>
      </c>
      <c r="G281" s="27" t="n">
        <v>5000</v>
      </c>
      <c r="H281" s="27">
        <f>G281-F281</f>
        <v/>
      </c>
      <c r="I281" s="11">
        <f>IF(F281=0,0,G281/F281-1)</f>
        <v/>
      </c>
    </row>
    <row r="282">
      <c r="A282" s="9" t="inlineStr">
        <is>
          <t>1000.0000.2230.54330.300</t>
        </is>
      </c>
      <c r="B282" s="9" t="inlineStr">
        <is>
          <t>Software</t>
        </is>
      </c>
      <c r="C282" s="27" t="n">
        <v>200</v>
      </c>
      <c r="D282" s="27" t="n">
        <v>4875</v>
      </c>
      <c r="E282" s="27" t="n">
        <v>200</v>
      </c>
      <c r="F282" s="27" t="n">
        <v>0</v>
      </c>
      <c r="G282" s="27" t="n">
        <v>0</v>
      </c>
      <c r="H282" s="27">
        <f>G282-F282</f>
        <v/>
      </c>
      <c r="I282" s="11">
        <f>IF(F282=0,0,G282/F282-1)</f>
        <v/>
      </c>
    </row>
    <row r="283">
      <c r="A283" s="9" t="inlineStr">
        <is>
          <t>1000.0000.2230.56500.300</t>
        </is>
      </c>
      <c r="B283" s="9" t="inlineStr">
        <is>
          <t>Supplies</t>
        </is>
      </c>
      <c r="C283" s="27" t="n">
        <v>700</v>
      </c>
      <c r="D283" s="27" t="n">
        <v>129</v>
      </c>
      <c r="E283" s="27" t="n">
        <v>700</v>
      </c>
      <c r="F283" s="27" t="n">
        <v>0</v>
      </c>
      <c r="G283" s="27" t="n">
        <v>0</v>
      </c>
      <c r="H283" s="27">
        <f>G283-F283</f>
        <v/>
      </c>
      <c r="I283" s="11">
        <f>IF(F283=0,0,G283/F283-1)</f>
        <v/>
      </c>
    </row>
    <row r="284">
      <c r="A284" s="9" t="inlineStr">
        <is>
          <t>1000.0000.2230.57340.300</t>
        </is>
      </c>
      <c r="B284" s="9" t="inlineStr">
        <is>
          <t>Equipment</t>
        </is>
      </c>
      <c r="C284" s="27" t="n">
        <v>145080</v>
      </c>
      <c r="D284" s="27" t="n">
        <v>138704.55</v>
      </c>
      <c r="E284" s="27" t="n">
        <v>146072</v>
      </c>
      <c r="F284" s="27" t="n">
        <v>174162</v>
      </c>
      <c r="G284" s="27" t="n">
        <v>32544</v>
      </c>
      <c r="H284" s="27">
        <f>G284-F284</f>
        <v/>
      </c>
      <c r="I284" s="11">
        <f>IF(F284=0,0,G284/F284-1)</f>
        <v/>
      </c>
    </row>
    <row r="285">
      <c r="A285" s="17" t="n"/>
      <c r="B285" s="31" t="inlineStr">
        <is>
          <t>Program 0000 Total</t>
        </is>
      </c>
      <c r="C285" s="32">
        <f>SUM(C275:C284)</f>
        <v/>
      </c>
      <c r="D285" s="32">
        <f>SUM(D275:D284)</f>
        <v/>
      </c>
      <c r="E285" s="32">
        <f>SUM(E275:E284)</f>
        <v/>
      </c>
      <c r="F285" s="32">
        <f>SUM(F275:F284)</f>
        <v/>
      </c>
      <c r="G285" s="32">
        <f>SUM(G275:G284)</f>
        <v/>
      </c>
      <c r="H285" s="32">
        <f>SUM(H275:H284)</f>
        <v/>
      </c>
      <c r="I285" s="32">
        <f>SUM(I275:I284)</f>
        <v/>
      </c>
    </row>
    <row r="286">
      <c r="A286" s="9" t="inlineStr">
        <is>
          <t>1000.0000.2290.51060.300</t>
        </is>
      </c>
      <c r="B286" s="9" t="inlineStr">
        <is>
          <t>Outreach Coordinator Salary</t>
        </is>
      </c>
      <c r="C286" s="27" t="n">
        <v>0</v>
      </c>
      <c r="D286" s="27" t="n">
        <v>0</v>
      </c>
      <c r="E286" s="27" t="n">
        <v>0</v>
      </c>
      <c r="F286" s="27" t="n">
        <v>0</v>
      </c>
      <c r="G286" s="27" t="n">
        <v>0</v>
      </c>
      <c r="H286" s="27">
        <f>G286-F286</f>
        <v/>
      </c>
      <c r="I286" s="11">
        <f>IF(F286=0,0,G286/F286-1)</f>
        <v/>
      </c>
    </row>
    <row r="287">
      <c r="A287" s="9" t="inlineStr">
        <is>
          <t>1000.0000.2290.52060.300</t>
        </is>
      </c>
      <c r="B287" s="9" t="inlineStr">
        <is>
          <t>Outreach Coordinator Benefits</t>
        </is>
      </c>
      <c r="C287" s="27" t="n">
        <v>0</v>
      </c>
      <c r="D287" s="27" t="n">
        <v>0</v>
      </c>
      <c r="E287" s="27" t="n">
        <v>0</v>
      </c>
      <c r="F287" s="27" t="n">
        <v>0</v>
      </c>
      <c r="G287" s="27" t="n">
        <v>0</v>
      </c>
      <c r="H287" s="27">
        <f>G287-F287</f>
        <v/>
      </c>
      <c r="I287" s="11">
        <f>IF(F287=0,0,G287/F287-1)</f>
        <v/>
      </c>
    </row>
    <row r="288">
      <c r="A288" s="17" t="n"/>
      <c r="B288" s="31" t="inlineStr">
        <is>
          <t>Program 0000 Total</t>
        </is>
      </c>
      <c r="C288" s="32">
        <f>SUM(C286:C287)</f>
        <v/>
      </c>
      <c r="D288" s="32">
        <f>SUM(D286:D287)</f>
        <v/>
      </c>
      <c r="E288" s="32">
        <f>SUM(E286:E287)</f>
        <v/>
      </c>
      <c r="F288" s="32">
        <f>SUM(F286:F287)</f>
        <v/>
      </c>
      <c r="G288" s="32">
        <f>SUM(G286:G287)</f>
        <v/>
      </c>
      <c r="H288" s="32">
        <f>SUM(H286:H287)</f>
        <v/>
      </c>
      <c r="I288" s="32">
        <f>SUM(I286:I287)</f>
        <v/>
      </c>
    </row>
    <row r="289">
      <c r="A289" s="17" t="n"/>
      <c r="B289" s="20" t="inlineStr">
        <is>
          <t>Cost Center ('300',) Total</t>
        </is>
      </c>
      <c r="C289" s="35">
        <f>C232+C244+C251+C263+C274+C285+C288</f>
        <v/>
      </c>
      <c r="D289" s="35">
        <f>D232+D244+D251+D263+D274+D285+D288</f>
        <v/>
      </c>
      <c r="E289" s="35">
        <f>E232+E244+E251+E263+E274+E285+E288</f>
        <v/>
      </c>
      <c r="F289" s="35">
        <f>F232+F244+F251+F263+F274+F285+F288</f>
        <v/>
      </c>
      <c r="G289" s="35">
        <f>G232+G244+G251+G263+G274+G285+G288</f>
        <v/>
      </c>
      <c r="H289" s="35">
        <f>H232+H244+H251+H263+H274+H285+H288</f>
        <v/>
      </c>
      <c r="I289" s="35">
        <f>I232+I244+I251+I263+I274+I285+I288</f>
        <v/>
      </c>
    </row>
    <row r="291">
      <c r="A291" s="3" t="inlineStr">
        <is>
          <t>Cost Center: ('900',)</t>
        </is>
      </c>
    </row>
    <row r="292">
      <c r="A292" s="9" t="inlineStr">
        <is>
          <t>1000.0000.2210.51040.900</t>
        </is>
      </c>
      <c r="B292" s="9" t="inlineStr">
        <is>
          <t>Curriculum Director Salary</t>
        </is>
      </c>
      <c r="C292" s="27" t="n">
        <v>66744</v>
      </c>
      <c r="D292" s="27" t="n">
        <v>69414.02</v>
      </c>
      <c r="E292" s="27" t="n">
        <v>72191</v>
      </c>
      <c r="F292" s="27" t="n">
        <v>72190.82000000001</v>
      </c>
      <c r="G292" s="27" t="n">
        <v>75078</v>
      </c>
      <c r="H292" s="27">
        <f>G292-F292</f>
        <v/>
      </c>
      <c r="I292" s="11">
        <f>IF(F292=0,0,G292/F292-1)</f>
        <v/>
      </c>
    </row>
    <row r="293">
      <c r="A293" s="9" t="inlineStr">
        <is>
          <t>1000.0000.2210.52040.900</t>
        </is>
      </c>
      <c r="B293" s="9" t="inlineStr">
        <is>
          <t>Curriculum Director Benefits</t>
        </is>
      </c>
      <c r="C293" s="27" t="n">
        <v>16549</v>
      </c>
      <c r="D293" s="27" t="n">
        <v>12606.95</v>
      </c>
      <c r="E293" s="27" t="n">
        <v>14375</v>
      </c>
      <c r="F293" s="27" t="n">
        <v>12380.74</v>
      </c>
      <c r="G293" s="27" t="n">
        <v>12671</v>
      </c>
      <c r="H293" s="27">
        <f>G293-F293</f>
        <v/>
      </c>
      <c r="I293" s="11">
        <f>IF(F293=0,0,G293/F293-1)</f>
        <v/>
      </c>
    </row>
    <row r="294">
      <c r="A294" s="9" t="inlineStr">
        <is>
          <t>1000.0000.2210.52340.900</t>
        </is>
      </c>
      <c r="B294" s="9" t="inlineStr">
        <is>
          <t>Retirement</t>
        </is>
      </c>
      <c r="C294" s="27" t="n">
        <v>2756</v>
      </c>
      <c r="D294" s="27" t="n">
        <v>2755.74</v>
      </c>
      <c r="E294" s="27" t="n">
        <v>3003</v>
      </c>
      <c r="F294" s="27" t="n">
        <v>3003.26</v>
      </c>
      <c r="G294" s="27" t="n">
        <v>3123</v>
      </c>
      <c r="H294" s="27">
        <f>G294-F294</f>
        <v/>
      </c>
      <c r="I294" s="11">
        <f>IF(F294=0,0,G294/F294-1)</f>
        <v/>
      </c>
    </row>
    <row r="295">
      <c r="A295" s="9" t="inlineStr">
        <is>
          <t>1000.0000.2210.53000.900</t>
        </is>
      </c>
      <c r="B295" s="9" t="inlineStr">
        <is>
          <t>Purchased Professional</t>
        </is>
      </c>
      <c r="C295" s="27" t="n">
        <v>4000</v>
      </c>
      <c r="D295" s="27" t="n">
        <v>124</v>
      </c>
      <c r="E295" s="27" t="n">
        <v>4000</v>
      </c>
      <c r="F295" s="27" t="n">
        <v>0</v>
      </c>
      <c r="G295" s="27" t="n">
        <v>4000</v>
      </c>
      <c r="H295" s="27">
        <f>G295-F295</f>
        <v/>
      </c>
      <c r="I295" s="11">
        <f>IF(F295=0,0,G295/F295-1)</f>
        <v/>
      </c>
    </row>
    <row r="296">
      <c r="A296" s="9" t="inlineStr">
        <is>
          <t>1000.0000.2210.55810.900</t>
        </is>
      </c>
      <c r="B296" s="9" t="inlineStr">
        <is>
          <t>Travel</t>
        </is>
      </c>
      <c r="C296" s="27" t="n">
        <v>700</v>
      </c>
      <c r="D296" s="27" t="n">
        <v>447.14</v>
      </c>
      <c r="E296" s="27" t="n">
        <v>700</v>
      </c>
      <c r="F296" s="27" t="n">
        <v>0</v>
      </c>
      <c r="G296" s="27" t="n">
        <v>700</v>
      </c>
      <c r="H296" s="27">
        <f>G296-F296</f>
        <v/>
      </c>
      <c r="I296" s="11">
        <f>IF(F296=0,0,G296/F296-1)</f>
        <v/>
      </c>
    </row>
    <row r="297">
      <c r="A297" s="9" t="inlineStr">
        <is>
          <t>1000.0000.2210.56400.900</t>
        </is>
      </c>
      <c r="B297" s="9" t="inlineStr">
        <is>
          <t>Curriculum Materials</t>
        </is>
      </c>
      <c r="C297" s="27" t="n">
        <v>50000</v>
      </c>
      <c r="D297" s="27" t="n">
        <v>50939.65</v>
      </c>
      <c r="E297" s="27" t="n">
        <v>50000</v>
      </c>
      <c r="F297" s="27" t="n">
        <v>24572.76</v>
      </c>
      <c r="G297" s="27" t="n">
        <v>50000</v>
      </c>
      <c r="H297" s="27">
        <f>G297-F297</f>
        <v/>
      </c>
      <c r="I297" s="11">
        <f>IF(F297=0,0,G297/F297-1)</f>
        <v/>
      </c>
    </row>
    <row r="298">
      <c r="A298" s="9" t="inlineStr">
        <is>
          <t>1000.0000.2210.58100.900</t>
        </is>
      </c>
      <c r="B298" s="9" t="inlineStr">
        <is>
          <t>Dues &amp; Fees</t>
        </is>
      </c>
      <c r="C298" s="27" t="n">
        <v>900</v>
      </c>
      <c r="D298" s="27" t="n">
        <v>1543</v>
      </c>
      <c r="E298" s="27" t="n">
        <v>900</v>
      </c>
      <c r="F298" s="27" t="n">
        <v>1219</v>
      </c>
      <c r="G298" s="27" t="n">
        <v>1000</v>
      </c>
      <c r="H298" s="27">
        <f>G298-F298</f>
        <v/>
      </c>
      <c r="I298" s="11">
        <f>IF(F298=0,0,G298/F298-1)</f>
        <v/>
      </c>
    </row>
    <row r="299">
      <c r="A299" s="17" t="n"/>
      <c r="B299" s="31" t="inlineStr">
        <is>
          <t>Program 0000 Total</t>
        </is>
      </c>
      <c r="C299" s="32">
        <f>SUM(C292:C298)</f>
        <v/>
      </c>
      <c r="D299" s="32">
        <f>SUM(D292:D298)</f>
        <v/>
      </c>
      <c r="E299" s="32">
        <f>SUM(E292:E298)</f>
        <v/>
      </c>
      <c r="F299" s="32">
        <f>SUM(F292:F298)</f>
        <v/>
      </c>
      <c r="G299" s="32">
        <f>SUM(G292:G298)</f>
        <v/>
      </c>
      <c r="H299" s="32">
        <f>SUM(H292:H298)</f>
        <v/>
      </c>
      <c r="I299" s="32">
        <f>SUM(I292:I298)</f>
        <v/>
      </c>
    </row>
    <row r="300">
      <c r="A300" s="9" t="inlineStr">
        <is>
          <t>1000.0000.2230.51040.900</t>
        </is>
      </c>
      <c r="B300" s="9" t="inlineStr">
        <is>
          <t>Technology Director Salary</t>
        </is>
      </c>
      <c r="C300" s="27" t="n">
        <v>81402</v>
      </c>
      <c r="D300" s="27" t="n">
        <v>95077.60000000001</v>
      </c>
      <c r="E300" s="27" t="n">
        <v>88044</v>
      </c>
      <c r="F300" s="27" t="n">
        <v>88394.06</v>
      </c>
      <c r="G300" s="27" t="n">
        <v>91214</v>
      </c>
      <c r="H300" s="27">
        <f>G300-F300</f>
        <v/>
      </c>
      <c r="I300" s="11">
        <f>IF(F300=0,0,G300/F300-1)</f>
        <v/>
      </c>
    </row>
    <row r="301">
      <c r="A301" s="9" t="inlineStr">
        <is>
          <t>1000.0000.2230.51180.900</t>
        </is>
      </c>
      <c r="B301" s="9" t="inlineStr">
        <is>
          <t>Support Wages</t>
        </is>
      </c>
      <c r="C301" s="27" t="n">
        <v>46000</v>
      </c>
      <c r="D301" s="27" t="n">
        <v>98821.95</v>
      </c>
      <c r="E301" s="27" t="n">
        <v>62525</v>
      </c>
      <c r="F301" s="27" t="n">
        <v>107178.33</v>
      </c>
      <c r="G301" s="27" t="n">
        <v>192188</v>
      </c>
      <c r="H301" s="27">
        <f>G301-F301</f>
        <v/>
      </c>
      <c r="I301" s="11">
        <f>IF(F301=0,0,G301/F301-1)</f>
        <v/>
      </c>
    </row>
    <row r="302">
      <c r="A302" s="9" t="inlineStr">
        <is>
          <t>1000.0000.2230.52040.900</t>
        </is>
      </c>
      <c r="B302" s="9" t="inlineStr">
        <is>
          <t>Benefits</t>
        </is>
      </c>
      <c r="C302" s="27" t="n">
        <v>28488</v>
      </c>
      <c r="D302" s="27" t="n">
        <v>18460.54</v>
      </c>
      <c r="E302" s="27" t="n">
        <v>35966</v>
      </c>
      <c r="F302" s="27" t="n">
        <v>15881.16</v>
      </c>
      <c r="G302" s="27" t="n">
        <v>31981</v>
      </c>
      <c r="H302" s="27">
        <f>G302-F302</f>
        <v/>
      </c>
      <c r="I302" s="11">
        <f>IF(F302=0,0,G302/F302-1)</f>
        <v/>
      </c>
    </row>
    <row r="303">
      <c r="A303" s="9" t="inlineStr">
        <is>
          <t>1000.0000.2230.52080.900</t>
        </is>
      </c>
      <c r="B303" s="9" t="inlineStr">
        <is>
          <t>Benefits</t>
        </is>
      </c>
      <c r="C303" s="27" t="n">
        <v>25946</v>
      </c>
      <c r="D303" s="27" t="n">
        <v>23504.7</v>
      </c>
      <c r="E303" s="27" t="n">
        <v>20979</v>
      </c>
      <c r="F303" s="27" t="n">
        <v>33123.77</v>
      </c>
      <c r="G303" s="27" t="n">
        <v>77237</v>
      </c>
      <c r="H303" s="27">
        <f>G303-F303</f>
        <v/>
      </c>
      <c r="I303" s="11">
        <f>IF(F303=0,0,G303/F303-1)</f>
        <v/>
      </c>
    </row>
    <row r="304">
      <c r="A304" s="9" t="inlineStr">
        <is>
          <t>1000.0000.2230.52340.900</t>
        </is>
      </c>
      <c r="B304" s="9" t="inlineStr">
        <is>
          <t>Retirement</t>
        </is>
      </c>
      <c r="C304" s="27" t="n">
        <v>0</v>
      </c>
      <c r="D304" s="27" t="n">
        <v>0</v>
      </c>
      <c r="E304" s="27" t="n">
        <v>0</v>
      </c>
      <c r="F304" s="27" t="n">
        <v>0</v>
      </c>
      <c r="G304" s="27" t="n">
        <v>9248</v>
      </c>
      <c r="H304" s="27">
        <f>G304-F304</f>
        <v/>
      </c>
      <c r="I304" s="11">
        <f>IF(F304=0,0,G304/F304-1)</f>
        <v/>
      </c>
    </row>
    <row r="305">
      <c r="A305" s="9" t="inlineStr">
        <is>
          <t>1000.0000.2230.53000.900</t>
        </is>
      </c>
      <c r="B305" s="9" t="inlineStr">
        <is>
          <t>Purchased Professional</t>
        </is>
      </c>
      <c r="C305" s="27" t="n">
        <v>6000</v>
      </c>
      <c r="D305" s="27" t="n">
        <v>4315.45</v>
      </c>
      <c r="E305" s="27" t="n">
        <v>3450</v>
      </c>
      <c r="F305" s="27" t="n">
        <v>4671.35</v>
      </c>
      <c r="G305" s="27" t="n">
        <v>3400</v>
      </c>
      <c r="H305" s="27">
        <f>G305-F305</f>
        <v/>
      </c>
      <c r="I305" s="11">
        <f>IF(F305=0,0,G305/F305-1)</f>
        <v/>
      </c>
    </row>
    <row r="306">
      <c r="A306" s="9" t="inlineStr">
        <is>
          <t>1000.0000.2230.54320.900</t>
        </is>
      </c>
      <c r="B306" s="9" t="inlineStr">
        <is>
          <t>Tech Repairs/Maintenance</t>
        </is>
      </c>
      <c r="C306" s="27" t="n">
        <v>0</v>
      </c>
      <c r="D306" s="27" t="n">
        <v>0</v>
      </c>
      <c r="E306" s="27" t="n">
        <v>0</v>
      </c>
      <c r="F306" s="27" t="n">
        <v>0</v>
      </c>
      <c r="G306" s="27" t="n">
        <v>10441</v>
      </c>
      <c r="H306" s="27">
        <f>G306-F306</f>
        <v/>
      </c>
      <c r="I306" s="11">
        <f>IF(F306=0,0,G306/F306-1)</f>
        <v/>
      </c>
    </row>
    <row r="307">
      <c r="A307" s="9" t="inlineStr">
        <is>
          <t>1000.0000.2230.54330.900</t>
        </is>
      </c>
      <c r="B307" s="9" t="inlineStr">
        <is>
          <t>Software</t>
        </is>
      </c>
      <c r="C307" s="27" t="n">
        <v>0</v>
      </c>
      <c r="D307" s="27" t="n">
        <v>0</v>
      </c>
      <c r="E307" s="27" t="n">
        <v>0</v>
      </c>
      <c r="F307" s="27" t="n">
        <v>0</v>
      </c>
      <c r="G307" s="27" t="n">
        <v>1200</v>
      </c>
      <c r="H307" s="27">
        <f>G307-F307</f>
        <v/>
      </c>
      <c r="I307" s="11">
        <f>IF(F307=0,0,G307/F307-1)</f>
        <v/>
      </c>
    </row>
    <row r="308">
      <c r="A308" s="9" t="inlineStr">
        <is>
          <t>1000.0000.2230.55000.900</t>
        </is>
      </c>
      <c r="B308" s="9" t="inlineStr">
        <is>
          <t>Other Purchased Services</t>
        </is>
      </c>
      <c r="C308" s="27" t="n">
        <v>32342</v>
      </c>
      <c r="D308" s="27" t="n">
        <v>39398.08</v>
      </c>
      <c r="E308" s="27" t="n">
        <v>26304</v>
      </c>
      <c r="F308" s="27" t="n">
        <v>27651.73</v>
      </c>
      <c r="G308" s="27" t="n">
        <v>30085</v>
      </c>
      <c r="H308" s="27">
        <f>G308-F308</f>
        <v/>
      </c>
      <c r="I308" s="11">
        <f>IF(F308=0,0,G308/F308-1)</f>
        <v/>
      </c>
    </row>
    <row r="309">
      <c r="A309" s="9" t="inlineStr">
        <is>
          <t>1000.0000.2230.55800.900</t>
        </is>
      </c>
      <c r="B309" s="9" t="inlineStr">
        <is>
          <t>Travel</t>
        </is>
      </c>
      <c r="C309" s="27" t="n">
        <v>3000</v>
      </c>
      <c r="D309" s="27" t="n">
        <v>3189.95</v>
      </c>
      <c r="E309" s="27" t="n">
        <v>8070</v>
      </c>
      <c r="F309" s="27" t="n">
        <v>1438.8</v>
      </c>
      <c r="G309" s="27" t="n">
        <v>7530</v>
      </c>
      <c r="H309" s="27">
        <f>G309-F309</f>
        <v/>
      </c>
      <c r="I309" s="11">
        <f>IF(F309=0,0,G309/F309-1)</f>
        <v/>
      </c>
    </row>
    <row r="310">
      <c r="A310" s="9" t="inlineStr">
        <is>
          <t>1000.0000.2230.56500.900</t>
        </is>
      </c>
      <c r="B310" s="9" t="inlineStr">
        <is>
          <t>Computer Materials</t>
        </is>
      </c>
      <c r="C310" s="27" t="n">
        <v>0</v>
      </c>
      <c r="D310" s="27" t="n">
        <v>0</v>
      </c>
      <c r="E310" s="27" t="n">
        <v>0</v>
      </c>
      <c r="F310" s="27" t="n">
        <v>0</v>
      </c>
      <c r="G310" s="27" t="n">
        <v>4200</v>
      </c>
      <c r="H310" s="27">
        <f>G310-F310</f>
        <v/>
      </c>
      <c r="I310" s="11">
        <f>IF(F310=0,0,G310/F310-1)</f>
        <v/>
      </c>
    </row>
    <row r="311">
      <c r="A311" s="9" t="inlineStr">
        <is>
          <t>1000.0000.2230.57340.900</t>
        </is>
      </c>
      <c r="B311" s="9" t="inlineStr">
        <is>
          <t>EQUIPMENT</t>
        </is>
      </c>
      <c r="C311" s="27" t="n">
        <v>205690</v>
      </c>
      <c r="D311" s="27" t="n">
        <v>199961.98</v>
      </c>
      <c r="E311" s="27" t="n">
        <v>205690</v>
      </c>
      <c r="F311" s="27" t="n">
        <v>280132.32</v>
      </c>
      <c r="G311" s="27" t="n">
        <v>276525</v>
      </c>
      <c r="H311" s="27">
        <f>G311-F311</f>
        <v/>
      </c>
      <c r="I311" s="11">
        <f>IF(F311=0,0,G311/F311-1)</f>
        <v/>
      </c>
    </row>
    <row r="312">
      <c r="A312" s="9" t="inlineStr">
        <is>
          <t>1000.0000.2230.58100.900</t>
        </is>
      </c>
      <c r="B312" s="9" t="inlineStr">
        <is>
          <t>Dues and Fees</t>
        </is>
      </c>
      <c r="C312" s="27" t="n">
        <v>0</v>
      </c>
      <c r="D312" s="27" t="n">
        <v>0</v>
      </c>
      <c r="E312" s="27" t="n">
        <v>0</v>
      </c>
      <c r="F312" s="27" t="n">
        <v>0</v>
      </c>
      <c r="G312" s="27" t="n">
        <v>150</v>
      </c>
      <c r="H312" s="27">
        <f>G312-F312</f>
        <v/>
      </c>
      <c r="I312" s="11">
        <f>IF(F312=0,0,G312/F312-1)</f>
        <v/>
      </c>
    </row>
    <row r="313">
      <c r="A313" s="17" t="n"/>
      <c r="B313" s="31" t="inlineStr">
        <is>
          <t>Program 0000 Total</t>
        </is>
      </c>
      <c r="C313" s="32">
        <f>SUM(C300:C312)</f>
        <v/>
      </c>
      <c r="D313" s="32">
        <f>SUM(D300:D312)</f>
        <v/>
      </c>
      <c r="E313" s="32">
        <f>SUM(E300:E312)</f>
        <v/>
      </c>
      <c r="F313" s="32">
        <f>SUM(F300:F312)</f>
        <v/>
      </c>
      <c r="G313" s="32">
        <f>SUM(G300:G312)</f>
        <v/>
      </c>
      <c r="H313" s="32">
        <f>SUM(H300:H312)</f>
        <v/>
      </c>
      <c r="I313" s="32">
        <f>SUM(I300:I312)</f>
        <v/>
      </c>
    </row>
    <row r="314">
      <c r="A314" s="9" t="inlineStr">
        <is>
          <t>1000.0000.2240.53000.900</t>
        </is>
      </c>
      <c r="B314" s="9" t="inlineStr">
        <is>
          <t>Purchased Professional</t>
        </is>
      </c>
      <c r="C314" s="27" t="n">
        <v>17290</v>
      </c>
      <c r="D314" s="27" t="n">
        <v>16900</v>
      </c>
      <c r="E314" s="27" t="n">
        <v>17290</v>
      </c>
      <c r="F314" s="27" t="n">
        <v>17100</v>
      </c>
      <c r="G314" s="27" t="n">
        <v>17290</v>
      </c>
      <c r="H314" s="27">
        <f>G314-F314</f>
        <v/>
      </c>
      <c r="I314" s="11">
        <f>IF(F314=0,0,G314/F314-1)</f>
        <v/>
      </c>
    </row>
    <row r="315">
      <c r="A315" s="17" t="n"/>
      <c r="B315" s="20" t="inlineStr">
        <is>
          <t>Cost Center ('900',) Total</t>
        </is>
      </c>
      <c r="C315" s="35">
        <f>C299+C313</f>
        <v/>
      </c>
      <c r="D315" s="35">
        <f>D299+D313</f>
        <v/>
      </c>
      <c r="E315" s="35">
        <f>E299+E313</f>
        <v/>
      </c>
      <c r="F315" s="35">
        <f>F299+F313</f>
        <v/>
      </c>
      <c r="G315" s="35">
        <f>G299+G313</f>
        <v/>
      </c>
      <c r="H315" s="35">
        <f>H299+H313</f>
        <v/>
      </c>
      <c r="I315" s="35">
        <f>I299+I313</f>
        <v/>
      </c>
    </row>
    <row r="317">
      <c r="A317" s="3" t="inlineStr">
        <is>
          <t>Cost Center: ('950',)</t>
        </is>
      </c>
    </row>
    <row r="318">
      <c r="A318" s="9" t="inlineStr">
        <is>
          <t>1000.0000.2213.51010.950</t>
        </is>
      </c>
      <c r="B318" s="9" t="inlineStr">
        <is>
          <t>K-8 HONORARIUM</t>
        </is>
      </c>
      <c r="C318" s="27" t="n">
        <v>15000</v>
      </c>
      <c r="D318" s="27" t="n">
        <v>19116</v>
      </c>
      <c r="E318" s="27" t="n">
        <v>15000</v>
      </c>
      <c r="F318" s="27" t="n">
        <v>5049.52</v>
      </c>
      <c r="G318" s="27" t="n">
        <v>15000</v>
      </c>
      <c r="H318" s="27">
        <f>G318-F318</f>
        <v/>
      </c>
      <c r="I318" s="11">
        <f>IF(F318=0,0,G318/F318-1)</f>
        <v/>
      </c>
    </row>
    <row r="319">
      <c r="A319" s="9" t="inlineStr">
        <is>
          <t>1000.0000.2213.51230.950</t>
        </is>
      </c>
      <c r="B319" s="9" t="inlineStr">
        <is>
          <t>Substitutes</t>
        </is>
      </c>
      <c r="C319" s="27" t="n">
        <v>5000</v>
      </c>
      <c r="D319" s="27" t="n">
        <v>0</v>
      </c>
      <c r="E319" s="27" t="n">
        <v>5000</v>
      </c>
      <c r="F319" s="27" t="n">
        <v>0</v>
      </c>
      <c r="G319" s="27" t="n">
        <v>5000</v>
      </c>
      <c r="H319" s="27">
        <f>G319-F319</f>
        <v/>
      </c>
      <c r="I319" s="11">
        <f>IF(F319=0,0,G319/F319-1)</f>
        <v/>
      </c>
    </row>
    <row r="320">
      <c r="A320" s="9" t="inlineStr">
        <is>
          <t>1000.0000.2213.51500.950</t>
        </is>
      </c>
      <c r="B320" s="9" t="inlineStr">
        <is>
          <t>Stipends</t>
        </is>
      </c>
      <c r="C320" s="27" t="n">
        <v>81470</v>
      </c>
      <c r="D320" s="27" t="n">
        <v>76956.57000000001</v>
      </c>
      <c r="E320" s="27" t="n">
        <v>99562</v>
      </c>
      <c r="F320" s="27" t="n">
        <v>103090.45</v>
      </c>
      <c r="G320" s="27" t="n">
        <v>81274</v>
      </c>
      <c r="H320" s="27">
        <f>G320-F320</f>
        <v/>
      </c>
      <c r="I320" s="11">
        <f>IF(F320=0,0,G320/F320-1)</f>
        <v/>
      </c>
    </row>
    <row r="321">
      <c r="A321" s="9" t="inlineStr">
        <is>
          <t>1000.0000.2213.52000.950</t>
        </is>
      </c>
      <c r="B321" s="9" t="inlineStr">
        <is>
          <t>Stipend Benefits - K-8</t>
        </is>
      </c>
      <c r="C321" s="27" t="n">
        <v>4074</v>
      </c>
      <c r="D321" s="27" t="n">
        <v>455.47</v>
      </c>
      <c r="E321" s="27" t="n">
        <v>4978</v>
      </c>
      <c r="F321" s="27" t="n">
        <v>565.46</v>
      </c>
      <c r="G321" s="27" t="n">
        <v>4064</v>
      </c>
      <c r="H321" s="27">
        <f>G321-F321</f>
        <v/>
      </c>
      <c r="I321" s="11">
        <f>IF(F321=0,0,G321/F321-1)</f>
        <v/>
      </c>
    </row>
    <row r="322">
      <c r="A322" s="9" t="inlineStr">
        <is>
          <t>1000.0000.2213.52010.950</t>
        </is>
      </c>
      <c r="B322" s="9" t="inlineStr">
        <is>
          <t>K-8 HONORARIUM BENEFITS</t>
        </is>
      </c>
      <c r="C322" s="27" t="n">
        <v>750</v>
      </c>
      <c r="D322" s="27" t="n">
        <v>2228.58</v>
      </c>
      <c r="E322" s="27" t="n">
        <v>750</v>
      </c>
      <c r="F322" s="27" t="n">
        <v>1863.98</v>
      </c>
      <c r="G322" s="27" t="n">
        <v>750</v>
      </c>
      <c r="H322" s="27">
        <f>G322-F322</f>
        <v/>
      </c>
      <c r="I322" s="11">
        <f>IF(F322=0,0,G322/F322-1)</f>
        <v/>
      </c>
    </row>
    <row r="323">
      <c r="A323" s="9" t="inlineStr">
        <is>
          <t>1000.0000.2213.52030.950</t>
        </is>
      </c>
      <c r="B323" s="9" t="inlineStr">
        <is>
          <t>Sub Benefits</t>
        </is>
      </c>
      <c r="C323" s="27" t="n">
        <v>250</v>
      </c>
      <c r="D323" s="27" t="n">
        <v>0</v>
      </c>
      <c r="E323" s="27" t="n">
        <v>250</v>
      </c>
      <c r="F323" s="27" t="n">
        <v>0</v>
      </c>
      <c r="G323" s="27" t="n">
        <v>250</v>
      </c>
      <c r="H323" s="27">
        <f>G323-F323</f>
        <v/>
      </c>
      <c r="I323" s="11">
        <f>IF(F323=0,0,G323/F323-1)</f>
        <v/>
      </c>
    </row>
    <row r="324">
      <c r="A324" s="9" t="inlineStr">
        <is>
          <t>1000.0000.2213.52300.950</t>
        </is>
      </c>
      <c r="B324" s="9" t="inlineStr">
        <is>
          <t>Stipend Retirement - K-8</t>
        </is>
      </c>
      <c r="C324" s="27" t="n">
        <v>3234</v>
      </c>
      <c r="D324" s="27" t="n">
        <v>12.96</v>
      </c>
      <c r="E324" s="27" t="n">
        <v>4142</v>
      </c>
      <c r="F324" s="27" t="n">
        <v>20.37</v>
      </c>
      <c r="G324" s="27" t="n">
        <v>3381</v>
      </c>
      <c r="H324" s="27">
        <f>G324-F324</f>
        <v/>
      </c>
      <c r="I324" s="11">
        <f>IF(F324=0,0,G324/F324-1)</f>
        <v/>
      </c>
    </row>
    <row r="325">
      <c r="A325" s="9" t="inlineStr">
        <is>
          <t>1000.0000.2213.52310.950</t>
        </is>
      </c>
      <c r="B325" s="9" t="inlineStr">
        <is>
          <t>K-8 HONORARIUM RETIREMENT</t>
        </is>
      </c>
      <c r="C325" s="27" t="n">
        <v>596</v>
      </c>
      <c r="D325" s="27" t="n">
        <v>399.46</v>
      </c>
      <c r="E325" s="27" t="n">
        <v>624</v>
      </c>
      <c r="F325" s="27" t="n">
        <v>204.77</v>
      </c>
      <c r="G325" s="27" t="n">
        <v>624</v>
      </c>
      <c r="H325" s="27">
        <f>G325-F325</f>
        <v/>
      </c>
      <c r="I325" s="11">
        <f>IF(F325=0,0,G325/F325-1)</f>
        <v/>
      </c>
    </row>
    <row r="326">
      <c r="A326" s="9" t="inlineStr">
        <is>
          <t>1000.0000.2213.52330.950</t>
        </is>
      </c>
      <c r="B326" s="9" t="inlineStr">
        <is>
          <t>Retirement</t>
        </is>
      </c>
      <c r="C326" s="27" t="n">
        <v>485</v>
      </c>
      <c r="D326" s="27" t="n">
        <v>0</v>
      </c>
      <c r="E326" s="27" t="n">
        <v>208</v>
      </c>
      <c r="F326" s="27" t="n">
        <v>0</v>
      </c>
      <c r="G326" s="27" t="n">
        <v>208</v>
      </c>
      <c r="H326" s="27">
        <f>G326-F326</f>
        <v/>
      </c>
      <c r="I326" s="11">
        <f>IF(F326=0,0,G326/F326-1)</f>
        <v/>
      </c>
    </row>
    <row r="327">
      <c r="A327" s="9" t="inlineStr">
        <is>
          <t>1000.0000.2213.52510.950</t>
        </is>
      </c>
      <c r="B327" s="9" t="inlineStr">
        <is>
          <t>Tuition Reimbursement-Prof</t>
        </is>
      </c>
      <c r="C327" s="27" t="n">
        <v>32000</v>
      </c>
      <c r="D327" s="27" t="n">
        <v>58655</v>
      </c>
      <c r="E327" s="27" t="n">
        <v>40000</v>
      </c>
      <c r="F327" s="27" t="n">
        <v>54273.65</v>
      </c>
      <c r="G327" s="27" t="n">
        <v>47500</v>
      </c>
      <c r="H327" s="27">
        <f>G327-F327</f>
        <v/>
      </c>
      <c r="I327" s="11">
        <f>IF(F327=0,0,G327/F327-1)</f>
        <v/>
      </c>
    </row>
    <row r="328">
      <c r="A328" s="9" t="inlineStr">
        <is>
          <t>1000.0000.2213.52520.950</t>
        </is>
      </c>
      <c r="B328" s="9" t="inlineStr">
        <is>
          <t>Tuition Reimbursement-Support</t>
        </is>
      </c>
      <c r="C328" s="27" t="n">
        <v>2500</v>
      </c>
      <c r="D328" s="27" t="n">
        <v>2316</v>
      </c>
      <c r="E328" s="27" t="n">
        <v>2700</v>
      </c>
      <c r="F328" s="27" t="n">
        <v>2388</v>
      </c>
      <c r="G328" s="27" t="n">
        <v>2700</v>
      </c>
      <c r="H328" s="27">
        <f>G328-F328</f>
        <v/>
      </c>
      <c r="I328" s="11">
        <f>IF(F328=0,0,G328/F328-1)</f>
        <v/>
      </c>
    </row>
    <row r="329">
      <c r="A329" s="9" t="inlineStr">
        <is>
          <t>1000.0000.2213.53000.950</t>
        </is>
      </c>
      <c r="B329" s="9" t="inlineStr">
        <is>
          <t>K-8 Purchased Professional</t>
        </is>
      </c>
      <c r="C329" s="27" t="n">
        <v>61500</v>
      </c>
      <c r="D329" s="27" t="n">
        <v>46970.25</v>
      </c>
      <c r="E329" s="27" t="n">
        <v>36340</v>
      </c>
      <c r="F329" s="27" t="n">
        <v>12433.05</v>
      </c>
      <c r="G329" s="27" t="n">
        <v>36340</v>
      </c>
      <c r="H329" s="27">
        <f>G329-F329</f>
        <v/>
      </c>
      <c r="I329" s="11">
        <f>IF(F329=0,0,G329/F329-1)</f>
        <v/>
      </c>
    </row>
    <row r="330">
      <c r="A330" s="9" t="inlineStr">
        <is>
          <t>1000.0000.2213.55810.950</t>
        </is>
      </c>
      <c r="B330" s="9" t="inlineStr">
        <is>
          <t>Travel</t>
        </is>
      </c>
      <c r="C330" s="27" t="n">
        <v>500</v>
      </c>
      <c r="D330" s="27" t="n">
        <v>0</v>
      </c>
      <c r="E330" s="27" t="n">
        <v>500</v>
      </c>
      <c r="F330" s="27" t="n">
        <v>168.05</v>
      </c>
      <c r="G330" s="27" t="n">
        <v>250</v>
      </c>
      <c r="H330" s="27">
        <f>G330-F330</f>
        <v/>
      </c>
      <c r="I330" s="11">
        <f>IF(F330=0,0,G330/F330-1)</f>
        <v/>
      </c>
    </row>
    <row r="331">
      <c r="A331" s="9" t="inlineStr">
        <is>
          <t>1000.0000.2213.56000.950</t>
        </is>
      </c>
      <c r="B331" s="9" t="inlineStr">
        <is>
          <t>Supplies</t>
        </is>
      </c>
      <c r="C331" s="27" t="n">
        <v>1800</v>
      </c>
      <c r="D331" s="27" t="n">
        <v>0</v>
      </c>
      <c r="E331" s="27" t="n">
        <v>1800</v>
      </c>
      <c r="F331" s="27" t="n">
        <v>0</v>
      </c>
      <c r="G331" s="27" t="n">
        <v>1800</v>
      </c>
      <c r="H331" s="27">
        <f>G331-F331</f>
        <v/>
      </c>
      <c r="I331" s="11">
        <f>IF(F331=0,0,G331/F331-1)</f>
        <v/>
      </c>
    </row>
    <row r="332">
      <c r="A332" s="9" t="inlineStr">
        <is>
          <t>1000.0000.2213.56400.950</t>
        </is>
      </c>
      <c r="B332" s="9" t="inlineStr">
        <is>
          <t>Books</t>
        </is>
      </c>
      <c r="C332" s="27" t="n">
        <v>1400</v>
      </c>
      <c r="D332" s="27" t="n">
        <v>789.6900000000001</v>
      </c>
      <c r="E332" s="27" t="n">
        <v>1400</v>
      </c>
      <c r="F332" s="27" t="n">
        <v>0</v>
      </c>
      <c r="G332" s="27" t="n">
        <v>1400</v>
      </c>
      <c r="H332" s="27">
        <f>G332-F332</f>
        <v/>
      </c>
      <c r="I332" s="11">
        <f>IF(F332=0,0,G332/F332-1)</f>
        <v/>
      </c>
    </row>
    <row r="333">
      <c r="A333" s="17" t="n"/>
      <c r="B333" s="31" t="inlineStr">
        <is>
          <t>Program 0000 Total</t>
        </is>
      </c>
      <c r="C333" s="32">
        <f>SUM(C318:C332)</f>
        <v/>
      </c>
      <c r="D333" s="32">
        <f>SUM(D318:D332)</f>
        <v/>
      </c>
      <c r="E333" s="32">
        <f>SUM(E318:E332)</f>
        <v/>
      </c>
      <c r="F333" s="32">
        <f>SUM(F318:F332)</f>
        <v/>
      </c>
      <c r="G333" s="32">
        <f>SUM(G318:G332)</f>
        <v/>
      </c>
      <c r="H333" s="32">
        <f>SUM(H318:H332)</f>
        <v/>
      </c>
      <c r="I333" s="32">
        <f>SUM(I318:I332)</f>
        <v/>
      </c>
    </row>
    <row r="334">
      <c r="A334" s="17" t="n"/>
      <c r="B334" s="20" t="inlineStr">
        <is>
          <t>Cost Center ('950',) Total</t>
        </is>
      </c>
      <c r="C334" s="35">
        <f>C333</f>
        <v/>
      </c>
      <c r="D334" s="35">
        <f>D333</f>
        <v/>
      </c>
      <c r="E334" s="35">
        <f>E333</f>
        <v/>
      </c>
      <c r="F334" s="35">
        <f>F333</f>
        <v/>
      </c>
      <c r="G334" s="35">
        <f>G333</f>
        <v/>
      </c>
      <c r="H334" s="35">
        <f>H333</f>
        <v/>
      </c>
      <c r="I334" s="35">
        <f>I333</f>
        <v/>
      </c>
    </row>
    <row r="336">
      <c r="A336" s="17" t="n"/>
      <c r="B336" s="36" t="inlineStr">
        <is>
          <t>ARTICLE 5 TOTAL</t>
        </is>
      </c>
      <c r="C336" s="37">
        <f>C53+C97+C141+C184+C226+C289+C315+C334</f>
        <v/>
      </c>
      <c r="D336" s="37">
        <f>D53+D97+D141+D184+D226+D289+D315+D334</f>
        <v/>
      </c>
      <c r="E336" s="37">
        <f>E53+E97+E141+E184+E226+E289+E315+E334</f>
        <v/>
      </c>
      <c r="F336" s="37">
        <f>F53+F97+F141+F184+F226+F289+F315+F334</f>
        <v/>
      </c>
      <c r="G336" s="37">
        <f>G53+G97+G141+G184+G226+G289+G315+G334</f>
        <v/>
      </c>
      <c r="H336" s="37">
        <f>H53+H97+H141+H184+H226+H289+H315+H334</f>
        <v/>
      </c>
      <c r="I336" s="37">
        <f>I53+I97+I141+I184+I226+I289+I315+I334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472C4"/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6 - System Administration</t>
        </is>
      </c>
    </row>
    <row r="2">
      <c r="A2" s="16" t="inlineStr">
        <is>
          <t>Source: FY22 Proposed Budget, RSU 5</t>
        </is>
      </c>
    </row>
    <row r="3">
      <c r="A3" s="16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FY18 Actual</t>
        </is>
      </c>
      <c r="D5" s="8" t="inlineStr">
        <is>
          <t>FY19 Actual</t>
        </is>
      </c>
      <c r="E5" s="8" t="inlineStr">
        <is>
          <t>FY20 Actual</t>
        </is>
      </c>
      <c r="F5" s="8" t="inlineStr">
        <is>
          <t>FY21 Adopted</t>
        </is>
      </c>
      <c r="G5" s="8" t="inlineStr">
        <is>
          <t>FY22 Adopted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('900',)</t>
        </is>
      </c>
    </row>
    <row r="7">
      <c r="A7" s="9" t="inlineStr">
        <is>
          <t>1000.0000.2310.51500.900</t>
        </is>
      </c>
      <c r="B7" s="9" t="inlineStr">
        <is>
          <t>Stipends</t>
        </is>
      </c>
      <c r="C7" s="27" t="n">
        <v>8000</v>
      </c>
      <c r="D7" s="27" t="n">
        <v>6500</v>
      </c>
      <c r="E7" s="27" t="n">
        <v>8000</v>
      </c>
      <c r="F7" s="27" t="n">
        <v>5450</v>
      </c>
      <c r="G7" s="27" t="n">
        <v>8000</v>
      </c>
      <c r="H7" s="27">
        <f>G7-F7</f>
        <v/>
      </c>
      <c r="I7" s="11">
        <f>IF(F7=0,0,G7/F7-1)</f>
        <v/>
      </c>
    </row>
    <row r="8">
      <c r="A8" s="9" t="inlineStr">
        <is>
          <t>1000.0000.2310.52000.900</t>
        </is>
      </c>
      <c r="B8" s="9" t="inlineStr">
        <is>
          <t>Board Stipend Benefits</t>
        </is>
      </c>
      <c r="C8" s="27" t="n">
        <v>0</v>
      </c>
      <c r="D8" s="27" t="n">
        <v>524.4400000000001</v>
      </c>
      <c r="E8" s="27" t="n">
        <v>0</v>
      </c>
      <c r="F8" s="27" t="n">
        <v>445.11</v>
      </c>
      <c r="G8" s="27" t="n">
        <v>700</v>
      </c>
      <c r="H8" s="27">
        <f>G8-F8</f>
        <v/>
      </c>
      <c r="I8" s="11">
        <f>IF(F8=0,0,G8/F8-1)</f>
        <v/>
      </c>
    </row>
    <row r="9">
      <c r="A9" s="9" t="inlineStr">
        <is>
          <t>1000.0000.2310.52200.900</t>
        </is>
      </c>
      <c r="B9" s="9" t="inlineStr">
        <is>
          <t>Benefits</t>
        </is>
      </c>
      <c r="C9" s="27" t="n">
        <v>700</v>
      </c>
      <c r="D9" s="27" t="n">
        <v>0</v>
      </c>
      <c r="E9" s="27" t="n">
        <v>700</v>
      </c>
      <c r="F9" s="27" t="n">
        <v>0</v>
      </c>
      <c r="G9" s="27" t="n">
        <v>0</v>
      </c>
      <c r="H9" s="27">
        <f>G9-F9</f>
        <v/>
      </c>
      <c r="I9" s="11">
        <f>IF(F9=0,0,G9/F9-1)</f>
        <v/>
      </c>
    </row>
    <row r="10">
      <c r="A10" s="9" t="inlineStr">
        <is>
          <t>1000.0000.2310.53400.900</t>
        </is>
      </c>
      <c r="B10" s="9" t="inlineStr">
        <is>
          <t>Professional Services</t>
        </is>
      </c>
      <c r="C10" s="27" t="n">
        <v>96000</v>
      </c>
      <c r="D10" s="27" t="n">
        <v>9521.559999999999</v>
      </c>
      <c r="E10" s="27" t="n">
        <v>96000</v>
      </c>
      <c r="F10" s="27" t="n">
        <v>22239.12</v>
      </c>
      <c r="G10" s="27" t="n">
        <v>57000</v>
      </c>
      <c r="H10" s="27">
        <f>G10-F10</f>
        <v/>
      </c>
      <c r="I10" s="11">
        <f>IF(F10=0,0,G10/F10-1)</f>
        <v/>
      </c>
    </row>
    <row r="11">
      <c r="A11" s="9" t="inlineStr">
        <is>
          <t>1000.0000.2310.55200.900</t>
        </is>
      </c>
      <c r="B11" s="9" t="inlineStr">
        <is>
          <t>Insurance</t>
        </is>
      </c>
      <c r="C11" s="27" t="n">
        <v>14917</v>
      </c>
      <c r="D11" s="27" t="n">
        <v>16651.15</v>
      </c>
      <c r="E11" s="27" t="n">
        <v>17983</v>
      </c>
      <c r="F11" s="27" t="n">
        <v>16687.65</v>
      </c>
      <c r="G11" s="27" t="n">
        <v>18357</v>
      </c>
      <c r="H11" s="27">
        <f>G11-F11</f>
        <v/>
      </c>
      <c r="I11" s="11">
        <f>IF(F11=0,0,G11/F11-1)</f>
        <v/>
      </c>
    </row>
    <row r="12">
      <c r="A12" s="9" t="inlineStr">
        <is>
          <t>1000.0000.2310.55800.900</t>
        </is>
      </c>
      <c r="B12" s="9" t="inlineStr">
        <is>
          <t>Committee Travel</t>
        </is>
      </c>
      <c r="C12" s="27" t="n">
        <v>300</v>
      </c>
      <c r="D12" s="27" t="n">
        <v>0</v>
      </c>
      <c r="E12" s="27" t="n">
        <v>300</v>
      </c>
      <c r="F12" s="27" t="n">
        <v>0</v>
      </c>
      <c r="G12" s="27" t="n">
        <v>300</v>
      </c>
      <c r="H12" s="27">
        <f>G12-F12</f>
        <v/>
      </c>
      <c r="I12" s="11">
        <f>IF(F12=0,0,G12/F12-1)</f>
        <v/>
      </c>
    </row>
    <row r="13">
      <c r="A13" s="9" t="inlineStr">
        <is>
          <t>1000.0000.2310.56000.900</t>
        </is>
      </c>
      <c r="B13" s="9" t="inlineStr">
        <is>
          <t>Supplies</t>
        </is>
      </c>
      <c r="C13" s="27" t="n">
        <v>300</v>
      </c>
      <c r="D13" s="27" t="n">
        <v>2951.89</v>
      </c>
      <c r="E13" s="27" t="n">
        <v>300</v>
      </c>
      <c r="F13" s="27" t="n">
        <v>478.11</v>
      </c>
      <c r="G13" s="27" t="n">
        <v>300</v>
      </c>
      <c r="H13" s="27">
        <f>G13-F13</f>
        <v/>
      </c>
      <c r="I13" s="11">
        <f>IF(F13=0,0,G13/F13-1)</f>
        <v/>
      </c>
    </row>
    <row r="14">
      <c r="A14" s="9" t="inlineStr">
        <is>
          <t>1000.0000.2310.58100.900</t>
        </is>
      </c>
      <c r="B14" s="9" t="inlineStr">
        <is>
          <t>Dues &amp; Fees</t>
        </is>
      </c>
      <c r="C14" s="27" t="n">
        <v>6670</v>
      </c>
      <c r="D14" s="27" t="n">
        <v>582</v>
      </c>
      <c r="E14" s="27" t="n">
        <v>6670</v>
      </c>
      <c r="F14" s="27" t="n">
        <v>5443</v>
      </c>
      <c r="G14" s="27" t="n">
        <v>6670</v>
      </c>
      <c r="H14" s="27">
        <f>G14-F14</f>
        <v/>
      </c>
      <c r="I14" s="11">
        <f>IF(F14=0,0,G14/F14-1)</f>
        <v/>
      </c>
    </row>
    <row r="15">
      <c r="A15" s="17" t="n"/>
      <c r="B15" s="31" t="inlineStr">
        <is>
          <t>Program 0000 Total</t>
        </is>
      </c>
      <c r="C15" s="32">
        <f>SUM(C7:C14)</f>
        <v/>
      </c>
      <c r="D15" s="32">
        <f>SUM(D7:D14)</f>
        <v/>
      </c>
      <c r="E15" s="32">
        <f>SUM(E7:E14)</f>
        <v/>
      </c>
      <c r="F15" s="32">
        <f>SUM(F7:F14)</f>
        <v/>
      </c>
      <c r="G15" s="32">
        <f>SUM(G7:G14)</f>
        <v/>
      </c>
      <c r="H15" s="32">
        <f>SUM(H7:H14)</f>
        <v/>
      </c>
      <c r="I15" s="32">
        <f>SUM(I7:I14)</f>
        <v/>
      </c>
    </row>
    <row r="16">
      <c r="A16" s="9" t="inlineStr">
        <is>
          <t>1000.0000.2320.51040.900</t>
        </is>
      </c>
      <c r="B16" s="9" t="inlineStr">
        <is>
          <t>Superintendent's Salary</t>
        </is>
      </c>
      <c r="C16" s="27" t="n">
        <v>177615</v>
      </c>
      <c r="D16" s="27" t="n">
        <v>184721.16</v>
      </c>
      <c r="E16" s="27" t="n">
        <v>192110</v>
      </c>
      <c r="F16" s="27" t="n">
        <v>190725.34</v>
      </c>
      <c r="G16" s="27" t="n">
        <v>197591</v>
      </c>
      <c r="H16" s="27">
        <f>G16-F16</f>
        <v/>
      </c>
      <c r="I16" s="11">
        <f>IF(F16=0,0,G16/F16-1)</f>
        <v/>
      </c>
    </row>
    <row r="17">
      <c r="A17" s="9" t="inlineStr">
        <is>
          <t>1000.0000.2320.51180.900</t>
        </is>
      </c>
      <c r="B17" s="9" t="inlineStr">
        <is>
          <t>Support Wages</t>
        </is>
      </c>
      <c r="C17" s="27" t="n">
        <v>67300</v>
      </c>
      <c r="D17" s="27" t="n">
        <v>68982.94</v>
      </c>
      <c r="E17" s="27" t="n">
        <v>70708</v>
      </c>
      <c r="F17" s="27" t="n">
        <v>70363.02</v>
      </c>
      <c r="G17" s="27" t="n">
        <v>73178</v>
      </c>
      <c r="H17" s="27">
        <f>G17-F17</f>
        <v/>
      </c>
      <c r="I17" s="11">
        <f>IF(F17=0,0,G17/F17-1)</f>
        <v/>
      </c>
    </row>
    <row r="18">
      <c r="A18" s="9" t="inlineStr">
        <is>
          <t>1000.0000.2320.52000.900</t>
        </is>
      </c>
      <c r="B18" s="9" t="inlineStr">
        <is>
          <t>Benefits</t>
        </is>
      </c>
      <c r="C18" s="27" t="n">
        <v>0</v>
      </c>
      <c r="D18" s="27" t="n">
        <v>0</v>
      </c>
      <c r="E18" s="27" t="n">
        <v>0</v>
      </c>
      <c r="F18" s="27" t="n">
        <v>1</v>
      </c>
      <c r="G18" s="27" t="n">
        <v>0</v>
      </c>
      <c r="H18" s="27">
        <f>G18-F18</f>
        <v/>
      </c>
      <c r="I18" s="11">
        <f>IF(F18=0,0,G18/F18-1)</f>
        <v/>
      </c>
    </row>
    <row r="19">
      <c r="A19" s="9" t="inlineStr">
        <is>
          <t>1000.0000.2320.52040.900</t>
        </is>
      </c>
      <c r="B19" s="9" t="inlineStr">
        <is>
          <t>Superintendent Benefits</t>
        </is>
      </c>
      <c r="C19" s="27" t="n">
        <v>37363</v>
      </c>
      <c r="D19" s="27" t="n">
        <v>31004.58</v>
      </c>
      <c r="E19" s="27" t="n">
        <v>33968</v>
      </c>
      <c r="F19" s="27" t="n">
        <v>32224.81</v>
      </c>
      <c r="G19" s="27" t="n">
        <v>32951</v>
      </c>
      <c r="H19" s="27">
        <f>G19-F19</f>
        <v/>
      </c>
      <c r="I19" s="11">
        <f>IF(F19=0,0,G19/F19-1)</f>
        <v/>
      </c>
    </row>
    <row r="20">
      <c r="A20" s="9" t="inlineStr">
        <is>
          <t>1000.0000.2320.52080.900</t>
        </is>
      </c>
      <c r="B20" s="9" t="inlineStr">
        <is>
          <t>Support Benefits</t>
        </is>
      </c>
      <c r="C20" s="27" t="n">
        <v>22686</v>
      </c>
      <c r="D20" s="27" t="n">
        <v>21460.4</v>
      </c>
      <c r="E20" s="27" t="n">
        <v>20979</v>
      </c>
      <c r="F20" s="27" t="n">
        <v>21453.89</v>
      </c>
      <c r="G20" s="27" t="n">
        <v>22322</v>
      </c>
      <c r="H20" s="27">
        <f>G20-F20</f>
        <v/>
      </c>
      <c r="I20" s="11">
        <f>IF(F20=0,0,G20/F20-1)</f>
        <v/>
      </c>
    </row>
    <row r="21">
      <c r="A21" s="9" t="inlineStr">
        <is>
          <t>1000.0000.2320.52340.900</t>
        </is>
      </c>
      <c r="B21" s="9" t="inlineStr">
        <is>
          <t>Retirement</t>
        </is>
      </c>
      <c r="C21" s="27" t="n">
        <v>7334</v>
      </c>
      <c r="D21" s="27" t="n">
        <v>7333.3</v>
      </c>
      <c r="E21" s="27" t="n">
        <v>7992</v>
      </c>
      <c r="F21" s="27" t="n">
        <v>7952.88</v>
      </c>
      <c r="G21" s="27" t="n">
        <v>8252</v>
      </c>
      <c r="H21" s="27">
        <f>G21-F21</f>
        <v/>
      </c>
      <c r="I21" s="11">
        <f>IF(F21=0,0,G21/F21-1)</f>
        <v/>
      </c>
    </row>
    <row r="22">
      <c r="A22" s="9" t="inlineStr">
        <is>
          <t>1000.0000.2320.53400.900</t>
        </is>
      </c>
      <c r="B22" s="9" t="inlineStr">
        <is>
          <t>Professional Services</t>
        </is>
      </c>
      <c r="C22" s="27" t="n">
        <v>50000</v>
      </c>
      <c r="D22" s="27" t="n">
        <v>88040.75999999999</v>
      </c>
      <c r="E22" s="27" t="n">
        <v>50000</v>
      </c>
      <c r="F22" s="27" t="n">
        <v>111196.02</v>
      </c>
      <c r="G22" s="27" t="n">
        <v>117550</v>
      </c>
      <c r="H22" s="27">
        <f>G22-F22</f>
        <v/>
      </c>
      <c r="I22" s="11">
        <f>IF(F22=0,0,G22/F22-1)</f>
        <v/>
      </c>
    </row>
    <row r="23">
      <c r="A23" s="9" t="inlineStr">
        <is>
          <t>1000.0000.2320.54330.900</t>
        </is>
      </c>
      <c r="B23" s="9" t="inlineStr">
        <is>
          <t>Software Repairs &amp; Maintenance</t>
        </is>
      </c>
      <c r="C23" s="27" t="n">
        <v>70000</v>
      </c>
      <c r="D23" s="27" t="n">
        <v>82138.25</v>
      </c>
      <c r="E23" s="27" t="n">
        <v>70000</v>
      </c>
      <c r="F23" s="27" t="n">
        <v>21535.05</v>
      </c>
      <c r="G23" s="27" t="n">
        <v>79150</v>
      </c>
      <c r="H23" s="27">
        <f>G23-F23</f>
        <v/>
      </c>
      <c r="I23" s="11">
        <f>IF(F23=0,0,G23/F23-1)</f>
        <v/>
      </c>
    </row>
    <row r="24">
      <c r="A24" s="9" t="inlineStr">
        <is>
          <t>1000.0000.2320.54430.900</t>
        </is>
      </c>
      <c r="B24" s="9" t="inlineStr">
        <is>
          <t>Rental/Leases</t>
        </is>
      </c>
      <c r="C24" s="27" t="n">
        <v>0</v>
      </c>
      <c r="D24" s="27" t="n">
        <v>0</v>
      </c>
      <c r="E24" s="27" t="n">
        <v>0</v>
      </c>
      <c r="F24" s="27" t="n">
        <v>3030.5</v>
      </c>
      <c r="G24" s="27" t="n">
        <v>0</v>
      </c>
      <c r="H24" s="27">
        <f>G24-F24</f>
        <v/>
      </c>
      <c r="I24" s="11">
        <f>IF(F24=0,0,G24/F24-1)</f>
        <v/>
      </c>
    </row>
    <row r="25">
      <c r="A25" s="9" t="inlineStr">
        <is>
          <t>1000.0000.2320.55310.900</t>
        </is>
      </c>
      <c r="B25" s="9" t="inlineStr">
        <is>
          <t>Postage</t>
        </is>
      </c>
      <c r="C25" s="27" t="n">
        <v>6700</v>
      </c>
      <c r="D25" s="27" t="n">
        <v>6803.52</v>
      </c>
      <c r="E25" s="27" t="n">
        <v>7370</v>
      </c>
      <c r="F25" s="27" t="n">
        <v>6951.53</v>
      </c>
      <c r="G25" s="27" t="n">
        <v>7370</v>
      </c>
      <c r="H25" s="27">
        <f>G25-F25</f>
        <v/>
      </c>
      <c r="I25" s="11">
        <f>IF(F25=0,0,G25/F25-1)</f>
        <v/>
      </c>
    </row>
    <row r="26">
      <c r="A26" s="9" t="inlineStr">
        <is>
          <t>1000.0000.2320.55320.900</t>
        </is>
      </c>
      <c r="B26" s="9" t="inlineStr">
        <is>
          <t>Telephone</t>
        </is>
      </c>
      <c r="C26" s="27" t="n">
        <v>0</v>
      </c>
      <c r="D26" s="27" t="n">
        <v>0</v>
      </c>
      <c r="E26" s="27" t="n">
        <v>0</v>
      </c>
      <c r="F26" s="27" t="n">
        <v>350.8</v>
      </c>
      <c r="G26" s="27" t="n">
        <v>0</v>
      </c>
      <c r="H26" s="27">
        <f>G26-F26</f>
        <v/>
      </c>
      <c r="I26" s="11">
        <f>IF(F26=0,0,G26/F26-1)</f>
        <v/>
      </c>
    </row>
    <row r="27">
      <c r="A27" s="9" t="inlineStr">
        <is>
          <t>1000.0000.2320.55400.900</t>
        </is>
      </c>
      <c r="B27" s="9" t="inlineStr">
        <is>
          <t>Advertising</t>
        </is>
      </c>
      <c r="C27" s="27" t="n">
        <v>15000</v>
      </c>
      <c r="D27" s="27" t="n">
        <v>2126.5</v>
      </c>
      <c r="E27" s="27" t="n">
        <v>6000</v>
      </c>
      <c r="F27" s="27" t="n">
        <v>198.27</v>
      </c>
      <c r="G27" s="27" t="n">
        <v>6000</v>
      </c>
      <c r="H27" s="27">
        <f>G27-F27</f>
        <v/>
      </c>
      <c r="I27" s="11">
        <f>IF(F27=0,0,G27/F27-1)</f>
        <v/>
      </c>
    </row>
    <row r="28">
      <c r="A28" s="9" t="inlineStr">
        <is>
          <t>1000.0000.2320.55800.900</t>
        </is>
      </c>
      <c r="B28" s="9" t="inlineStr">
        <is>
          <t>Travel</t>
        </is>
      </c>
      <c r="C28" s="27" t="n">
        <v>3200</v>
      </c>
      <c r="D28" s="27" t="n">
        <v>1328</v>
      </c>
      <c r="E28" s="27" t="n">
        <v>1500</v>
      </c>
      <c r="F28" s="27" t="n">
        <v>2548.26</v>
      </c>
      <c r="G28" s="27" t="n">
        <v>1500</v>
      </c>
      <c r="H28" s="27">
        <f>G28-F28</f>
        <v/>
      </c>
      <c r="I28" s="11">
        <f>IF(F28=0,0,G28/F28-1)</f>
        <v/>
      </c>
    </row>
    <row r="29">
      <c r="A29" s="9" t="inlineStr">
        <is>
          <t>1000.0000.2320.56000.900</t>
        </is>
      </c>
      <c r="B29" s="9" t="inlineStr">
        <is>
          <t>Supplies</t>
        </is>
      </c>
      <c r="C29" s="27" t="n">
        <v>10000</v>
      </c>
      <c r="D29" s="27" t="n">
        <v>10010.51</v>
      </c>
      <c r="E29" s="27" t="n">
        <v>14000</v>
      </c>
      <c r="F29" s="27" t="n">
        <v>7829.53</v>
      </c>
      <c r="G29" s="27" t="n">
        <v>14000</v>
      </c>
      <c r="H29" s="27">
        <f>G29-F29</f>
        <v/>
      </c>
      <c r="I29" s="11">
        <f>IF(F29=0,0,G29/F29-1)</f>
        <v/>
      </c>
    </row>
    <row r="30">
      <c r="A30" s="9" t="inlineStr">
        <is>
          <t>1000.0000.2320.56400.900</t>
        </is>
      </c>
      <c r="B30" s="9" t="inlineStr">
        <is>
          <t>Books</t>
        </is>
      </c>
      <c r="C30" s="27" t="n">
        <v>300</v>
      </c>
      <c r="D30" s="27" t="n">
        <v>338.95</v>
      </c>
      <c r="E30" s="27" t="n">
        <v>300</v>
      </c>
      <c r="F30" s="27" t="n">
        <v>40</v>
      </c>
      <c r="G30" s="27" t="n">
        <v>300</v>
      </c>
      <c r="H30" s="27">
        <f>G30-F30</f>
        <v/>
      </c>
      <c r="I30" s="11">
        <f>IF(F30=0,0,G30/F30-1)</f>
        <v/>
      </c>
    </row>
    <row r="31">
      <c r="A31" s="9" t="inlineStr">
        <is>
          <t>1000.0000.2320.57340.900</t>
        </is>
      </c>
      <c r="B31" s="9" t="inlineStr">
        <is>
          <t>Technology Equipment</t>
        </is>
      </c>
      <c r="C31" s="27" t="n">
        <v>2000</v>
      </c>
      <c r="D31" s="27" t="n">
        <v>5964.02</v>
      </c>
      <c r="E31" s="27" t="n">
        <v>2000</v>
      </c>
      <c r="F31" s="27" t="n">
        <v>-8136.04</v>
      </c>
      <c r="G31" s="27" t="n">
        <v>2000</v>
      </c>
      <c r="H31" s="27">
        <f>G31-F31</f>
        <v/>
      </c>
      <c r="I31" s="11">
        <f>IF(F31=0,0,G31/F31-1)</f>
        <v/>
      </c>
    </row>
    <row r="32">
      <c r="A32" s="9" t="inlineStr">
        <is>
          <t>1000.0000.2320.58100.900</t>
        </is>
      </c>
      <c r="B32" s="9" t="inlineStr">
        <is>
          <t>Dues and Fees</t>
        </is>
      </c>
      <c r="C32" s="27" t="n">
        <v>11500</v>
      </c>
      <c r="D32" s="27" t="n">
        <v>26786.04</v>
      </c>
      <c r="E32" s="27" t="n">
        <v>11500</v>
      </c>
      <c r="F32" s="27" t="n">
        <v>9055.030000000001</v>
      </c>
      <c r="G32" s="27" t="n">
        <v>11500</v>
      </c>
      <c r="H32" s="27">
        <f>G32-F32</f>
        <v/>
      </c>
      <c r="I32" s="11">
        <f>IF(F32=0,0,G32/F32-1)</f>
        <v/>
      </c>
    </row>
    <row r="33">
      <c r="A33" s="9" t="inlineStr">
        <is>
          <t>1000.0000.2320.59000.900</t>
        </is>
      </c>
      <c r="B33" s="9" t="inlineStr">
        <is>
          <t>Aspirations / Miscellaneous</t>
        </is>
      </c>
      <c r="C33" s="27" t="n">
        <v>12172</v>
      </c>
      <c r="D33" s="27" t="n">
        <v>6118.62</v>
      </c>
      <c r="E33" s="27" t="n">
        <v>12172</v>
      </c>
      <c r="F33" s="27" t="n">
        <v>5000</v>
      </c>
      <c r="G33" s="27" t="n">
        <v>12172</v>
      </c>
      <c r="H33" s="27">
        <f>G33-F33</f>
        <v/>
      </c>
      <c r="I33" s="11">
        <f>IF(F33=0,0,G33/F33-1)</f>
        <v/>
      </c>
    </row>
    <row r="34">
      <c r="A34" s="17" t="n"/>
      <c r="B34" s="31" t="inlineStr">
        <is>
          <t>Program 0000 Total</t>
        </is>
      </c>
      <c r="C34" s="32">
        <f>SUM(C16:C33)</f>
        <v/>
      </c>
      <c r="D34" s="32">
        <f>SUM(D16:D33)</f>
        <v/>
      </c>
      <c r="E34" s="32">
        <f>SUM(E16:E33)</f>
        <v/>
      </c>
      <c r="F34" s="32">
        <f>SUM(F16:F33)</f>
        <v/>
      </c>
      <c r="G34" s="32">
        <f>SUM(G16:G33)</f>
        <v/>
      </c>
      <c r="H34" s="32">
        <f>SUM(H16:H33)</f>
        <v/>
      </c>
      <c r="I34" s="32">
        <f>SUM(I16:I33)</f>
        <v/>
      </c>
    </row>
    <row r="35">
      <c r="A35" s="9" t="inlineStr">
        <is>
          <t>1000.0000.2500.51040.900</t>
        </is>
      </c>
      <c r="B35" s="9" t="inlineStr">
        <is>
          <t>Administrator Salary</t>
        </is>
      </c>
      <c r="C35" s="27" t="n">
        <v>93600</v>
      </c>
      <c r="D35" s="27" t="n">
        <v>97344</v>
      </c>
      <c r="E35" s="27" t="n">
        <v>102211</v>
      </c>
      <c r="F35" s="27" t="n">
        <v>99948.36</v>
      </c>
      <c r="G35" s="27" t="n">
        <v>106708</v>
      </c>
      <c r="H35" s="27">
        <f>G35-F35</f>
        <v/>
      </c>
      <c r="I35" s="11">
        <f>IF(F35=0,0,G35/F35-1)</f>
        <v/>
      </c>
    </row>
    <row r="36">
      <c r="A36" s="9" t="inlineStr">
        <is>
          <t>1000.0000.2500.51180.900</t>
        </is>
      </c>
      <c r="B36" s="9" t="inlineStr">
        <is>
          <t>Salaries</t>
        </is>
      </c>
      <c r="C36" s="27" t="n">
        <v>114193</v>
      </c>
      <c r="D36" s="27" t="n">
        <v>122867.66</v>
      </c>
      <c r="E36" s="27" t="n">
        <v>121288</v>
      </c>
      <c r="F36" s="27" t="n">
        <v>157762.3</v>
      </c>
      <c r="G36" s="27" t="n">
        <v>143853</v>
      </c>
      <c r="H36" s="27">
        <f>G36-F36</f>
        <v/>
      </c>
      <c r="I36" s="11">
        <f>IF(F36=0,0,G36/F36-1)</f>
        <v/>
      </c>
    </row>
    <row r="37">
      <c r="A37" s="9" t="inlineStr">
        <is>
          <t>1000.0000.2500.52040.900</t>
        </is>
      </c>
      <c r="B37" s="9" t="inlineStr">
        <is>
          <t>Admin Benefits</t>
        </is>
      </c>
      <c r="C37" s="27" t="n">
        <v>36733</v>
      </c>
      <c r="D37" s="27" t="n">
        <v>30730.99</v>
      </c>
      <c r="E37" s="27" t="n">
        <v>33757</v>
      </c>
      <c r="F37" s="27" t="n">
        <v>20441.32</v>
      </c>
      <c r="G37" s="27" t="n">
        <v>20557</v>
      </c>
      <c r="H37" s="27">
        <f>G37-F37</f>
        <v/>
      </c>
      <c r="I37" s="11">
        <f>IF(F37=0,0,G37/F37-1)</f>
        <v/>
      </c>
    </row>
    <row r="38">
      <c r="A38" s="9" t="inlineStr">
        <is>
          <t>1000.0000.2500.52080.900</t>
        </is>
      </c>
      <c r="B38" s="9" t="inlineStr">
        <is>
          <t>Benefits</t>
        </is>
      </c>
      <c r="C38" s="27" t="n">
        <v>59068</v>
      </c>
      <c r="D38" s="27" t="n">
        <v>58502.71</v>
      </c>
      <c r="E38" s="27" t="n">
        <v>57790</v>
      </c>
      <c r="F38" s="27" t="n">
        <v>43718.08</v>
      </c>
      <c r="G38" s="27" t="n">
        <v>49611</v>
      </c>
      <c r="H38" s="27">
        <f>G38-F38</f>
        <v/>
      </c>
      <c r="I38" s="11">
        <f>IF(F38=0,0,G38/F38-1)</f>
        <v/>
      </c>
    </row>
    <row r="39">
      <c r="A39" s="9" t="inlineStr">
        <is>
          <t>1000.0000.2500.52340.900</t>
        </is>
      </c>
      <c r="B39" s="9" t="inlineStr">
        <is>
          <t>Retirement</t>
        </is>
      </c>
      <c r="C39" s="27" t="n">
        <v>0</v>
      </c>
      <c r="D39" s="27" t="n">
        <v>0</v>
      </c>
      <c r="E39" s="27" t="n">
        <v>0</v>
      </c>
      <c r="F39" s="27" t="n">
        <v>0</v>
      </c>
      <c r="G39" s="27" t="n">
        <v>10819</v>
      </c>
      <c r="H39" s="27">
        <f>G39-F39</f>
        <v/>
      </c>
      <c r="I39" s="11">
        <f>IF(F39=0,0,G39/F39-1)</f>
        <v/>
      </c>
    </row>
    <row r="40">
      <c r="A40" s="9" t="inlineStr">
        <is>
          <t>1000.0000.2500.55800.900</t>
        </is>
      </c>
      <c r="B40" s="9" t="inlineStr">
        <is>
          <t>Travel</t>
        </is>
      </c>
      <c r="C40" s="27" t="n">
        <v>0</v>
      </c>
      <c r="D40" s="27" t="n">
        <v>0</v>
      </c>
      <c r="E40" s="27" t="n">
        <v>0</v>
      </c>
      <c r="F40" s="27" t="n">
        <v>0</v>
      </c>
      <c r="G40" s="27" t="n">
        <v>1000</v>
      </c>
      <c r="H40" s="27">
        <f>G40-F40</f>
        <v/>
      </c>
      <c r="I40" s="11">
        <f>IF(F40=0,0,G40/F40-1)</f>
        <v/>
      </c>
    </row>
    <row r="41">
      <c r="A41" s="9" t="inlineStr">
        <is>
          <t>1000.0000.2500.55810.900</t>
        </is>
      </c>
      <c r="B41" s="9" t="inlineStr">
        <is>
          <t>Travel</t>
        </is>
      </c>
      <c r="C41" s="27" t="n">
        <v>1000</v>
      </c>
      <c r="D41" s="27" t="n">
        <v>223.19</v>
      </c>
      <c r="E41" s="27" t="n">
        <v>1000</v>
      </c>
      <c r="F41" s="27" t="n">
        <v>380.09</v>
      </c>
      <c r="G41" s="27" t="n">
        <v>0</v>
      </c>
      <c r="H41" s="27">
        <f>G41-F41</f>
        <v/>
      </c>
      <c r="I41" s="11">
        <f>IF(F41=0,0,G41/F41-1)</f>
        <v/>
      </c>
    </row>
    <row r="42">
      <c r="A42" s="9" t="inlineStr">
        <is>
          <t>1000.0000.2500.58100.900</t>
        </is>
      </c>
      <c r="B42" s="9" t="inlineStr">
        <is>
          <t>Dues and Fees</t>
        </is>
      </c>
      <c r="C42" s="27" t="n">
        <v>3500</v>
      </c>
      <c r="D42" s="27" t="n">
        <v>3839.35</v>
      </c>
      <c r="E42" s="27" t="n">
        <v>3500</v>
      </c>
      <c r="F42" s="27" t="n">
        <v>4254.97</v>
      </c>
      <c r="G42" s="27" t="n">
        <v>3500</v>
      </c>
      <c r="H42" s="27">
        <f>G42-F42</f>
        <v/>
      </c>
      <c r="I42" s="11">
        <f>IF(F42=0,0,G42/F42-1)</f>
        <v/>
      </c>
    </row>
    <row r="43">
      <c r="A43" s="9" t="inlineStr">
        <is>
          <t>1000.0000.2500.59000.900</t>
        </is>
      </c>
      <c r="B43" s="9" t="inlineStr">
        <is>
          <t>Outstanding Checks Clearing Acct</t>
        </is>
      </c>
      <c r="C43" s="27" t="n">
        <v>0</v>
      </c>
      <c r="D43" s="27" t="n">
        <v>232.72</v>
      </c>
      <c r="E43" s="27" t="n">
        <v>0</v>
      </c>
      <c r="F43" s="27" t="n">
        <v>0</v>
      </c>
      <c r="G43" s="27" t="n">
        <v>0</v>
      </c>
      <c r="H43" s="27">
        <f>G43-F43</f>
        <v/>
      </c>
      <c r="I43" s="11">
        <f>IF(F43=0,0,G43/F43-1)</f>
        <v/>
      </c>
    </row>
    <row r="44">
      <c r="A44" s="9" t="inlineStr">
        <is>
          <t>1000.0000.2500.59500.900</t>
        </is>
      </c>
      <c r="B44" s="9" t="inlineStr">
        <is>
          <t>Special Items</t>
        </is>
      </c>
      <c r="C44" s="27" t="n">
        <v>0</v>
      </c>
      <c r="D44" s="27" t="n">
        <v>361387</v>
      </c>
      <c r="E44" s="27" t="n">
        <v>0</v>
      </c>
      <c r="F44" s="27" t="n">
        <v>0</v>
      </c>
      <c r="G44" s="27" t="n">
        <v>0</v>
      </c>
      <c r="H44" s="27">
        <f>G44-F44</f>
        <v/>
      </c>
      <c r="I44" s="11">
        <f>IF(F44=0,0,G44/F44-1)</f>
        <v/>
      </c>
    </row>
    <row r="45">
      <c r="A45" s="17" t="n"/>
      <c r="B45" s="31" t="inlineStr">
        <is>
          <t>Program 0000 Total</t>
        </is>
      </c>
      <c r="C45" s="32">
        <f>SUM(C35:C44)</f>
        <v/>
      </c>
      <c r="D45" s="32">
        <f>SUM(D35:D44)</f>
        <v/>
      </c>
      <c r="E45" s="32">
        <f>SUM(E35:E44)</f>
        <v/>
      </c>
      <c r="F45" s="32">
        <f>SUM(F35:F44)</f>
        <v/>
      </c>
      <c r="G45" s="32">
        <f>SUM(G35:G44)</f>
        <v/>
      </c>
      <c r="H45" s="32">
        <f>SUM(H35:H44)</f>
        <v/>
      </c>
      <c r="I45" s="32">
        <f>SUM(I35:I44)</f>
        <v/>
      </c>
    </row>
    <row r="46">
      <c r="A46" s="17" t="n"/>
      <c r="B46" s="20" t="inlineStr">
        <is>
          <t>Cost Center ('900',) Total</t>
        </is>
      </c>
      <c r="C46" s="35">
        <f>C15+C34+C45</f>
        <v/>
      </c>
      <c r="D46" s="35">
        <f>D15+D34+D45</f>
        <v/>
      </c>
      <c r="E46" s="35">
        <f>E15+E34+E45</f>
        <v/>
      </c>
      <c r="F46" s="35">
        <f>F15+F34+F45</f>
        <v/>
      </c>
      <c r="G46" s="35">
        <f>G15+G34+G45</f>
        <v/>
      </c>
      <c r="H46" s="35">
        <f>H15+H34+H45</f>
        <v/>
      </c>
      <c r="I46" s="35">
        <f>I15+I34+I45</f>
        <v/>
      </c>
    </row>
    <row r="48">
      <c r="A48" s="17" t="n"/>
      <c r="B48" s="36" t="inlineStr">
        <is>
          <t>ARTICLE 6 TOTAL</t>
        </is>
      </c>
      <c r="C48" s="37">
        <f>C46</f>
        <v/>
      </c>
      <c r="D48" s="37">
        <f>D46</f>
        <v/>
      </c>
      <c r="E48" s="37">
        <f>E46</f>
        <v/>
      </c>
      <c r="F48" s="37">
        <f>F46</f>
        <v/>
      </c>
      <c r="G48" s="37">
        <f>G46</f>
        <v/>
      </c>
      <c r="H48" s="37">
        <f>H46</f>
        <v/>
      </c>
      <c r="I48" s="37">
        <f>I46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472C4"/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7 - School Administration</t>
        </is>
      </c>
    </row>
    <row r="2">
      <c r="A2" s="16" t="inlineStr">
        <is>
          <t>Source: FY22 Proposed Budget, RSU 5</t>
        </is>
      </c>
    </row>
    <row r="3">
      <c r="A3" s="16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FY18 Actual</t>
        </is>
      </c>
      <c r="D5" s="8" t="inlineStr">
        <is>
          <t>FY19 Actual</t>
        </is>
      </c>
      <c r="E5" s="8" t="inlineStr">
        <is>
          <t>FY20 Actual</t>
        </is>
      </c>
      <c r="F5" s="8" t="inlineStr">
        <is>
          <t>FY21 Adopted</t>
        </is>
      </c>
      <c r="G5" s="8" t="inlineStr">
        <is>
          <t>FY22 Adopted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('010',)</t>
        </is>
      </c>
    </row>
    <row r="7">
      <c r="A7" s="9" t="inlineStr">
        <is>
          <t>1000.0000.2400.51040.010</t>
        </is>
      </c>
      <c r="B7" s="9" t="inlineStr">
        <is>
          <t>Admin Salary</t>
        </is>
      </c>
      <c r="C7" s="27" t="n">
        <v>190227</v>
      </c>
      <c r="D7" s="27" t="n">
        <v>197836.08</v>
      </c>
      <c r="E7" s="27" t="n">
        <v>205749</v>
      </c>
      <c r="F7" s="27" t="n">
        <v>206448.92</v>
      </c>
      <c r="G7" s="27" t="n">
        <v>212027</v>
      </c>
      <c r="H7" s="27">
        <f>G7-F7</f>
        <v/>
      </c>
      <c r="I7" s="11">
        <f>IF(F7=0,0,G7/F7-1)</f>
        <v/>
      </c>
    </row>
    <row r="8">
      <c r="A8" s="9" t="inlineStr">
        <is>
          <t>1000.0000.2400.51180.010</t>
        </is>
      </c>
      <c r="B8" s="9" t="inlineStr">
        <is>
          <t>Support Wages</t>
        </is>
      </c>
      <c r="C8" s="27" t="n">
        <v>66096</v>
      </c>
      <c r="D8" s="27" t="n">
        <v>69272.56</v>
      </c>
      <c r="E8" s="27" t="n">
        <v>71474</v>
      </c>
      <c r="F8" s="27" t="n">
        <v>70847.07000000001</v>
      </c>
      <c r="G8" s="27" t="n">
        <v>71645</v>
      </c>
      <c r="H8" s="27">
        <f>G8-F8</f>
        <v/>
      </c>
      <c r="I8" s="11">
        <f>IF(F8=0,0,G8/F8-1)</f>
        <v/>
      </c>
    </row>
    <row r="9">
      <c r="A9" s="9" t="inlineStr">
        <is>
          <t>1000.0000.2400.52040.010</t>
        </is>
      </c>
      <c r="B9" s="9" t="inlineStr">
        <is>
          <t>Admin Benefits</t>
        </is>
      </c>
      <c r="C9" s="27" t="n">
        <v>53422</v>
      </c>
      <c r="D9" s="27" t="n">
        <v>49668.28</v>
      </c>
      <c r="E9" s="27" t="n">
        <v>56095</v>
      </c>
      <c r="F9" s="27" t="n">
        <v>51003.43</v>
      </c>
      <c r="G9" s="27" t="n">
        <v>58445</v>
      </c>
      <c r="H9" s="27">
        <f>G9-F9</f>
        <v/>
      </c>
      <c r="I9" s="11">
        <f>IF(F9=0,0,G9/F9-1)</f>
        <v/>
      </c>
    </row>
    <row r="10">
      <c r="A10" s="9" t="inlineStr">
        <is>
          <t>1000.0000.2400.52080.010</t>
        </is>
      </c>
      <c r="B10" s="9" t="inlineStr">
        <is>
          <t>Support Benefits</t>
        </is>
      </c>
      <c r="C10" s="27" t="n">
        <v>17040</v>
      </c>
      <c r="D10" s="27" t="n">
        <v>15211.13</v>
      </c>
      <c r="E10" s="27" t="n">
        <v>15631</v>
      </c>
      <c r="F10" s="27" t="n">
        <v>16166.35</v>
      </c>
      <c r="G10" s="27" t="n">
        <v>28099</v>
      </c>
      <c r="H10" s="27">
        <f>G10-F10</f>
        <v/>
      </c>
      <c r="I10" s="11">
        <f>IF(F10=0,0,G10/F10-1)</f>
        <v/>
      </c>
    </row>
    <row r="11">
      <c r="A11" s="9" t="inlineStr">
        <is>
          <t>1000.0000.2400.52340.010</t>
        </is>
      </c>
      <c r="B11" s="9" t="inlineStr">
        <is>
          <t>Retirement</t>
        </is>
      </c>
      <c r="C11" s="27" t="n">
        <v>7786</v>
      </c>
      <c r="D11" s="27" t="n">
        <v>7854.08</v>
      </c>
      <c r="E11" s="27" t="n">
        <v>8559</v>
      </c>
      <c r="F11" s="27" t="n">
        <v>8559.200000000001</v>
      </c>
      <c r="G11" s="27" t="n">
        <v>8854</v>
      </c>
      <c r="H11" s="27">
        <f>G11-F11</f>
        <v/>
      </c>
      <c r="I11" s="11">
        <f>IF(F11=0,0,G11/F11-1)</f>
        <v/>
      </c>
    </row>
    <row r="12">
      <c r="A12" s="9" t="inlineStr">
        <is>
          <t>1000.0000.2400.52380.010</t>
        </is>
      </c>
      <c r="B12" s="9" t="inlineStr">
        <is>
          <t>Retirement</t>
        </is>
      </c>
      <c r="C12" s="27" t="n">
        <v>1324</v>
      </c>
      <c r="D12" s="27" t="n">
        <v>1375.23</v>
      </c>
      <c r="E12" s="27" t="n">
        <v>1471</v>
      </c>
      <c r="F12" s="27" t="n">
        <v>1619.81</v>
      </c>
      <c r="G12" s="27" t="n">
        <v>0</v>
      </c>
      <c r="H12" s="27">
        <f>G12-F12</f>
        <v/>
      </c>
      <c r="I12" s="11">
        <f>IF(F12=0,0,G12/F12-1)</f>
        <v/>
      </c>
    </row>
    <row r="13">
      <c r="A13" s="9" t="inlineStr">
        <is>
          <t>1000.0000.2400.55310.010</t>
        </is>
      </c>
      <c r="B13" s="9" t="inlineStr">
        <is>
          <t>Postage</t>
        </is>
      </c>
      <c r="C13" s="27" t="n">
        <v>1600</v>
      </c>
      <c r="D13" s="27" t="n">
        <v>1430</v>
      </c>
      <c r="E13" s="27" t="n">
        <v>1760</v>
      </c>
      <c r="F13" s="27" t="n">
        <v>2180</v>
      </c>
      <c r="G13" s="27" t="n">
        <v>2020</v>
      </c>
      <c r="H13" s="27">
        <f>G13-F13</f>
        <v/>
      </c>
      <c r="I13" s="11">
        <f>IF(F13=0,0,G13/F13-1)</f>
        <v/>
      </c>
    </row>
    <row r="14">
      <c r="A14" s="9" t="inlineStr">
        <is>
          <t>1000.0000.2400.55800.010</t>
        </is>
      </c>
      <c r="B14" s="9" t="inlineStr">
        <is>
          <t>Travel</t>
        </is>
      </c>
      <c r="C14" s="27" t="n">
        <v>500</v>
      </c>
      <c r="D14" s="27" t="n">
        <v>519.33</v>
      </c>
      <c r="E14" s="27" t="n">
        <v>650</v>
      </c>
      <c r="F14" s="27" t="n">
        <v>624.1900000000001</v>
      </c>
      <c r="G14" s="27" t="n">
        <v>520</v>
      </c>
      <c r="H14" s="27">
        <f>G14-F14</f>
        <v/>
      </c>
      <c r="I14" s="11">
        <f>IF(F14=0,0,G14/F14-1)</f>
        <v/>
      </c>
    </row>
    <row r="15">
      <c r="A15" s="9" t="inlineStr">
        <is>
          <t>1000.0000.2400.56000.010</t>
        </is>
      </c>
      <c r="B15" s="9" t="inlineStr">
        <is>
          <t>Supplies</t>
        </is>
      </c>
      <c r="C15" s="27" t="n">
        <v>0</v>
      </c>
      <c r="D15" s="27" t="n">
        <v>0</v>
      </c>
      <c r="E15" s="27" t="n">
        <v>0</v>
      </c>
      <c r="F15" s="27" t="n">
        <v>0</v>
      </c>
      <c r="G15" s="27" t="n">
        <v>1030</v>
      </c>
      <c r="H15" s="27">
        <f>G15-F15</f>
        <v/>
      </c>
      <c r="I15" s="11">
        <f>IF(F15=0,0,G15/F15-1)</f>
        <v/>
      </c>
    </row>
    <row r="16">
      <c r="A16" s="9" t="inlineStr">
        <is>
          <t>1000.0000.2400.56100.010</t>
        </is>
      </c>
      <c r="B16" s="9" t="inlineStr">
        <is>
          <t>Supplies</t>
        </is>
      </c>
      <c r="C16" s="27" t="n">
        <v>1030</v>
      </c>
      <c r="D16" s="27" t="n">
        <v>984.42</v>
      </c>
      <c r="E16" s="27" t="n">
        <v>1030</v>
      </c>
      <c r="F16" s="27" t="n">
        <v>835.9</v>
      </c>
      <c r="G16" s="27" t="n">
        <v>0</v>
      </c>
      <c r="H16" s="27">
        <f>G16-F16</f>
        <v/>
      </c>
      <c r="I16" s="11">
        <f>IF(F16=0,0,G16/F16-1)</f>
        <v/>
      </c>
    </row>
    <row r="17">
      <c r="A17" s="9" t="inlineStr">
        <is>
          <t>1000.0000.2400.56400.010</t>
        </is>
      </c>
      <c r="B17" s="9" t="inlineStr">
        <is>
          <t>Books</t>
        </is>
      </c>
      <c r="C17" s="27" t="n">
        <v>100</v>
      </c>
      <c r="D17" s="27" t="n">
        <v>132.1</v>
      </c>
      <c r="E17" s="27" t="n">
        <v>100</v>
      </c>
      <c r="F17" s="27" t="n">
        <v>63.44</v>
      </c>
      <c r="G17" s="27" t="n">
        <v>150</v>
      </c>
      <c r="H17" s="27">
        <f>G17-F17</f>
        <v/>
      </c>
      <c r="I17" s="11">
        <f>IF(F17=0,0,G17/F17-1)</f>
        <v/>
      </c>
    </row>
    <row r="18">
      <c r="A18" s="9" t="inlineStr">
        <is>
          <t>1000.0000.2400.58100.010</t>
        </is>
      </c>
      <c r="B18" s="9" t="inlineStr">
        <is>
          <t>Dues &amp; Fees</t>
        </is>
      </c>
      <c r="C18" s="27" t="n">
        <v>950</v>
      </c>
      <c r="D18" s="27" t="n">
        <v>799</v>
      </c>
      <c r="E18" s="27" t="n">
        <v>950</v>
      </c>
      <c r="F18" s="27" t="n">
        <v>630</v>
      </c>
      <c r="G18" s="27" t="n">
        <v>950</v>
      </c>
      <c r="H18" s="27">
        <f>G18-F18</f>
        <v/>
      </c>
      <c r="I18" s="11">
        <f>IF(F18=0,0,G18/F18-1)</f>
        <v/>
      </c>
    </row>
    <row r="19">
      <c r="A19" s="17" t="n"/>
      <c r="B19" s="31" t="inlineStr">
        <is>
          <t>Program 0000 Total</t>
        </is>
      </c>
      <c r="C19" s="32">
        <f>SUM(C7:C18)</f>
        <v/>
      </c>
      <c r="D19" s="32">
        <f>SUM(D7:D18)</f>
        <v/>
      </c>
      <c r="E19" s="32">
        <f>SUM(E7:E18)</f>
        <v/>
      </c>
      <c r="F19" s="32">
        <f>SUM(F7:F18)</f>
        <v/>
      </c>
      <c r="G19" s="32">
        <f>SUM(G7:G18)</f>
        <v/>
      </c>
      <c r="H19" s="32">
        <f>SUM(H7:H18)</f>
        <v/>
      </c>
      <c r="I19" s="32">
        <f>SUM(I7:I18)</f>
        <v/>
      </c>
    </row>
    <row r="20">
      <c r="A20" s="17" t="n"/>
      <c r="B20" s="20" t="inlineStr">
        <is>
          <t>Cost Center ('010',) Total</t>
        </is>
      </c>
      <c r="C20" s="35">
        <f>C19</f>
        <v/>
      </c>
      <c r="D20" s="35">
        <f>D19</f>
        <v/>
      </c>
      <c r="E20" s="35">
        <f>E19</f>
        <v/>
      </c>
      <c r="F20" s="35">
        <f>F19</f>
        <v/>
      </c>
      <c r="G20" s="35">
        <f>G19</f>
        <v/>
      </c>
      <c r="H20" s="35">
        <f>H19</f>
        <v/>
      </c>
      <c r="I20" s="35">
        <f>I19</f>
        <v/>
      </c>
    </row>
    <row r="22">
      <c r="A22" s="3" t="inlineStr">
        <is>
          <t>Cost Center: ('020',)</t>
        </is>
      </c>
    </row>
    <row r="23">
      <c r="A23" s="9" t="inlineStr">
        <is>
          <t>1000.0000.2400.51040.020</t>
        </is>
      </c>
      <c r="B23" s="9" t="inlineStr">
        <is>
          <t>Admin Salary</t>
        </is>
      </c>
      <c r="C23" s="27" t="n">
        <v>95316</v>
      </c>
      <c r="D23" s="27" t="n">
        <v>99128.89999999999</v>
      </c>
      <c r="E23" s="27" t="n">
        <v>103094</v>
      </c>
      <c r="F23" s="27" t="n">
        <v>103443.9</v>
      </c>
      <c r="G23" s="27" t="n">
        <v>106805</v>
      </c>
      <c r="H23" s="27">
        <f>G23-F23</f>
        <v/>
      </c>
      <c r="I23" s="11">
        <f>IF(F23=0,0,G23/F23-1)</f>
        <v/>
      </c>
    </row>
    <row r="24">
      <c r="A24" s="9" t="inlineStr">
        <is>
          <t>1000.0000.2400.51180.020</t>
        </is>
      </c>
      <c r="B24" s="9" t="inlineStr">
        <is>
          <t>Support Wages</t>
        </is>
      </c>
      <c r="C24" s="27" t="n">
        <v>40217</v>
      </c>
      <c r="D24" s="27" t="n">
        <v>42387.93</v>
      </c>
      <c r="E24" s="27" t="n">
        <v>44028</v>
      </c>
      <c r="F24" s="27" t="n">
        <v>42914.92</v>
      </c>
      <c r="G24" s="27" t="n">
        <v>44925</v>
      </c>
      <c r="H24" s="27">
        <f>G24-F24</f>
        <v/>
      </c>
      <c r="I24" s="11">
        <f>IF(F24=0,0,G24/F24-1)</f>
        <v/>
      </c>
    </row>
    <row r="25">
      <c r="A25" s="9" t="inlineStr">
        <is>
          <t>1000.0000.2400.52040.020</t>
        </is>
      </c>
      <c r="B25" s="9" t="inlineStr">
        <is>
          <t>Admin Benefits</t>
        </is>
      </c>
      <c r="C25" s="27" t="n">
        <v>15464</v>
      </c>
      <c r="D25" s="27" t="n">
        <v>9760.18</v>
      </c>
      <c r="E25" s="27" t="n">
        <v>11858</v>
      </c>
      <c r="F25" s="27" t="n">
        <v>8420.610000000001</v>
      </c>
      <c r="G25" s="27" t="n">
        <v>12085</v>
      </c>
      <c r="H25" s="27">
        <f>G25-F25</f>
        <v/>
      </c>
      <c r="I25" s="11">
        <f>IF(F25=0,0,G25/F25-1)</f>
        <v/>
      </c>
    </row>
    <row r="26">
      <c r="A26" s="9" t="inlineStr">
        <is>
          <t>1000.0000.2400.52080.020</t>
        </is>
      </c>
      <c r="B26" s="9" t="inlineStr">
        <is>
          <t>Support Benefits</t>
        </is>
      </c>
      <c r="C26" s="27" t="n">
        <v>6963</v>
      </c>
      <c r="D26" s="27" t="n">
        <v>9246.24</v>
      </c>
      <c r="E26" s="27" t="n">
        <v>6130</v>
      </c>
      <c r="F26" s="27" t="n">
        <v>9504.110000000001</v>
      </c>
      <c r="G26" s="27" t="n">
        <v>10916</v>
      </c>
      <c r="H26" s="27">
        <f>G26-F26</f>
        <v/>
      </c>
      <c r="I26" s="11">
        <f>IF(F26=0,0,G26/F26-1)</f>
        <v/>
      </c>
    </row>
    <row r="27">
      <c r="A27" s="9" t="inlineStr">
        <is>
          <t>1000.0000.2400.52340.020</t>
        </is>
      </c>
      <c r="B27" s="9" t="inlineStr">
        <is>
          <t>Retirement</t>
        </is>
      </c>
      <c r="C27" s="27" t="n">
        <v>3935</v>
      </c>
      <c r="D27" s="27" t="n">
        <v>3935.36</v>
      </c>
      <c r="E27" s="27" t="n">
        <v>4289</v>
      </c>
      <c r="F27" s="27" t="n">
        <v>4288.7</v>
      </c>
      <c r="G27" s="27" t="n">
        <v>4460</v>
      </c>
      <c r="H27" s="27">
        <f>G27-F27</f>
        <v/>
      </c>
      <c r="I27" s="11">
        <f>IF(F27=0,0,G27/F27-1)</f>
        <v/>
      </c>
    </row>
    <row r="28">
      <c r="A28" s="9" t="inlineStr">
        <is>
          <t>1000.0000.2400.52380.020</t>
        </is>
      </c>
      <c r="B28" s="9" t="inlineStr">
        <is>
          <t>Retirement</t>
        </is>
      </c>
      <c r="C28" s="27" t="n">
        <v>1258</v>
      </c>
      <c r="D28" s="27" t="n">
        <v>0</v>
      </c>
      <c r="E28" s="27" t="n">
        <v>1385</v>
      </c>
      <c r="F28" s="27" t="n">
        <v>0</v>
      </c>
      <c r="G28" s="27" t="n">
        <v>0</v>
      </c>
      <c r="H28" s="27">
        <f>G28-F28</f>
        <v/>
      </c>
      <c r="I28" s="11">
        <f>IF(F28=0,0,G28/F28-1)</f>
        <v/>
      </c>
    </row>
    <row r="29">
      <c r="A29" s="9" t="inlineStr">
        <is>
          <t>1000.0000.2400.55310.020</t>
        </is>
      </c>
      <c r="B29" s="9" t="inlineStr">
        <is>
          <t>Postage</t>
        </is>
      </c>
      <c r="C29" s="27" t="n">
        <v>500</v>
      </c>
      <c r="D29" s="27" t="n">
        <v>406.41</v>
      </c>
      <c r="E29" s="27" t="n">
        <v>550</v>
      </c>
      <c r="F29" s="27" t="n">
        <v>544.66</v>
      </c>
      <c r="G29" s="27" t="n">
        <v>550</v>
      </c>
      <c r="H29" s="27">
        <f>G29-F29</f>
        <v/>
      </c>
      <c r="I29" s="11">
        <f>IF(F29=0,0,G29/F29-1)</f>
        <v/>
      </c>
    </row>
    <row r="30">
      <c r="A30" s="9" t="inlineStr">
        <is>
          <t>1000.0000.2400.55800.020</t>
        </is>
      </c>
      <c r="B30" s="9" t="inlineStr">
        <is>
          <t>Travel</t>
        </is>
      </c>
      <c r="C30" s="27" t="n">
        <v>500</v>
      </c>
      <c r="D30" s="27" t="n">
        <v>19.46</v>
      </c>
      <c r="E30" s="27" t="n">
        <v>300</v>
      </c>
      <c r="F30" s="27" t="n">
        <v>52.26</v>
      </c>
      <c r="G30" s="27" t="n">
        <v>20</v>
      </c>
      <c r="H30" s="27">
        <f>G30-F30</f>
        <v/>
      </c>
      <c r="I30" s="11">
        <f>IF(F30=0,0,G30/F30-1)</f>
        <v/>
      </c>
    </row>
    <row r="31">
      <c r="A31" s="9" t="inlineStr">
        <is>
          <t>1000.0000.2400.56000.020</t>
        </is>
      </c>
      <c r="B31" s="9" t="inlineStr">
        <is>
          <t>Supplies</t>
        </is>
      </c>
      <c r="C31" s="27" t="n">
        <v>500</v>
      </c>
      <c r="D31" s="27" t="n">
        <v>500</v>
      </c>
      <c r="E31" s="27" t="n">
        <v>500</v>
      </c>
      <c r="F31" s="27" t="n">
        <v>736.6</v>
      </c>
      <c r="G31" s="27" t="n">
        <v>500</v>
      </c>
      <c r="H31" s="27">
        <f>G31-F31</f>
        <v/>
      </c>
      <c r="I31" s="11">
        <f>IF(F31=0,0,G31/F31-1)</f>
        <v/>
      </c>
    </row>
    <row r="32">
      <c r="A32" s="9" t="inlineStr">
        <is>
          <t>1000.0000.2400.58100.020</t>
        </is>
      </c>
      <c r="B32" s="9" t="inlineStr">
        <is>
          <t>Dues &amp; Fees</t>
        </is>
      </c>
      <c r="C32" s="27" t="n">
        <v>450</v>
      </c>
      <c r="D32" s="27" t="n">
        <v>290</v>
      </c>
      <c r="E32" s="27" t="n">
        <v>450</v>
      </c>
      <c r="F32" s="27" t="n">
        <v>290</v>
      </c>
      <c r="G32" s="27" t="n">
        <v>450</v>
      </c>
      <c r="H32" s="27">
        <f>G32-F32</f>
        <v/>
      </c>
      <c r="I32" s="11">
        <f>IF(F32=0,0,G32/F32-1)</f>
        <v/>
      </c>
    </row>
    <row r="33">
      <c r="A33" s="17" t="n"/>
      <c r="B33" s="31" t="inlineStr">
        <is>
          <t>Program 0000 Total</t>
        </is>
      </c>
      <c r="C33" s="32">
        <f>SUM(C23:C32)</f>
        <v/>
      </c>
      <c r="D33" s="32">
        <f>SUM(D23:D32)</f>
        <v/>
      </c>
      <c r="E33" s="32">
        <f>SUM(E23:E32)</f>
        <v/>
      </c>
      <c r="F33" s="32">
        <f>SUM(F23:F32)</f>
        <v/>
      </c>
      <c r="G33" s="32">
        <f>SUM(G23:G32)</f>
        <v/>
      </c>
      <c r="H33" s="32">
        <f>SUM(H23:H32)</f>
        <v/>
      </c>
      <c r="I33" s="32">
        <f>SUM(I23:I32)</f>
        <v/>
      </c>
    </row>
    <row r="34">
      <c r="A34" s="17" t="n"/>
      <c r="B34" s="20" t="inlineStr">
        <is>
          <t>Cost Center ('020',) Total</t>
        </is>
      </c>
      <c r="C34" s="35">
        <f>C33</f>
        <v/>
      </c>
      <c r="D34" s="35">
        <f>D33</f>
        <v/>
      </c>
      <c r="E34" s="35">
        <f>E33</f>
        <v/>
      </c>
      <c r="F34" s="35">
        <f>F33</f>
        <v/>
      </c>
      <c r="G34" s="35">
        <f>G33</f>
        <v/>
      </c>
      <c r="H34" s="35">
        <f>H33</f>
        <v/>
      </c>
      <c r="I34" s="35">
        <f>I33</f>
        <v/>
      </c>
    </row>
    <row r="36">
      <c r="A36" s="3" t="inlineStr">
        <is>
          <t>Cost Center: ('030',)</t>
        </is>
      </c>
    </row>
    <row r="37">
      <c r="A37" s="9" t="inlineStr">
        <is>
          <t>1000.0000.2400.51040.030</t>
        </is>
      </c>
      <c r="B37" s="9" t="inlineStr">
        <is>
          <t>Admin Salary</t>
        </is>
      </c>
      <c r="C37" s="27" t="n">
        <v>95316</v>
      </c>
      <c r="D37" s="27" t="n">
        <v>99128.89999999999</v>
      </c>
      <c r="E37" s="27" t="n">
        <v>103094</v>
      </c>
      <c r="F37" s="27" t="n">
        <v>103383.9</v>
      </c>
      <c r="G37" s="27" t="n">
        <v>106805</v>
      </c>
      <c r="H37" s="27">
        <f>G37-F37</f>
        <v/>
      </c>
      <c r="I37" s="11">
        <f>IF(F37=0,0,G37/F37-1)</f>
        <v/>
      </c>
    </row>
    <row r="38">
      <c r="A38" s="9" t="inlineStr">
        <is>
          <t>1000.0000.2400.51180.030</t>
        </is>
      </c>
      <c r="B38" s="9" t="inlineStr">
        <is>
          <t>Support Wages</t>
        </is>
      </c>
      <c r="C38" s="27" t="n">
        <v>29973</v>
      </c>
      <c r="D38" s="27" t="n">
        <v>30239.68</v>
      </c>
      <c r="E38" s="27" t="n">
        <v>34883</v>
      </c>
      <c r="F38" s="27" t="n">
        <v>34566.08</v>
      </c>
      <c r="G38" s="27" t="n">
        <v>32703</v>
      </c>
      <c r="H38" s="27">
        <f>G38-F38</f>
        <v/>
      </c>
      <c r="I38" s="11">
        <f>IF(F38=0,0,G38/F38-1)</f>
        <v/>
      </c>
    </row>
    <row r="39">
      <c r="A39" s="9" t="inlineStr">
        <is>
          <t>1000.0000.2400.52040.030</t>
        </is>
      </c>
      <c r="B39" s="9" t="inlineStr">
        <is>
          <t>Admin Benefits</t>
        </is>
      </c>
      <c r="C39" s="27" t="n">
        <v>25935</v>
      </c>
      <c r="D39" s="27" t="n">
        <v>18341.43</v>
      </c>
      <c r="E39" s="27" t="n">
        <v>22329</v>
      </c>
      <c r="F39" s="27" t="n">
        <v>14045.69</v>
      </c>
      <c r="G39" s="27" t="n">
        <v>22556</v>
      </c>
      <c r="H39" s="27">
        <f>G39-F39</f>
        <v/>
      </c>
      <c r="I39" s="11">
        <f>IF(F39=0,0,G39/F39-1)</f>
        <v/>
      </c>
    </row>
    <row r="40">
      <c r="A40" s="9" t="inlineStr">
        <is>
          <t>1000.0000.2400.52080.030</t>
        </is>
      </c>
      <c r="B40" s="9" t="inlineStr">
        <is>
          <t>Support Benefits</t>
        </is>
      </c>
      <c r="C40" s="27" t="n">
        <v>5508</v>
      </c>
      <c r="D40" s="27" t="n">
        <v>6768.95</v>
      </c>
      <c r="E40" s="27" t="n">
        <v>4729</v>
      </c>
      <c r="F40" s="27" t="n">
        <v>6685.53</v>
      </c>
      <c r="G40" s="27" t="n">
        <v>11213</v>
      </c>
      <c r="H40" s="27">
        <f>G40-F40</f>
        <v/>
      </c>
      <c r="I40" s="11">
        <f>IF(F40=0,0,G40/F40-1)</f>
        <v/>
      </c>
    </row>
    <row r="41">
      <c r="A41" s="9" t="inlineStr">
        <is>
          <t>1000.0000.2400.52340.030</t>
        </is>
      </c>
      <c r="B41" s="9" t="inlineStr">
        <is>
          <t>Retirement</t>
        </is>
      </c>
      <c r="C41" s="27" t="n">
        <v>3935</v>
      </c>
      <c r="D41" s="27" t="n">
        <v>3935.36</v>
      </c>
      <c r="E41" s="27" t="n">
        <v>4289</v>
      </c>
      <c r="F41" s="27" t="n">
        <v>4288.7</v>
      </c>
      <c r="G41" s="27" t="n">
        <v>4460</v>
      </c>
      <c r="H41" s="27">
        <f>G41-F41</f>
        <v/>
      </c>
      <c r="I41" s="11">
        <f>IF(F41=0,0,G41/F41-1)</f>
        <v/>
      </c>
    </row>
    <row r="42">
      <c r="A42" s="9" t="inlineStr">
        <is>
          <t>1000.0000.2400.55310.030</t>
        </is>
      </c>
      <c r="B42" s="9" t="inlineStr">
        <is>
          <t>Postage</t>
        </is>
      </c>
      <c r="C42" s="27" t="n">
        <v>500</v>
      </c>
      <c r="D42" s="27" t="n">
        <v>520</v>
      </c>
      <c r="E42" s="27" t="n">
        <v>550</v>
      </c>
      <c r="F42" s="27" t="n">
        <v>500.89</v>
      </c>
      <c r="G42" s="27" t="n">
        <v>550</v>
      </c>
      <c r="H42" s="27">
        <f>G42-F42</f>
        <v/>
      </c>
      <c r="I42" s="11">
        <f>IF(F42=0,0,G42/F42-1)</f>
        <v/>
      </c>
    </row>
    <row r="43">
      <c r="A43" s="9" t="inlineStr">
        <is>
          <t>1000.0000.2400.55800.030</t>
        </is>
      </c>
      <c r="B43" s="9" t="inlineStr">
        <is>
          <t>Travel</t>
        </is>
      </c>
      <c r="C43" s="27" t="n">
        <v>250</v>
      </c>
      <c r="D43" s="27" t="n">
        <v>473.13</v>
      </c>
      <c r="E43" s="27" t="n">
        <v>300</v>
      </c>
      <c r="F43" s="27" t="n">
        <v>24.15</v>
      </c>
      <c r="G43" s="27" t="n">
        <v>470</v>
      </c>
      <c r="H43" s="27">
        <f>G43-F43</f>
        <v/>
      </c>
      <c r="I43" s="11">
        <f>IF(F43=0,0,G43/F43-1)</f>
        <v/>
      </c>
    </row>
    <row r="44">
      <c r="A44" s="9" t="inlineStr">
        <is>
          <t>1000.0000.2400.56000.030</t>
        </is>
      </c>
      <c r="B44" s="9" t="inlineStr">
        <is>
          <t>Supplies</t>
        </is>
      </c>
      <c r="C44" s="27" t="n">
        <v>300</v>
      </c>
      <c r="D44" s="27" t="n">
        <v>267.38</v>
      </c>
      <c r="E44" s="27" t="n">
        <v>300</v>
      </c>
      <c r="F44" s="27" t="n">
        <v>504.19</v>
      </c>
      <c r="G44" s="27" t="n">
        <v>300</v>
      </c>
      <c r="H44" s="27">
        <f>G44-F44</f>
        <v/>
      </c>
      <c r="I44" s="11">
        <f>IF(F44=0,0,G44/F44-1)</f>
        <v/>
      </c>
    </row>
    <row r="45">
      <c r="A45" s="9" t="inlineStr">
        <is>
          <t>1000.0000.2400.58100.030</t>
        </is>
      </c>
      <c r="B45" s="9" t="inlineStr">
        <is>
          <t>Dues &amp; Fees</t>
        </is>
      </c>
      <c r="C45" s="27" t="n">
        <v>450</v>
      </c>
      <c r="D45" s="27" t="n">
        <v>482</v>
      </c>
      <c r="E45" s="27" t="n">
        <v>450</v>
      </c>
      <c r="F45" s="27" t="n">
        <v>290</v>
      </c>
      <c r="G45" s="27" t="n">
        <v>450</v>
      </c>
      <c r="H45" s="27">
        <f>G45-F45</f>
        <v/>
      </c>
      <c r="I45" s="11">
        <f>IF(F45=0,0,G45/F45-1)</f>
        <v/>
      </c>
    </row>
    <row r="46">
      <c r="A46" s="17" t="n"/>
      <c r="B46" s="31" t="inlineStr">
        <is>
          <t>Program 0000 Total</t>
        </is>
      </c>
      <c r="C46" s="32">
        <f>SUM(C37:C45)</f>
        <v/>
      </c>
      <c r="D46" s="32">
        <f>SUM(D37:D45)</f>
        <v/>
      </c>
      <c r="E46" s="32">
        <f>SUM(E37:E45)</f>
        <v/>
      </c>
      <c r="F46" s="32">
        <f>SUM(F37:F45)</f>
        <v/>
      </c>
      <c r="G46" s="32">
        <f>SUM(G37:G45)</f>
        <v/>
      </c>
      <c r="H46" s="32">
        <f>SUM(H37:H45)</f>
        <v/>
      </c>
      <c r="I46" s="32">
        <f>SUM(I37:I45)</f>
        <v/>
      </c>
    </row>
    <row r="47">
      <c r="A47" s="17" t="n"/>
      <c r="B47" s="20" t="inlineStr">
        <is>
          <t>Cost Center ('030',) Total</t>
        </is>
      </c>
      <c r="C47" s="35">
        <f>C46</f>
        <v/>
      </c>
      <c r="D47" s="35">
        <f>D46</f>
        <v/>
      </c>
      <c r="E47" s="35">
        <f>E46</f>
        <v/>
      </c>
      <c r="F47" s="35">
        <f>F46</f>
        <v/>
      </c>
      <c r="G47" s="35">
        <f>G46</f>
        <v/>
      </c>
      <c r="H47" s="35">
        <f>H46</f>
        <v/>
      </c>
      <c r="I47" s="35">
        <f>I46</f>
        <v/>
      </c>
    </row>
    <row r="49">
      <c r="A49" s="3" t="inlineStr">
        <is>
          <t>Cost Center: ('040',)</t>
        </is>
      </c>
    </row>
    <row r="50">
      <c r="A50" s="9" t="inlineStr">
        <is>
          <t>1000.0000.2400.51040.040</t>
        </is>
      </c>
      <c r="B50" s="9" t="inlineStr">
        <is>
          <t>Admin Salaries</t>
        </is>
      </c>
      <c r="C50" s="27" t="n">
        <v>95316</v>
      </c>
      <c r="D50" s="27" t="n">
        <v>99128.89999999999</v>
      </c>
      <c r="E50" s="27" t="n">
        <v>103094</v>
      </c>
      <c r="F50" s="27" t="n">
        <v>103443.9</v>
      </c>
      <c r="G50" s="27" t="n">
        <v>106805</v>
      </c>
      <c r="H50" s="27">
        <f>G50-F50</f>
        <v/>
      </c>
      <c r="I50" s="11">
        <f>IF(F50=0,0,G50/F50-1)</f>
        <v/>
      </c>
    </row>
    <row r="51">
      <c r="A51" s="9" t="inlineStr">
        <is>
          <t>1000.0000.2400.51180.040</t>
        </is>
      </c>
      <c r="B51" s="9" t="inlineStr">
        <is>
          <t>Support Wages</t>
        </is>
      </c>
      <c r="C51" s="27" t="n">
        <v>42790</v>
      </c>
      <c r="D51" s="27" t="n">
        <v>36918.89</v>
      </c>
      <c r="E51" s="27" t="n">
        <v>39130</v>
      </c>
      <c r="F51" s="27" t="n">
        <v>44824.24</v>
      </c>
      <c r="G51" s="27" t="n">
        <v>38534</v>
      </c>
      <c r="H51" s="27">
        <f>G51-F51</f>
        <v/>
      </c>
      <c r="I51" s="11">
        <f>IF(F51=0,0,G51/F51-1)</f>
        <v/>
      </c>
    </row>
    <row r="52">
      <c r="A52" s="9" t="inlineStr">
        <is>
          <t>1000.0000.2400.52040.040</t>
        </is>
      </c>
      <c r="B52" s="9" t="inlineStr">
        <is>
          <t>Admin Benefits</t>
        </is>
      </c>
      <c r="C52" s="27" t="n">
        <v>10314</v>
      </c>
      <c r="D52" s="27" t="n">
        <v>24628.56</v>
      </c>
      <c r="E52" s="27" t="n">
        <v>25451</v>
      </c>
      <c r="F52" s="27" t="n">
        <v>24953.59</v>
      </c>
      <c r="G52" s="27" t="n">
        <v>27678</v>
      </c>
      <c r="H52" s="27">
        <f>G52-F52</f>
        <v/>
      </c>
      <c r="I52" s="11">
        <f>IF(F52=0,0,G52/F52-1)</f>
        <v/>
      </c>
    </row>
    <row r="53">
      <c r="A53" s="9" t="inlineStr">
        <is>
          <t>1000.0000.2400.52080.040</t>
        </is>
      </c>
      <c r="B53" s="9" t="inlineStr">
        <is>
          <t>Support Benefits</t>
        </is>
      </c>
      <c r="C53" s="27" t="n">
        <v>28437</v>
      </c>
      <c r="D53" s="27" t="n">
        <v>7370.64</v>
      </c>
      <c r="E53" s="27" t="n">
        <v>9203</v>
      </c>
      <c r="F53" s="27" t="n">
        <v>14975.81</v>
      </c>
      <c r="G53" s="27" t="n">
        <v>16795</v>
      </c>
      <c r="H53" s="27">
        <f>G53-F53</f>
        <v/>
      </c>
      <c r="I53" s="11">
        <f>IF(F53=0,0,G53/F53-1)</f>
        <v/>
      </c>
    </row>
    <row r="54">
      <c r="A54" s="9" t="inlineStr">
        <is>
          <t>1000.0000.2400.52340.040</t>
        </is>
      </c>
      <c r="B54" s="9" t="inlineStr">
        <is>
          <t>Retirement</t>
        </is>
      </c>
      <c r="C54" s="27" t="n">
        <v>3935</v>
      </c>
      <c r="D54" s="27" t="n">
        <v>3935.36</v>
      </c>
      <c r="E54" s="27" t="n">
        <v>4289</v>
      </c>
      <c r="F54" s="27" t="n">
        <v>4288.7</v>
      </c>
      <c r="G54" s="27" t="n">
        <v>4460</v>
      </c>
      <c r="H54" s="27">
        <f>G54-F54</f>
        <v/>
      </c>
      <c r="I54" s="11">
        <f>IF(F54=0,0,G54/F54-1)</f>
        <v/>
      </c>
    </row>
    <row r="55">
      <c r="A55" s="9" t="inlineStr">
        <is>
          <t>1000.0000.2400.55310.040</t>
        </is>
      </c>
      <c r="B55" s="9" t="inlineStr">
        <is>
          <t>Postage</t>
        </is>
      </c>
      <c r="C55" s="27" t="n">
        <v>1000</v>
      </c>
      <c r="D55" s="27" t="n">
        <v>987.83</v>
      </c>
      <c r="E55" s="27" t="n">
        <v>1100</v>
      </c>
      <c r="F55" s="27" t="n">
        <v>950.37</v>
      </c>
      <c r="G55" s="27" t="n">
        <v>1000</v>
      </c>
      <c r="H55" s="27">
        <f>G55-F55</f>
        <v/>
      </c>
      <c r="I55" s="11">
        <f>IF(F55=0,0,G55/F55-1)</f>
        <v/>
      </c>
    </row>
    <row r="56">
      <c r="A56" s="9" t="inlineStr">
        <is>
          <t>1000.0000.2400.55800.040</t>
        </is>
      </c>
      <c r="B56" s="9" t="inlineStr">
        <is>
          <t>Travel</t>
        </is>
      </c>
      <c r="C56" s="27" t="n">
        <v>300</v>
      </c>
      <c r="D56" s="27" t="n">
        <v>102.95</v>
      </c>
      <c r="E56" s="27" t="n">
        <v>300</v>
      </c>
      <c r="F56" s="27" t="n">
        <v>66.58</v>
      </c>
      <c r="G56" s="27" t="n">
        <v>300</v>
      </c>
      <c r="H56" s="27">
        <f>G56-F56</f>
        <v/>
      </c>
      <c r="I56" s="11">
        <f>IF(F56=0,0,G56/F56-1)</f>
        <v/>
      </c>
    </row>
    <row r="57">
      <c r="A57" s="9" t="inlineStr">
        <is>
          <t>1000.0000.2400.56000.040</t>
        </is>
      </c>
      <c r="B57" s="9" t="inlineStr">
        <is>
          <t>Supplies</t>
        </is>
      </c>
      <c r="C57" s="27" t="n">
        <v>500</v>
      </c>
      <c r="D57" s="27" t="n">
        <v>112.07</v>
      </c>
      <c r="E57" s="27" t="n">
        <v>500</v>
      </c>
      <c r="F57" s="27" t="n">
        <v>968.42</v>
      </c>
      <c r="G57" s="27" t="n">
        <v>500</v>
      </c>
      <c r="H57" s="27">
        <f>G57-F57</f>
        <v/>
      </c>
      <c r="I57" s="11">
        <f>IF(F57=0,0,G57/F57-1)</f>
        <v/>
      </c>
    </row>
    <row r="58">
      <c r="A58" s="9" t="inlineStr">
        <is>
          <t>1000.0000.2400.58100.040</t>
        </is>
      </c>
      <c r="B58" s="9" t="inlineStr">
        <is>
          <t>Dues &amp; Fees</t>
        </is>
      </c>
      <c r="C58" s="27" t="n">
        <v>450</v>
      </c>
      <c r="D58" s="27" t="n">
        <v>290</v>
      </c>
      <c r="E58" s="27" t="n">
        <v>300</v>
      </c>
      <c r="F58" s="27" t="n">
        <v>290</v>
      </c>
      <c r="G58" s="27" t="n">
        <v>110</v>
      </c>
      <c r="H58" s="27">
        <f>G58-F58</f>
        <v/>
      </c>
      <c r="I58" s="11">
        <f>IF(F58=0,0,G58/F58-1)</f>
        <v/>
      </c>
    </row>
    <row r="59">
      <c r="A59" s="17" t="n"/>
      <c r="B59" s="31" t="inlineStr">
        <is>
          <t>Program 0000 Total</t>
        </is>
      </c>
      <c r="C59" s="32">
        <f>SUM(C50:C58)</f>
        <v/>
      </c>
      <c r="D59" s="32">
        <f>SUM(D50:D58)</f>
        <v/>
      </c>
      <c r="E59" s="32">
        <f>SUM(E50:E58)</f>
        <v/>
      </c>
      <c r="F59" s="32">
        <f>SUM(F50:F58)</f>
        <v/>
      </c>
      <c r="G59" s="32">
        <f>SUM(G50:G58)</f>
        <v/>
      </c>
      <c r="H59" s="32">
        <f>SUM(H50:H58)</f>
        <v/>
      </c>
      <c r="I59" s="32">
        <f>SUM(I50:I58)</f>
        <v/>
      </c>
    </row>
    <row r="60">
      <c r="A60" s="17" t="n"/>
      <c r="B60" s="20" t="inlineStr">
        <is>
          <t>Cost Center ('040',) Total</t>
        </is>
      </c>
      <c r="C60" s="35">
        <f>C59</f>
        <v/>
      </c>
      <c r="D60" s="35">
        <f>D59</f>
        <v/>
      </c>
      <c r="E60" s="35">
        <f>E59</f>
        <v/>
      </c>
      <c r="F60" s="35">
        <f>F59</f>
        <v/>
      </c>
      <c r="G60" s="35">
        <f>G59</f>
        <v/>
      </c>
      <c r="H60" s="35">
        <f>H59</f>
        <v/>
      </c>
      <c r="I60" s="35">
        <f>I59</f>
        <v/>
      </c>
    </row>
    <row r="62">
      <c r="A62" s="3" t="inlineStr">
        <is>
          <t>Cost Center: ('050',)</t>
        </is>
      </c>
    </row>
    <row r="63">
      <c r="A63" s="9" t="inlineStr">
        <is>
          <t>1000.0000.2400.51040.050</t>
        </is>
      </c>
      <c r="B63" s="9" t="inlineStr">
        <is>
          <t>Admin Salaries</t>
        </is>
      </c>
      <c r="C63" s="27" t="n">
        <v>173659</v>
      </c>
      <c r="D63" s="27" t="n">
        <v>180050</v>
      </c>
      <c r="E63" s="27" t="n">
        <v>187252</v>
      </c>
      <c r="F63" s="27" t="n">
        <v>187602</v>
      </c>
      <c r="G63" s="27" t="n">
        <v>192865</v>
      </c>
      <c r="H63" s="27">
        <f>G63-F63</f>
        <v/>
      </c>
      <c r="I63" s="11">
        <f>IF(F63=0,0,G63/F63-1)</f>
        <v/>
      </c>
    </row>
    <row r="64">
      <c r="A64" s="9" t="inlineStr">
        <is>
          <t>1000.0000.2400.51180.050</t>
        </is>
      </c>
      <c r="B64" s="9" t="inlineStr">
        <is>
          <t>Support Wages</t>
        </is>
      </c>
      <c r="C64" s="27" t="n">
        <v>59012</v>
      </c>
      <c r="D64" s="27" t="n">
        <v>63706.91</v>
      </c>
      <c r="E64" s="27" t="n">
        <v>63174</v>
      </c>
      <c r="F64" s="27" t="n">
        <v>63820.5</v>
      </c>
      <c r="G64" s="27" t="n">
        <v>76837</v>
      </c>
      <c r="H64" s="27">
        <f>G64-F64</f>
        <v/>
      </c>
      <c r="I64" s="11">
        <f>IF(F64=0,0,G64/F64-1)</f>
        <v/>
      </c>
    </row>
    <row r="65">
      <c r="A65" s="9" t="inlineStr">
        <is>
          <t>1000.0000.2400.52040.050</t>
        </is>
      </c>
      <c r="B65" s="9" t="inlineStr">
        <is>
          <t>Admin Benefits</t>
        </is>
      </c>
      <c r="C65" s="27" t="n">
        <v>35099</v>
      </c>
      <c r="D65" s="27" t="n">
        <v>27640.82</v>
      </c>
      <c r="E65" s="27" t="n">
        <v>30950</v>
      </c>
      <c r="F65" s="27" t="n">
        <v>29709.84</v>
      </c>
      <c r="G65" s="27" t="n">
        <v>34005</v>
      </c>
      <c r="H65" s="27">
        <f>G65-F65</f>
        <v/>
      </c>
      <c r="I65" s="11">
        <f>IF(F65=0,0,G65/F65-1)</f>
        <v/>
      </c>
    </row>
    <row r="66">
      <c r="A66" s="9" t="inlineStr">
        <is>
          <t>1000.0000.2400.52080.050</t>
        </is>
      </c>
      <c r="B66" s="9" t="inlineStr">
        <is>
          <t>Support Benefits</t>
        </is>
      </c>
      <c r="C66" s="27" t="n">
        <v>22107</v>
      </c>
      <c r="D66" s="27" t="n">
        <v>31149.42</v>
      </c>
      <c r="E66" s="27" t="n">
        <v>37078</v>
      </c>
      <c r="F66" s="27" t="n">
        <v>34235.24</v>
      </c>
      <c r="G66" s="27" t="n">
        <v>56182</v>
      </c>
      <c r="H66" s="27">
        <f>G66-F66</f>
        <v/>
      </c>
      <c r="I66" s="11">
        <f>IF(F66=0,0,G66/F66-1)</f>
        <v/>
      </c>
    </row>
    <row r="67">
      <c r="A67" s="9" t="inlineStr">
        <is>
          <t>1000.0000.2400.52340.050</t>
        </is>
      </c>
      <c r="B67" s="9" t="inlineStr">
        <is>
          <t>Retirement</t>
        </is>
      </c>
      <c r="C67" s="27" t="n">
        <v>7148</v>
      </c>
      <c r="D67" s="27" t="n">
        <v>7352.42</v>
      </c>
      <c r="E67" s="27" t="n">
        <v>7790</v>
      </c>
      <c r="F67" s="27" t="n">
        <v>7789.6</v>
      </c>
      <c r="G67" s="27" t="n">
        <v>8054</v>
      </c>
      <c r="H67" s="27">
        <f>G67-F67</f>
        <v/>
      </c>
      <c r="I67" s="11">
        <f>IF(F67=0,0,G67/F67-1)</f>
        <v/>
      </c>
    </row>
    <row r="68">
      <c r="A68" s="9" t="inlineStr">
        <is>
          <t>1000.0000.2400.55310.050</t>
        </is>
      </c>
      <c r="B68" s="9" t="inlineStr">
        <is>
          <t>Postage</t>
        </is>
      </c>
      <c r="C68" s="27" t="n">
        <v>1000</v>
      </c>
      <c r="D68" s="27" t="n">
        <v>1004.83</v>
      </c>
      <c r="E68" s="27" t="n">
        <v>1100</v>
      </c>
      <c r="F68" s="27" t="n">
        <v>1187.49</v>
      </c>
      <c r="G68" s="27" t="n">
        <v>1000</v>
      </c>
      <c r="H68" s="27">
        <f>G68-F68</f>
        <v/>
      </c>
      <c r="I68" s="11">
        <f>IF(F68=0,0,G68/F68-1)</f>
        <v/>
      </c>
    </row>
    <row r="69">
      <c r="A69" s="9" t="inlineStr">
        <is>
          <t>1000.0000.2400.55800.050</t>
        </is>
      </c>
      <c r="B69" s="9" t="inlineStr">
        <is>
          <t>Travel</t>
        </is>
      </c>
      <c r="C69" s="27" t="n">
        <v>810</v>
      </c>
      <c r="D69" s="27" t="n">
        <v>224.49</v>
      </c>
      <c r="E69" s="27" t="n">
        <v>500</v>
      </c>
      <c r="F69" s="27" t="n">
        <v>593.9400000000001</v>
      </c>
      <c r="G69" s="27" t="n">
        <v>230</v>
      </c>
      <c r="H69" s="27">
        <f>G69-F69</f>
        <v/>
      </c>
      <c r="I69" s="11">
        <f>IF(F69=0,0,G69/F69-1)</f>
        <v/>
      </c>
    </row>
    <row r="70">
      <c r="A70" s="9" t="inlineStr">
        <is>
          <t>1000.0000.2400.56000.050</t>
        </is>
      </c>
      <c r="B70" s="9" t="inlineStr">
        <is>
          <t>Supplies</t>
        </is>
      </c>
      <c r="C70" s="27" t="n">
        <v>500</v>
      </c>
      <c r="D70" s="27" t="n">
        <v>610.3099999999999</v>
      </c>
      <c r="E70" s="27" t="n">
        <v>500</v>
      </c>
      <c r="F70" s="27" t="n">
        <v>567.29</v>
      </c>
      <c r="G70" s="27" t="n">
        <v>500</v>
      </c>
      <c r="H70" s="27">
        <f>G70-F70</f>
        <v/>
      </c>
      <c r="I70" s="11">
        <f>IF(F70=0,0,G70/F70-1)</f>
        <v/>
      </c>
    </row>
    <row r="71">
      <c r="A71" s="9" t="inlineStr">
        <is>
          <t>1000.0000.2400.58100.050</t>
        </is>
      </c>
      <c r="B71" s="9" t="inlineStr">
        <is>
          <t>Dues &amp; Fees</t>
        </is>
      </c>
      <c r="C71" s="27" t="n">
        <v>810</v>
      </c>
      <c r="D71" s="27" t="n">
        <v>0</v>
      </c>
      <c r="E71" s="27" t="n">
        <v>810</v>
      </c>
      <c r="F71" s="27" t="n">
        <v>565</v>
      </c>
      <c r="G71" s="27" t="n">
        <v>810</v>
      </c>
      <c r="H71" s="27">
        <f>G71-F71</f>
        <v/>
      </c>
      <c r="I71" s="11">
        <f>IF(F71=0,0,G71/F71-1)</f>
        <v/>
      </c>
    </row>
    <row r="72">
      <c r="A72" s="17" t="n"/>
      <c r="B72" s="31" t="inlineStr">
        <is>
          <t>Program 0000 Total</t>
        </is>
      </c>
      <c r="C72" s="32">
        <f>SUM(C63:C71)</f>
        <v/>
      </c>
      <c r="D72" s="32">
        <f>SUM(D63:D71)</f>
        <v/>
      </c>
      <c r="E72" s="32">
        <f>SUM(E63:E71)</f>
        <v/>
      </c>
      <c r="F72" s="32">
        <f>SUM(F63:F71)</f>
        <v/>
      </c>
      <c r="G72" s="32">
        <f>SUM(G63:G71)</f>
        <v/>
      </c>
      <c r="H72" s="32">
        <f>SUM(H63:H71)</f>
        <v/>
      </c>
      <c r="I72" s="32">
        <f>SUM(I63:I71)</f>
        <v/>
      </c>
    </row>
    <row r="73">
      <c r="A73" s="17" t="n"/>
      <c r="B73" s="20" t="inlineStr">
        <is>
          <t>Cost Center ('050',) Total</t>
        </is>
      </c>
      <c r="C73" s="35">
        <f>C72</f>
        <v/>
      </c>
      <c r="D73" s="35">
        <f>D72</f>
        <v/>
      </c>
      <c r="E73" s="35">
        <f>E72</f>
        <v/>
      </c>
      <c r="F73" s="35">
        <f>F72</f>
        <v/>
      </c>
      <c r="G73" s="35">
        <f>G72</f>
        <v/>
      </c>
      <c r="H73" s="35">
        <f>H72</f>
        <v/>
      </c>
      <c r="I73" s="35">
        <f>I72</f>
        <v/>
      </c>
    </row>
    <row r="75">
      <c r="A75" s="3" t="inlineStr">
        <is>
          <t>Cost Center: ('300',)</t>
        </is>
      </c>
    </row>
    <row r="76">
      <c r="A76" s="9" t="inlineStr">
        <is>
          <t>1000.0000.2400.51040.300</t>
        </is>
      </c>
      <c r="B76" s="9" t="inlineStr">
        <is>
          <t>Admin Salaries</t>
        </is>
      </c>
      <c r="C76" s="27" t="n">
        <v>195487</v>
      </c>
      <c r="D76" s="27" t="n">
        <v>203305.96</v>
      </c>
      <c r="E76" s="27" t="n">
        <v>211438</v>
      </c>
      <c r="F76" s="27" t="n">
        <v>212137.98</v>
      </c>
      <c r="G76" s="27" t="n">
        <v>220103</v>
      </c>
      <c r="H76" s="27">
        <f>G76-F76</f>
        <v/>
      </c>
      <c r="I76" s="11">
        <f>IF(F76=0,0,G76/F76-1)</f>
        <v/>
      </c>
    </row>
    <row r="77">
      <c r="A77" s="9" t="inlineStr">
        <is>
          <t>1000.0000.2400.51180.300</t>
        </is>
      </c>
      <c r="B77" s="9" t="inlineStr">
        <is>
          <t>Support Wages</t>
        </is>
      </c>
      <c r="C77" s="27" t="n">
        <v>79248</v>
      </c>
      <c r="D77" s="27" t="n">
        <v>82268.50999999999</v>
      </c>
      <c r="E77" s="27" t="n">
        <v>95188</v>
      </c>
      <c r="F77" s="27" t="n">
        <v>98815.16</v>
      </c>
      <c r="G77" s="27" t="n">
        <v>82530</v>
      </c>
      <c r="H77" s="27">
        <f>G77-F77</f>
        <v/>
      </c>
      <c r="I77" s="11">
        <f>IF(F77=0,0,G77/F77-1)</f>
        <v/>
      </c>
    </row>
    <row r="78">
      <c r="A78" s="9" t="inlineStr">
        <is>
          <t>1000.0000.2400.52040.300</t>
        </is>
      </c>
      <c r="B78" s="9" t="inlineStr">
        <is>
          <t>Admin Benefits</t>
        </is>
      </c>
      <c r="C78" s="27" t="n">
        <v>62386</v>
      </c>
      <c r="D78" s="27" t="n">
        <v>48834.33</v>
      </c>
      <c r="E78" s="27" t="n">
        <v>55577</v>
      </c>
      <c r="F78" s="27" t="n">
        <v>48868.89</v>
      </c>
      <c r="G78" s="27" t="n">
        <v>56065</v>
      </c>
      <c r="H78" s="27">
        <f>G78-F78</f>
        <v/>
      </c>
      <c r="I78" s="11">
        <f>IF(F78=0,0,G78/F78-1)</f>
        <v/>
      </c>
    </row>
    <row r="79">
      <c r="A79" s="9" t="inlineStr">
        <is>
          <t>1000.0000.2400.52080.300</t>
        </is>
      </c>
      <c r="B79" s="9" t="inlineStr">
        <is>
          <t>Support Benefits</t>
        </is>
      </c>
      <c r="C79" s="27" t="n">
        <v>24848</v>
      </c>
      <c r="D79" s="27" t="n">
        <v>25001.95</v>
      </c>
      <c r="E79" s="27" t="n">
        <v>34127</v>
      </c>
      <c r="F79" s="27" t="n">
        <v>42942.81</v>
      </c>
      <c r="G79" s="27" t="n">
        <v>37195</v>
      </c>
      <c r="H79" s="27">
        <f>G79-F79</f>
        <v/>
      </c>
      <c r="I79" s="11">
        <f>IF(F79=0,0,G79/F79-1)</f>
        <v/>
      </c>
    </row>
    <row r="80">
      <c r="A80" s="9" t="inlineStr">
        <is>
          <t>1000.0000.2400.52340.300</t>
        </is>
      </c>
      <c r="B80" s="9" t="inlineStr">
        <is>
          <t>Retirement</t>
        </is>
      </c>
      <c r="C80" s="27" t="n">
        <v>8071</v>
      </c>
      <c r="D80" s="27" t="n">
        <v>8071.44</v>
      </c>
      <c r="E80" s="27" t="n">
        <v>8796</v>
      </c>
      <c r="F80" s="27" t="n">
        <v>8795.799999999999</v>
      </c>
      <c r="G80" s="27" t="n">
        <v>9192</v>
      </c>
      <c r="H80" s="27">
        <f>G80-F80</f>
        <v/>
      </c>
      <c r="I80" s="11">
        <f>IF(F80=0,0,G80/F80-1)</f>
        <v/>
      </c>
    </row>
    <row r="81">
      <c r="A81" s="9" t="inlineStr">
        <is>
          <t>1000.0000.2400.55310.300</t>
        </is>
      </c>
      <c r="B81" s="9" t="inlineStr">
        <is>
          <t>Postage</t>
        </is>
      </c>
      <c r="C81" s="27" t="n">
        <v>2000</v>
      </c>
      <c r="D81" s="27" t="n">
        <v>1855.65</v>
      </c>
      <c r="E81" s="27" t="n">
        <v>2200</v>
      </c>
      <c r="F81" s="27" t="n">
        <v>2493.7</v>
      </c>
      <c r="G81" s="27" t="n">
        <v>2500</v>
      </c>
      <c r="H81" s="27">
        <f>G81-F81</f>
        <v/>
      </c>
      <c r="I81" s="11">
        <f>IF(F81=0,0,G81/F81-1)</f>
        <v/>
      </c>
    </row>
    <row r="82">
      <c r="A82" s="9" t="inlineStr">
        <is>
          <t>1000.0000.2400.55800.300</t>
        </is>
      </c>
      <c r="B82" s="9" t="inlineStr">
        <is>
          <t>Travel</t>
        </is>
      </c>
      <c r="C82" s="27" t="n">
        <v>3000</v>
      </c>
      <c r="D82" s="27" t="n">
        <v>1260.26</v>
      </c>
      <c r="E82" s="27" t="n">
        <v>1575</v>
      </c>
      <c r="F82" s="27" t="n">
        <v>693.05</v>
      </c>
      <c r="G82" s="27" t="n">
        <v>1250</v>
      </c>
      <c r="H82" s="27">
        <f>G82-F82</f>
        <v/>
      </c>
      <c r="I82" s="11">
        <f>IF(F82=0,0,G82/F82-1)</f>
        <v/>
      </c>
    </row>
    <row r="83">
      <c r="A83" s="9" t="inlineStr">
        <is>
          <t>1000.0000.2400.56000.300</t>
        </is>
      </c>
      <c r="B83" s="9" t="inlineStr">
        <is>
          <t>Supplies</t>
        </is>
      </c>
      <c r="C83" s="27" t="n">
        <v>4000</v>
      </c>
      <c r="D83" s="27" t="n">
        <v>1502.43</v>
      </c>
      <c r="E83" s="27" t="n">
        <v>2500</v>
      </c>
      <c r="F83" s="27" t="n">
        <v>1307.38</v>
      </c>
      <c r="G83" s="27" t="n">
        <v>2000</v>
      </c>
      <c r="H83" s="27">
        <f>G83-F83</f>
        <v/>
      </c>
      <c r="I83" s="11">
        <f>IF(F83=0,0,G83/F83-1)</f>
        <v/>
      </c>
    </row>
    <row r="84">
      <c r="A84" s="9" t="inlineStr">
        <is>
          <t>1000.0000.2400.58100.300</t>
        </is>
      </c>
      <c r="B84" s="9" t="inlineStr">
        <is>
          <t>Dues and Fees</t>
        </is>
      </c>
      <c r="C84" s="27" t="n">
        <v>7021</v>
      </c>
      <c r="D84" s="27" t="n">
        <v>6695.48</v>
      </c>
      <c r="E84" s="27" t="n">
        <v>7021</v>
      </c>
      <c r="F84" s="27" t="n">
        <v>5751</v>
      </c>
      <c r="G84" s="27" t="n">
        <v>6253</v>
      </c>
      <c r="H84" s="27">
        <f>G84-F84</f>
        <v/>
      </c>
      <c r="I84" s="11">
        <f>IF(F84=0,0,G84/F84-1)</f>
        <v/>
      </c>
    </row>
    <row r="85">
      <c r="A85" s="17" t="n"/>
      <c r="B85" s="31" t="inlineStr">
        <is>
          <t>Program 0000 Total</t>
        </is>
      </c>
      <c r="C85" s="32">
        <f>SUM(C76:C84)</f>
        <v/>
      </c>
      <c r="D85" s="32">
        <f>SUM(D76:D84)</f>
        <v/>
      </c>
      <c r="E85" s="32">
        <f>SUM(E76:E84)</f>
        <v/>
      </c>
      <c r="F85" s="32">
        <f>SUM(F76:F84)</f>
        <v/>
      </c>
      <c r="G85" s="32">
        <f>SUM(G76:G84)</f>
        <v/>
      </c>
      <c r="H85" s="32">
        <f>SUM(H76:H84)</f>
        <v/>
      </c>
      <c r="I85" s="32">
        <f>SUM(I76:I84)</f>
        <v/>
      </c>
    </row>
    <row r="86">
      <c r="A86" s="17" t="n"/>
      <c r="B86" s="20" t="inlineStr">
        <is>
          <t>Cost Center ('300',) Total</t>
        </is>
      </c>
      <c r="C86" s="35">
        <f>C85</f>
        <v/>
      </c>
      <c r="D86" s="35">
        <f>D85</f>
        <v/>
      </c>
      <c r="E86" s="35">
        <f>E85</f>
        <v/>
      </c>
      <c r="F86" s="35">
        <f>F85</f>
        <v/>
      </c>
      <c r="G86" s="35">
        <f>G85</f>
        <v/>
      </c>
      <c r="H86" s="35">
        <f>H85</f>
        <v/>
      </c>
      <c r="I86" s="35">
        <f>I85</f>
        <v/>
      </c>
    </row>
    <row r="88">
      <c r="A88" s="17" t="n"/>
      <c r="B88" s="36" t="inlineStr">
        <is>
          <t>ARTICLE 7 TOTAL</t>
        </is>
      </c>
      <c r="C88" s="37">
        <f>C20+C34+C47+C60+C73+C86</f>
        <v/>
      </c>
      <c r="D88" s="37">
        <f>D20+D34+D47+D60+D73+D86</f>
        <v/>
      </c>
      <c r="E88" s="37">
        <f>E20+E34+E47+E60+E73+E86</f>
        <v/>
      </c>
      <c r="F88" s="37">
        <f>F20+F34+F47+F60+F73+F86</f>
        <v/>
      </c>
      <c r="G88" s="37">
        <f>G20+G34+G47+G60+G73+G86</f>
        <v/>
      </c>
      <c r="H88" s="37">
        <f>H20+H34+H47+H60+H73+H86</f>
        <v/>
      </c>
      <c r="I88" s="37">
        <f>I20+I34+I47+I60+I73+I86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472C4"/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8 - Transportation &amp; Buses</t>
        </is>
      </c>
    </row>
    <row r="2">
      <c r="A2" s="16" t="inlineStr">
        <is>
          <t>Source: FY22 Proposed Budget, RSU 5</t>
        </is>
      </c>
    </row>
    <row r="3">
      <c r="A3" s="16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FY18 Actual</t>
        </is>
      </c>
      <c r="D5" s="8" t="inlineStr">
        <is>
          <t>FY19 Actual</t>
        </is>
      </c>
      <c r="E5" s="8" t="inlineStr">
        <is>
          <t>FY20 Actual</t>
        </is>
      </c>
      <c r="F5" s="8" t="inlineStr">
        <is>
          <t>FY21 Adopted</t>
        </is>
      </c>
      <c r="G5" s="8" t="inlineStr">
        <is>
          <t>FY22 Adopted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('900',)</t>
        </is>
      </c>
    </row>
    <row r="7">
      <c r="A7" s="9" t="inlineStr">
        <is>
          <t>1000.0000.2700.51020.900</t>
        </is>
      </c>
      <c r="B7" s="9" t="inlineStr">
        <is>
          <t>Ed Tech Salaries</t>
        </is>
      </c>
      <c r="C7" s="27" t="n">
        <v>66547</v>
      </c>
      <c r="D7" s="27" t="n">
        <v>19134.34</v>
      </c>
      <c r="E7" s="27" t="n">
        <v>42947</v>
      </c>
      <c r="F7" s="27" t="n">
        <v>5883.03</v>
      </c>
      <c r="G7" s="27" t="n">
        <v>38824</v>
      </c>
      <c r="H7" s="27">
        <f>G7-F7</f>
        <v/>
      </c>
      <c r="I7" s="11">
        <f>IF(F7=0,0,G7/F7-1)</f>
        <v/>
      </c>
    </row>
    <row r="8">
      <c r="A8" s="9" t="inlineStr">
        <is>
          <t>1000.0000.2700.51040.900</t>
        </is>
      </c>
      <c r="B8" s="9" t="inlineStr">
        <is>
          <t>Administrator Salary</t>
        </is>
      </c>
      <c r="C8" s="27" t="n">
        <v>81470</v>
      </c>
      <c r="D8" s="27" t="n">
        <v>84729</v>
      </c>
      <c r="E8" s="27" t="n">
        <v>88118</v>
      </c>
      <c r="F8" s="27" t="n">
        <v>101153.14</v>
      </c>
      <c r="G8" s="27" t="n">
        <v>91291</v>
      </c>
      <c r="H8" s="27">
        <f>G8-F8</f>
        <v/>
      </c>
      <c r="I8" s="11">
        <f>IF(F8=0,0,G8/F8-1)</f>
        <v/>
      </c>
    </row>
    <row r="9">
      <c r="A9" s="9" t="inlineStr">
        <is>
          <t>1000.0000.2700.51180.900</t>
        </is>
      </c>
      <c r="B9" s="9" t="inlineStr">
        <is>
          <t>Bus Drivers Salaries</t>
        </is>
      </c>
      <c r="C9" s="27" t="n">
        <v>418586</v>
      </c>
      <c r="D9" s="27" t="n">
        <v>499469.4</v>
      </c>
      <c r="E9" s="27" t="n">
        <v>454982</v>
      </c>
      <c r="F9" s="27" t="n">
        <v>365568.35</v>
      </c>
      <c r="G9" s="27" t="n">
        <v>502494</v>
      </c>
      <c r="H9" s="27">
        <f>G9-F9</f>
        <v/>
      </c>
      <c r="I9" s="11">
        <f>IF(F9=0,0,G9/F9-1)</f>
        <v/>
      </c>
    </row>
    <row r="10">
      <c r="A10" s="9" t="inlineStr">
        <is>
          <t>1000.0000.2700.51200.900</t>
        </is>
      </c>
      <c r="B10" s="9" t="inlineStr">
        <is>
          <t>Substitute Salaries</t>
        </is>
      </c>
      <c r="C10" s="27" t="n">
        <v>30000</v>
      </c>
      <c r="D10" s="27" t="n">
        <v>33978.13</v>
      </c>
      <c r="E10" s="27" t="n">
        <v>30000</v>
      </c>
      <c r="F10" s="27" t="n">
        <v>31217.68</v>
      </c>
      <c r="G10" s="27" t="n">
        <v>33000</v>
      </c>
      <c r="H10" s="27">
        <f>G10-F10</f>
        <v/>
      </c>
      <c r="I10" s="11">
        <f>IF(F10=0,0,G10/F10-1)</f>
        <v/>
      </c>
    </row>
    <row r="11">
      <c r="A11" s="9" t="inlineStr">
        <is>
          <t>1000.0000.2700.52000.900</t>
        </is>
      </c>
      <c r="B11" s="9" t="inlineStr">
        <is>
          <t>Sub Bus Driver Benefits</t>
        </is>
      </c>
      <c r="C11" s="27" t="n">
        <v>1500</v>
      </c>
      <c r="D11" s="27" t="n">
        <v>5743.26</v>
      </c>
      <c r="E11" s="27" t="n">
        <v>1500</v>
      </c>
      <c r="F11" s="27" t="n">
        <v>6666.31</v>
      </c>
      <c r="G11" s="27" t="n">
        <v>1650</v>
      </c>
      <c r="H11" s="27">
        <f>G11-F11</f>
        <v/>
      </c>
      <c r="I11" s="11">
        <f>IF(F11=0,0,G11/F11-1)</f>
        <v/>
      </c>
    </row>
    <row r="12">
      <c r="A12" s="9" t="inlineStr">
        <is>
          <t>1000.0000.2700.52020.900</t>
        </is>
      </c>
      <c r="B12" s="9" t="inlineStr">
        <is>
          <t>Ed Tech Benefits</t>
        </is>
      </c>
      <c r="C12" s="27" t="n">
        <v>11699</v>
      </c>
      <c r="D12" s="27" t="n">
        <v>6056.46</v>
      </c>
      <c r="E12" s="27" t="n">
        <v>8327</v>
      </c>
      <c r="F12" s="27" t="n">
        <v>1860.61</v>
      </c>
      <c r="G12" s="27" t="n">
        <v>18555</v>
      </c>
      <c r="H12" s="27">
        <f>G12-F12</f>
        <v/>
      </c>
      <c r="I12" s="11">
        <f>IF(F12=0,0,G12/F12-1)</f>
        <v/>
      </c>
    </row>
    <row r="13">
      <c r="A13" s="9" t="inlineStr">
        <is>
          <t>1000.0000.2700.52040.900</t>
        </is>
      </c>
      <c r="B13" s="9" t="inlineStr">
        <is>
          <t>Administrator Benefits</t>
        </is>
      </c>
      <c r="C13" s="27" t="n">
        <v>33248</v>
      </c>
      <c r="D13" s="27" t="n">
        <v>32628.12</v>
      </c>
      <c r="E13" s="27" t="n">
        <v>31135</v>
      </c>
      <c r="F13" s="27" t="n">
        <v>34164.14</v>
      </c>
      <c r="G13" s="27" t="n">
        <v>31729</v>
      </c>
      <c r="H13" s="27">
        <f>G13-F13</f>
        <v/>
      </c>
      <c r="I13" s="11">
        <f>IF(F13=0,0,G13/F13-1)</f>
        <v/>
      </c>
    </row>
    <row r="14">
      <c r="A14" s="9" t="inlineStr">
        <is>
          <t>1000.0000.2700.52080.900</t>
        </is>
      </c>
      <c r="B14" s="9" t="inlineStr">
        <is>
          <t>Bus Driver Benefits</t>
        </is>
      </c>
      <c r="C14" s="27" t="n">
        <v>243942</v>
      </c>
      <c r="D14" s="27" t="n">
        <v>194575.45</v>
      </c>
      <c r="E14" s="27" t="n">
        <v>232664</v>
      </c>
      <c r="F14" s="27" t="n">
        <v>163247.36</v>
      </c>
      <c r="G14" s="27" t="n">
        <v>298798</v>
      </c>
      <c r="H14" s="27">
        <f>G14-F14</f>
        <v/>
      </c>
      <c r="I14" s="11">
        <f>IF(F14=0,0,G14/F14-1)</f>
        <v/>
      </c>
    </row>
    <row r="15">
      <c r="A15" s="9" t="inlineStr">
        <is>
          <t>1000.0000.2700.52180.900</t>
        </is>
      </c>
      <c r="B15" s="9" t="inlineStr">
        <is>
          <t>Retirement</t>
        </is>
      </c>
      <c r="C15" s="27" t="n">
        <v>0</v>
      </c>
      <c r="D15" s="27" t="n">
        <v>422.5</v>
      </c>
      <c r="E15" s="27" t="n">
        <v>0</v>
      </c>
      <c r="F15" s="27" t="n">
        <v>8.130000000000001</v>
      </c>
      <c r="G15" s="27" t="n">
        <v>0</v>
      </c>
      <c r="H15" s="27">
        <f>G15-F15</f>
        <v/>
      </c>
      <c r="I15" s="11">
        <f>IF(F15=0,0,G15/F15-1)</f>
        <v/>
      </c>
    </row>
    <row r="16">
      <c r="A16" s="9" t="inlineStr">
        <is>
          <t>1000.0000.2700.52320.900</t>
        </is>
      </c>
      <c r="B16" s="9" t="inlineStr">
        <is>
          <t>Retirement</t>
        </is>
      </c>
      <c r="C16" s="27" t="n">
        <v>1219</v>
      </c>
      <c r="D16" s="27" t="n">
        <v>601.38</v>
      </c>
      <c r="E16" s="27" t="n">
        <v>710</v>
      </c>
      <c r="F16" s="27" t="n">
        <v>126.4</v>
      </c>
      <c r="G16" s="27" t="n">
        <v>1680</v>
      </c>
      <c r="H16" s="27">
        <f>G16-F16</f>
        <v/>
      </c>
      <c r="I16" s="11">
        <f>IF(F16=0,0,G16/F16-1)</f>
        <v/>
      </c>
    </row>
    <row r="17">
      <c r="A17" s="9" t="inlineStr">
        <is>
          <t>1000.0000.2700.52380.900</t>
        </is>
      </c>
      <c r="B17" s="9" t="inlineStr">
        <is>
          <t>Retirement</t>
        </is>
      </c>
      <c r="C17" s="27" t="n">
        <v>0</v>
      </c>
      <c r="D17" s="27" t="n">
        <v>0</v>
      </c>
      <c r="E17" s="27" t="n">
        <v>0</v>
      </c>
      <c r="F17" s="27" t="n">
        <v>36.52</v>
      </c>
      <c r="G17" s="27" t="n">
        <v>0</v>
      </c>
      <c r="H17" s="27">
        <f>G17-F17</f>
        <v/>
      </c>
      <c r="I17" s="11">
        <f>IF(F17=0,0,G17/F17-1)</f>
        <v/>
      </c>
    </row>
    <row r="18">
      <c r="A18" s="9" t="inlineStr">
        <is>
          <t>1000.0000.2700.53000.900</t>
        </is>
      </c>
      <c r="B18" s="9" t="inlineStr">
        <is>
          <t>Purchased Professional</t>
        </is>
      </c>
      <c r="C18" s="27" t="n">
        <v>2258</v>
      </c>
      <c r="D18" s="27" t="n">
        <v>19131.72</v>
      </c>
      <c r="E18" s="27" t="n">
        <v>2258</v>
      </c>
      <c r="F18" s="27" t="n">
        <v>43138.51</v>
      </c>
      <c r="G18" s="27" t="n">
        <v>11605</v>
      </c>
      <c r="H18" s="27">
        <f>G18-F18</f>
        <v/>
      </c>
      <c r="I18" s="11">
        <f>IF(F18=0,0,G18/F18-1)</f>
        <v/>
      </c>
    </row>
    <row r="19">
      <c r="A19" s="9" t="inlineStr">
        <is>
          <t>1000.0000.2700.53300.900</t>
        </is>
      </c>
      <c r="B19" s="9" t="inlineStr">
        <is>
          <t>Employee Training</t>
        </is>
      </c>
      <c r="C19" s="27" t="n">
        <v>2989</v>
      </c>
      <c r="D19" s="27" t="n">
        <v>642.04</v>
      </c>
      <c r="E19" s="27" t="n">
        <v>1359</v>
      </c>
      <c r="F19" s="27" t="n">
        <v>630</v>
      </c>
      <c r="G19" s="27" t="n">
        <v>1359</v>
      </c>
      <c r="H19" s="27">
        <f>G19-F19</f>
        <v/>
      </c>
      <c r="I19" s="11">
        <f>IF(F19=0,0,G19/F19-1)</f>
        <v/>
      </c>
    </row>
    <row r="20">
      <c r="A20" s="9" t="inlineStr">
        <is>
          <t>1000.0000.2700.53400.900</t>
        </is>
      </c>
      <c r="B20" s="9" t="inlineStr">
        <is>
          <t>Contracted Services</t>
        </is>
      </c>
      <c r="C20" s="27" t="n">
        <v>11727</v>
      </c>
      <c r="D20" s="27" t="n">
        <v>1483.62</v>
      </c>
      <c r="E20" s="27" t="n">
        <v>6022</v>
      </c>
      <c r="F20" s="27" t="n">
        <v>660</v>
      </c>
      <c r="G20" s="27" t="n">
        <v>6022</v>
      </c>
      <c r="H20" s="27">
        <f>G20-F20</f>
        <v/>
      </c>
      <c r="I20" s="11">
        <f>IF(F20=0,0,G20/F20-1)</f>
        <v/>
      </c>
    </row>
    <row r="21">
      <c r="A21" s="9" t="inlineStr">
        <is>
          <t>1000.0000.2700.54300.900</t>
        </is>
      </c>
      <c r="B21" s="9" t="inlineStr">
        <is>
          <t>Purchased Repair/Maint</t>
        </is>
      </c>
      <c r="C21" s="27" t="n">
        <v>61807</v>
      </c>
      <c r="D21" s="27" t="n">
        <v>57536.6</v>
      </c>
      <c r="E21" s="27" t="n">
        <v>61807</v>
      </c>
      <c r="F21" s="27" t="n">
        <v>35184.22</v>
      </c>
      <c r="G21" s="27" t="n">
        <v>60000</v>
      </c>
      <c r="H21" s="27">
        <f>G21-F21</f>
        <v/>
      </c>
      <c r="I21" s="11">
        <f>IF(F21=0,0,G21/F21-1)</f>
        <v/>
      </c>
    </row>
    <row r="22">
      <c r="A22" s="9" t="inlineStr">
        <is>
          <t>1000.0000.2700.54450.900</t>
        </is>
      </c>
      <c r="B22" s="9" t="inlineStr">
        <is>
          <t>Bus Garage Lease</t>
        </is>
      </c>
      <c r="C22" s="27" t="n">
        <v>12875</v>
      </c>
      <c r="D22" s="27" t="n">
        <v>12500</v>
      </c>
      <c r="E22" s="27" t="n">
        <v>12875</v>
      </c>
      <c r="F22" s="27" t="n">
        <v>12500</v>
      </c>
      <c r="G22" s="27" t="n">
        <v>12875</v>
      </c>
      <c r="H22" s="27">
        <f>G22-F22</f>
        <v/>
      </c>
      <c r="I22" s="11">
        <f>IF(F22=0,0,G22/F22-1)</f>
        <v/>
      </c>
    </row>
    <row r="23">
      <c r="A23" s="9" t="inlineStr">
        <is>
          <t>1000.0000.2700.55100.900</t>
        </is>
      </c>
      <c r="B23" s="9" t="inlineStr">
        <is>
          <t>Student Transportation Contracted Servic</t>
        </is>
      </c>
      <c r="C23" s="27" t="n">
        <v>0</v>
      </c>
      <c r="D23" s="27" t="n">
        <v>1505.5</v>
      </c>
      <c r="E23" s="27" t="n">
        <v>0</v>
      </c>
      <c r="F23" s="27" t="n">
        <v>4962.5</v>
      </c>
      <c r="G23" s="27" t="n">
        <v>0</v>
      </c>
      <c r="H23" s="27">
        <f>G23-F23</f>
        <v/>
      </c>
      <c r="I23" s="11">
        <f>IF(F23=0,0,G23/F23-1)</f>
        <v/>
      </c>
    </row>
    <row r="24">
      <c r="A24" s="9" t="inlineStr">
        <is>
          <t>1000.0000.2700.55200.900</t>
        </is>
      </c>
      <c r="B24" s="9" t="inlineStr">
        <is>
          <t>Insurance</t>
        </is>
      </c>
      <c r="C24" s="27" t="n">
        <v>10405</v>
      </c>
      <c r="D24" s="27" t="n">
        <v>10854.85</v>
      </c>
      <c r="E24" s="27" t="n">
        <v>11398</v>
      </c>
      <c r="F24" s="27" t="n">
        <v>11125.1</v>
      </c>
      <c r="G24" s="27" t="n">
        <v>13021</v>
      </c>
      <c r="H24" s="27">
        <f>G24-F24</f>
        <v/>
      </c>
      <c r="I24" s="11">
        <f>IF(F24=0,0,G24/F24-1)</f>
        <v/>
      </c>
    </row>
    <row r="25">
      <c r="A25" s="9" t="inlineStr">
        <is>
          <t>1000.0000.2700.56260.900</t>
        </is>
      </c>
      <c r="B25" s="9" t="inlineStr">
        <is>
          <t>Fleet Fuel</t>
        </is>
      </c>
      <c r="C25" s="27" t="n">
        <v>110000</v>
      </c>
      <c r="D25" s="27" t="n">
        <v>128345.89</v>
      </c>
      <c r="E25" s="27" t="n">
        <v>110000</v>
      </c>
      <c r="F25" s="27" t="n">
        <v>85180.39</v>
      </c>
      <c r="G25" s="27" t="n">
        <v>150405</v>
      </c>
      <c r="H25" s="27">
        <f>G25-F25</f>
        <v/>
      </c>
      <c r="I25" s="11">
        <f>IF(F25=0,0,G25/F25-1)</f>
        <v/>
      </c>
    </row>
    <row r="26">
      <c r="A26" s="9" t="inlineStr">
        <is>
          <t>1000.0000.2700.56261.900</t>
        </is>
      </c>
      <c r="B26" s="9" t="inlineStr">
        <is>
          <t>Fuel/ Field Trips</t>
        </is>
      </c>
      <c r="C26" s="27" t="n">
        <v>2736</v>
      </c>
      <c r="D26" s="27" t="n">
        <v>0</v>
      </c>
      <c r="E26" s="27" t="n">
        <v>2792</v>
      </c>
      <c r="F26" s="27" t="n">
        <v>0</v>
      </c>
      <c r="G26" s="27" t="n">
        <v>0</v>
      </c>
      <c r="H26" s="27">
        <f>G26-F26</f>
        <v/>
      </c>
      <c r="I26" s="11">
        <f>IF(F26=0,0,G26/F26-1)</f>
        <v/>
      </c>
    </row>
    <row r="27">
      <c r="A27" s="9" t="inlineStr">
        <is>
          <t>1000.0000.2700.56700.900</t>
        </is>
      </c>
      <c r="B27" s="9" t="inlineStr">
        <is>
          <t>Supplies</t>
        </is>
      </c>
      <c r="C27" s="27" t="n">
        <v>57435</v>
      </c>
      <c r="D27" s="27" t="n">
        <v>80188.98</v>
      </c>
      <c r="E27" s="27" t="n">
        <v>64040</v>
      </c>
      <c r="F27" s="27" t="n">
        <v>41768.56</v>
      </c>
      <c r="G27" s="27" t="n">
        <v>65000</v>
      </c>
      <c r="H27" s="27">
        <f>G27-F27</f>
        <v/>
      </c>
      <c r="I27" s="11">
        <f>IF(F27=0,0,G27/F27-1)</f>
        <v/>
      </c>
    </row>
    <row r="28">
      <c r="A28" s="9" t="inlineStr">
        <is>
          <t>1000.0000.2700.58100.900</t>
        </is>
      </c>
      <c r="B28" s="9" t="inlineStr">
        <is>
          <t>Dues and Fees</t>
        </is>
      </c>
      <c r="C28" s="27" t="n">
        <v>3125</v>
      </c>
      <c r="D28" s="27" t="n">
        <v>883.5</v>
      </c>
      <c r="E28" s="27" t="n">
        <v>5700</v>
      </c>
      <c r="F28" s="27" t="n">
        <v>1736.25</v>
      </c>
      <c r="G28" s="27" t="n">
        <v>5700</v>
      </c>
      <c r="H28" s="27">
        <f>G28-F28</f>
        <v/>
      </c>
      <c r="I28" s="11">
        <f>IF(F28=0,0,G28/F28-1)</f>
        <v/>
      </c>
    </row>
    <row r="29">
      <c r="A29" s="9" t="inlineStr">
        <is>
          <t>1000.0000.2700.58310.900</t>
        </is>
      </c>
      <c r="B29" s="9" t="inlineStr">
        <is>
          <t>Principal-Bus Lease Purchase</t>
        </is>
      </c>
      <c r="C29" s="27" t="n">
        <v>268921</v>
      </c>
      <c r="D29" s="27" t="n">
        <v>269521.57</v>
      </c>
      <c r="E29" s="27" t="n">
        <v>364921</v>
      </c>
      <c r="F29" s="27" t="n">
        <v>358799.82</v>
      </c>
      <c r="G29" s="27" t="n">
        <v>129411</v>
      </c>
      <c r="H29" s="27">
        <f>G29-F29</f>
        <v/>
      </c>
      <c r="I29" s="11">
        <f>IF(F29=0,0,G29/F29-1)</f>
        <v/>
      </c>
    </row>
    <row r="30">
      <c r="A30" s="17" t="n"/>
      <c r="B30" s="31" t="inlineStr">
        <is>
          <t>Program 0000 Total</t>
        </is>
      </c>
      <c r="C30" s="32">
        <f>SUM(C7:C29)</f>
        <v/>
      </c>
      <c r="D30" s="32">
        <f>SUM(D7:D29)</f>
        <v/>
      </c>
      <c r="E30" s="32">
        <f>SUM(E7:E29)</f>
        <v/>
      </c>
      <c r="F30" s="32">
        <f>SUM(F7:F29)</f>
        <v/>
      </c>
      <c r="G30" s="32">
        <f>SUM(G7:G29)</f>
        <v/>
      </c>
      <c r="H30" s="32">
        <f>SUM(H7:H29)</f>
        <v/>
      </c>
      <c r="I30" s="32">
        <f>SUM(I7:I29)</f>
        <v/>
      </c>
    </row>
    <row r="31">
      <c r="A31" s="9" t="inlineStr">
        <is>
          <t>1000.0000.2750.51020.900</t>
        </is>
      </c>
      <c r="B31" s="9" t="inlineStr">
        <is>
          <t>Ed Tech Salaries</t>
        </is>
      </c>
      <c r="C31" s="27" t="n">
        <v>0</v>
      </c>
      <c r="D31" s="27" t="n">
        <v>3754.36</v>
      </c>
      <c r="E31" s="27" t="n">
        <v>0</v>
      </c>
      <c r="F31" s="27" t="n">
        <v>3637.15</v>
      </c>
      <c r="G31" s="27" t="n">
        <v>0</v>
      </c>
      <c r="H31" s="27">
        <f>G31-F31</f>
        <v/>
      </c>
      <c r="I31" s="11">
        <f>IF(F31=0,0,G31/F31-1)</f>
        <v/>
      </c>
    </row>
    <row r="32">
      <c r="A32" s="9" t="inlineStr">
        <is>
          <t>1000.0000.2750.51180.900</t>
        </is>
      </c>
      <c r="B32" s="9" t="inlineStr">
        <is>
          <t>Support Wages</t>
        </is>
      </c>
      <c r="C32" s="27" t="n">
        <v>0</v>
      </c>
      <c r="D32" s="27" t="n">
        <v>46854.58</v>
      </c>
      <c r="E32" s="27" t="n">
        <v>0</v>
      </c>
      <c r="F32" s="27" t="n">
        <v>41573.78</v>
      </c>
      <c r="G32" s="27" t="n">
        <v>0</v>
      </c>
      <c r="H32" s="27">
        <f>G32-F32</f>
        <v/>
      </c>
      <c r="I32" s="11">
        <f>IF(F32=0,0,G32/F32-1)</f>
        <v/>
      </c>
    </row>
    <row r="33">
      <c r="A33" s="9" t="inlineStr">
        <is>
          <t>1000.0000.2750.52020.900</t>
        </is>
      </c>
      <c r="B33" s="9" t="inlineStr">
        <is>
          <t>Ed Tech Benefits</t>
        </is>
      </c>
      <c r="C33" s="27" t="n">
        <v>0</v>
      </c>
      <c r="D33" s="27" t="n">
        <v>913</v>
      </c>
      <c r="E33" s="27" t="n">
        <v>0</v>
      </c>
      <c r="F33" s="27" t="n">
        <v>1111.17</v>
      </c>
      <c r="G33" s="27" t="n">
        <v>0</v>
      </c>
      <c r="H33" s="27">
        <f>G33-F33</f>
        <v/>
      </c>
      <c r="I33" s="11">
        <f>IF(F33=0,0,G33/F33-1)</f>
        <v/>
      </c>
    </row>
    <row r="34">
      <c r="A34" s="9" t="inlineStr">
        <is>
          <t>1000.0000.2750.52080.900</t>
        </is>
      </c>
      <c r="B34" s="9" t="inlineStr">
        <is>
          <t>Support Benefits</t>
        </is>
      </c>
      <c r="C34" s="27" t="n">
        <v>0</v>
      </c>
      <c r="D34" s="27" t="n">
        <v>11775.51</v>
      </c>
      <c r="E34" s="27" t="n">
        <v>0</v>
      </c>
      <c r="F34" s="27" t="n">
        <v>8644.5</v>
      </c>
      <c r="G34" s="27" t="n">
        <v>0</v>
      </c>
      <c r="H34" s="27">
        <f>G34-F34</f>
        <v/>
      </c>
      <c r="I34" s="11">
        <f>IF(F34=0,0,G34/F34-1)</f>
        <v/>
      </c>
    </row>
    <row r="35">
      <c r="A35" s="9" t="inlineStr">
        <is>
          <t>1000.0000.2750.52320.900</t>
        </is>
      </c>
      <c r="B35" s="9" t="inlineStr">
        <is>
          <t>Retirement</t>
        </is>
      </c>
      <c r="C35" s="27" t="n">
        <v>0</v>
      </c>
      <c r="D35" s="27" t="n">
        <v>149.06</v>
      </c>
      <c r="E35" s="27" t="n">
        <v>0</v>
      </c>
      <c r="F35" s="27" t="n">
        <v>147.97</v>
      </c>
      <c r="G35" s="27" t="n">
        <v>0</v>
      </c>
      <c r="H35" s="27">
        <f>G35-F35</f>
        <v/>
      </c>
      <c r="I35" s="11">
        <f>IF(F35=0,0,G35/F35-1)</f>
        <v/>
      </c>
    </row>
    <row r="36">
      <c r="A36" s="9" t="inlineStr">
        <is>
          <t>1000.0000.2750.55190.900</t>
        </is>
      </c>
      <c r="B36" s="9" t="inlineStr">
        <is>
          <t>Purchased Services</t>
        </is>
      </c>
      <c r="C36" s="27" t="n">
        <v>0</v>
      </c>
      <c r="D36" s="27" t="n">
        <v>2033.84</v>
      </c>
      <c r="E36" s="27" t="n">
        <v>0</v>
      </c>
      <c r="F36" s="27" t="n">
        <v>244.16</v>
      </c>
      <c r="G36" s="27" t="n">
        <v>0</v>
      </c>
      <c r="H36" s="27">
        <f>G36-F36</f>
        <v/>
      </c>
      <c r="I36" s="11">
        <f>IF(F36=0,0,G36/F36-1)</f>
        <v/>
      </c>
    </row>
    <row r="37">
      <c r="A37" s="17" t="n"/>
      <c r="B37" s="31" t="inlineStr">
        <is>
          <t>Program 0000 Total</t>
        </is>
      </c>
      <c r="C37" s="32">
        <f>SUM(C31:C36)</f>
        <v/>
      </c>
      <c r="D37" s="32">
        <f>SUM(D31:D36)</f>
        <v/>
      </c>
      <c r="E37" s="32">
        <f>SUM(E31:E36)</f>
        <v/>
      </c>
      <c r="F37" s="32">
        <f>SUM(F31:F36)</f>
        <v/>
      </c>
      <c r="G37" s="32">
        <f>SUM(G31:G36)</f>
        <v/>
      </c>
      <c r="H37" s="32">
        <f>SUM(H31:H36)</f>
        <v/>
      </c>
      <c r="I37" s="32">
        <f>SUM(I31:I36)</f>
        <v/>
      </c>
    </row>
    <row r="38">
      <c r="A38" s="17" t="n"/>
      <c r="B38" s="20" t="inlineStr">
        <is>
          <t>Cost Center ('900',) Total</t>
        </is>
      </c>
      <c r="C38" s="35">
        <f>C30+C37</f>
        <v/>
      </c>
      <c r="D38" s="35">
        <f>D30+D37</f>
        <v/>
      </c>
      <c r="E38" s="35">
        <f>E30+E37</f>
        <v/>
      </c>
      <c r="F38" s="35">
        <f>F30+F37</f>
        <v/>
      </c>
      <c r="G38" s="35">
        <f>G30+G37</f>
        <v/>
      </c>
      <c r="H38" s="35">
        <f>H30+H37</f>
        <v/>
      </c>
      <c r="I38" s="35">
        <f>I30+I37</f>
        <v/>
      </c>
    </row>
    <row r="40">
      <c r="A40" s="17" t="n"/>
      <c r="B40" s="36" t="inlineStr">
        <is>
          <t>ARTICLE 8 TOTAL</t>
        </is>
      </c>
      <c r="C40" s="37">
        <f>C38</f>
        <v/>
      </c>
      <c r="D40" s="37">
        <f>D38</f>
        <v/>
      </c>
      <c r="E40" s="37">
        <f>E38</f>
        <v/>
      </c>
      <c r="F40" s="37">
        <f>F38</f>
        <v/>
      </c>
      <c r="G40" s="37">
        <f>G38</f>
        <v/>
      </c>
      <c r="H40" s="37">
        <f>H38</f>
        <v/>
      </c>
      <c r="I40" s="37">
        <f>I38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472C4"/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9 - Facilities &amp; Maintenance</t>
        </is>
      </c>
    </row>
    <row r="2">
      <c r="A2" s="16" t="inlineStr">
        <is>
          <t>Source: FY22 Proposed Budget, RSU 5</t>
        </is>
      </c>
    </row>
    <row r="3">
      <c r="A3" s="16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FY18 Actual</t>
        </is>
      </c>
      <c r="D5" s="8" t="inlineStr">
        <is>
          <t>FY19 Actual</t>
        </is>
      </c>
      <c r="E5" s="8" t="inlineStr">
        <is>
          <t>FY20 Actual</t>
        </is>
      </c>
      <c r="F5" s="8" t="inlineStr">
        <is>
          <t>FY21 Adopted</t>
        </is>
      </c>
      <c r="G5" s="8" t="inlineStr">
        <is>
          <t>FY22 Adopted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('010',)</t>
        </is>
      </c>
    </row>
    <row r="7">
      <c r="A7" s="9" t="inlineStr">
        <is>
          <t>1000.0000.2600.51180.010</t>
        </is>
      </c>
      <c r="B7" s="9" t="inlineStr">
        <is>
          <t>Salaries</t>
        </is>
      </c>
      <c r="C7" s="27" t="n">
        <v>188580</v>
      </c>
      <c r="D7" s="27" t="n">
        <v>151069.77</v>
      </c>
      <c r="E7" s="27" t="n">
        <v>144647</v>
      </c>
      <c r="F7" s="27" t="n">
        <v>128605.85</v>
      </c>
      <c r="G7" s="27" t="n">
        <v>161325</v>
      </c>
      <c r="H7" s="27">
        <f>G7-F7</f>
        <v/>
      </c>
      <c r="I7" s="11">
        <f>IF(F7=0,0,G7/F7-1)</f>
        <v/>
      </c>
    </row>
    <row r="8">
      <c r="A8" s="9" t="inlineStr">
        <is>
          <t>1000.0000.2600.52080.010</t>
        </is>
      </c>
      <c r="B8" s="9" t="inlineStr">
        <is>
          <t>Custodian Benefits</t>
        </is>
      </c>
      <c r="C8" s="27" t="n">
        <v>106209</v>
      </c>
      <c r="D8" s="27" t="n">
        <v>53215.73</v>
      </c>
      <c r="E8" s="27" t="n">
        <v>60109</v>
      </c>
      <c r="F8" s="27" t="n">
        <v>41476.13</v>
      </c>
      <c r="G8" s="27" t="n">
        <v>70969</v>
      </c>
      <c r="H8" s="27">
        <f>G8-F8</f>
        <v/>
      </c>
      <c r="I8" s="11">
        <f>IF(F8=0,0,G8/F8-1)</f>
        <v/>
      </c>
    </row>
    <row r="9">
      <c r="A9" s="9" t="inlineStr">
        <is>
          <t>1000.0000.2600.54300.010</t>
        </is>
      </c>
      <c r="B9" s="9" t="inlineStr">
        <is>
          <t>Purchased Repairs/Maint</t>
        </is>
      </c>
      <c r="C9" s="27" t="n">
        <v>77227</v>
      </c>
      <c r="D9" s="27" t="n">
        <v>71308.42999999999</v>
      </c>
      <c r="E9" s="27" t="n">
        <v>78800</v>
      </c>
      <c r="F9" s="27" t="n">
        <v>81626.78</v>
      </c>
      <c r="G9" s="27" t="n">
        <v>80993</v>
      </c>
      <c r="H9" s="27">
        <f>G9-F9</f>
        <v/>
      </c>
      <c r="I9" s="11">
        <f>IF(F9=0,0,G9/F9-1)</f>
        <v/>
      </c>
    </row>
    <row r="10">
      <c r="A10" s="9" t="inlineStr">
        <is>
          <t>1000.0000.2600.55200.010</t>
        </is>
      </c>
      <c r="B10" s="9" t="inlineStr">
        <is>
          <t>Insurance</t>
        </is>
      </c>
      <c r="C10" s="27" t="n">
        <v>22992</v>
      </c>
      <c r="D10" s="27" t="n">
        <v>25503.65</v>
      </c>
      <c r="E10" s="27" t="n">
        <v>28564</v>
      </c>
      <c r="F10" s="27" t="n">
        <v>26700.24</v>
      </c>
      <c r="G10" s="27" t="n">
        <v>30972</v>
      </c>
      <c r="H10" s="27">
        <f>G10-F10</f>
        <v/>
      </c>
      <c r="I10" s="11">
        <f>IF(F10=0,0,G10/F10-1)</f>
        <v/>
      </c>
    </row>
    <row r="11">
      <c r="A11" s="9" t="inlineStr">
        <is>
          <t>1000.0000.2600.55320.010</t>
        </is>
      </c>
      <c r="B11" s="9" t="inlineStr">
        <is>
          <t>Telephone</t>
        </is>
      </c>
      <c r="C11" s="27" t="n">
        <v>3000</v>
      </c>
      <c r="D11" s="27" t="n">
        <v>4363.46</v>
      </c>
      <c r="E11" s="27" t="n">
        <v>3229</v>
      </c>
      <c r="F11" s="27" t="n">
        <v>3851.04</v>
      </c>
      <c r="G11" s="27" t="n">
        <v>4400</v>
      </c>
      <c r="H11" s="27">
        <f>G11-F11</f>
        <v/>
      </c>
      <c r="I11" s="11">
        <f>IF(F11=0,0,G11/F11-1)</f>
        <v/>
      </c>
    </row>
    <row r="12">
      <c r="A12" s="9" t="inlineStr">
        <is>
          <t>1000.0000.2600.56000.010</t>
        </is>
      </c>
      <c r="B12" s="9" t="inlineStr">
        <is>
          <t>Supplies</t>
        </is>
      </c>
      <c r="C12" s="27" t="n">
        <v>23500</v>
      </c>
      <c r="D12" s="27" t="n">
        <v>16648.09</v>
      </c>
      <c r="E12" s="27" t="n">
        <v>23500</v>
      </c>
      <c r="F12" s="27" t="n">
        <v>24023.86</v>
      </c>
      <c r="G12" s="27" t="n">
        <v>23500</v>
      </c>
      <c r="H12" s="27">
        <f>G12-F12</f>
        <v/>
      </c>
      <c r="I12" s="11">
        <f>IF(F12=0,0,G12/F12-1)</f>
        <v/>
      </c>
    </row>
    <row r="13">
      <c r="A13" s="9" t="inlineStr">
        <is>
          <t>1000.0000.2600.56011.010</t>
        </is>
      </c>
      <c r="B13" s="9" t="inlineStr">
        <is>
          <t>Materials for Repair</t>
        </is>
      </c>
      <c r="C13" s="27" t="n">
        <v>8000</v>
      </c>
      <c r="D13" s="27" t="n">
        <v>9971.620000000001</v>
      </c>
      <c r="E13" s="27" t="n">
        <v>8000</v>
      </c>
      <c r="F13" s="27" t="n">
        <v>9163.68</v>
      </c>
      <c r="G13" s="27" t="n">
        <v>6500</v>
      </c>
      <c r="H13" s="27">
        <f>G13-F13</f>
        <v/>
      </c>
      <c r="I13" s="11">
        <f>IF(F13=0,0,G13/F13-1)</f>
        <v/>
      </c>
    </row>
    <row r="14">
      <c r="A14" s="9" t="inlineStr">
        <is>
          <t>1000.0000.2600.56013.010</t>
        </is>
      </c>
      <c r="B14" s="9" t="inlineStr">
        <is>
          <t>Major Maintenance</t>
        </is>
      </c>
      <c r="C14" s="27" t="n">
        <v>6400</v>
      </c>
      <c r="D14" s="27" t="n">
        <v>6308.07</v>
      </c>
      <c r="E14" s="27" t="n">
        <v>6400</v>
      </c>
      <c r="F14" s="27" t="n">
        <v>1625</v>
      </c>
      <c r="G14" s="27" t="n">
        <v>6400</v>
      </c>
      <c r="H14" s="27">
        <f>G14-F14</f>
        <v/>
      </c>
      <c r="I14" s="11">
        <f>IF(F14=0,0,G14/F14-1)</f>
        <v/>
      </c>
    </row>
    <row r="15">
      <c r="A15" s="9" t="inlineStr">
        <is>
          <t>1000.0000.2600.56220.010</t>
        </is>
      </c>
      <c r="B15" s="9" t="inlineStr">
        <is>
          <t>Electricity - Durham</t>
        </is>
      </c>
      <c r="C15" s="27" t="n">
        <v>137008</v>
      </c>
      <c r="D15" s="27" t="n">
        <v>166539.48</v>
      </c>
      <c r="E15" s="27" t="n">
        <v>145000</v>
      </c>
      <c r="F15" s="27" t="n">
        <v>113655.9</v>
      </c>
      <c r="G15" s="27" t="n">
        <v>166000</v>
      </c>
      <c r="H15" s="27">
        <f>G15-F15</f>
        <v/>
      </c>
      <c r="I15" s="11">
        <f>IF(F15=0,0,G15/F15-1)</f>
        <v/>
      </c>
    </row>
    <row r="16">
      <c r="A16" s="9" t="inlineStr">
        <is>
          <t>1000.0000.2600.56240.010</t>
        </is>
      </c>
      <c r="B16" s="9" t="inlineStr">
        <is>
          <t>Heating Fuel</t>
        </is>
      </c>
      <c r="C16" s="27" t="n">
        <v>13000</v>
      </c>
      <c r="D16" s="27" t="n">
        <v>8187.45</v>
      </c>
      <c r="E16" s="27" t="n">
        <v>13000</v>
      </c>
      <c r="F16" s="27" t="n">
        <v>22150.95</v>
      </c>
      <c r="G16" s="27" t="n">
        <v>13000</v>
      </c>
      <c r="H16" s="27">
        <f>G16-F16</f>
        <v/>
      </c>
      <c r="I16" s="11">
        <f>IF(F16=0,0,G16/F16-1)</f>
        <v/>
      </c>
    </row>
    <row r="17">
      <c r="A17" s="17" t="n"/>
      <c r="B17" s="31" t="inlineStr">
        <is>
          <t>Program 0000 Total</t>
        </is>
      </c>
      <c r="C17" s="32">
        <f>SUM(C7:C16)</f>
        <v/>
      </c>
      <c r="D17" s="32">
        <f>SUM(D7:D16)</f>
        <v/>
      </c>
      <c r="E17" s="32">
        <f>SUM(E7:E16)</f>
        <v/>
      </c>
      <c r="F17" s="32">
        <f>SUM(F7:F16)</f>
        <v/>
      </c>
      <c r="G17" s="32">
        <f>SUM(G7:G16)</f>
        <v/>
      </c>
      <c r="H17" s="32">
        <f>SUM(H7:H16)</f>
        <v/>
      </c>
      <c r="I17" s="32">
        <f>SUM(I7:I16)</f>
        <v/>
      </c>
    </row>
    <row r="18">
      <c r="A18" s="9" t="inlineStr">
        <is>
          <t>1000.0000.2690.58310.010</t>
        </is>
      </c>
      <c r="B18" s="9" t="inlineStr">
        <is>
          <t>Principal-Durham Roof</t>
        </is>
      </c>
      <c r="C18" s="27" t="n">
        <v>40000</v>
      </c>
      <c r="D18" s="27" t="n">
        <v>40000</v>
      </c>
      <c r="E18" s="27" t="n">
        <v>0</v>
      </c>
      <c r="F18" s="27" t="n">
        <v>0</v>
      </c>
      <c r="G18" s="27" t="n">
        <v>0</v>
      </c>
      <c r="H18" s="27">
        <f>G18-F18</f>
        <v/>
      </c>
      <c r="I18" s="11">
        <f>IF(F18=0,0,G18/F18-1)</f>
        <v/>
      </c>
    </row>
    <row r="19">
      <c r="A19" s="9" t="inlineStr">
        <is>
          <t>1000.0000.2690.58320.010</t>
        </is>
      </c>
      <c r="B19" s="9" t="inlineStr">
        <is>
          <t>Interest-Durham Roof</t>
        </is>
      </c>
      <c r="C19" s="27" t="n">
        <v>273</v>
      </c>
      <c r="D19" s="27" t="n">
        <v>273.33</v>
      </c>
      <c r="E19" s="27" t="n">
        <v>0</v>
      </c>
      <c r="F19" s="27" t="n">
        <v>0</v>
      </c>
      <c r="G19" s="27" t="n">
        <v>0</v>
      </c>
      <c r="H19" s="27">
        <f>G19-F19</f>
        <v/>
      </c>
      <c r="I19" s="11">
        <f>IF(F19=0,0,G19/F19-1)</f>
        <v/>
      </c>
    </row>
    <row r="20">
      <c r="A20" s="17" t="n"/>
      <c r="B20" s="31" t="inlineStr">
        <is>
          <t>Program 0000 Total</t>
        </is>
      </c>
      <c r="C20" s="32">
        <f>SUM(C18:C19)</f>
        <v/>
      </c>
      <c r="D20" s="32">
        <f>SUM(D18:D19)</f>
        <v/>
      </c>
      <c r="E20" s="32">
        <f>SUM(E18:E19)</f>
        <v/>
      </c>
      <c r="F20" s="32">
        <f>SUM(F18:F19)</f>
        <v/>
      </c>
      <c r="G20" s="32">
        <f>SUM(G18:G19)</f>
        <v/>
      </c>
      <c r="H20" s="32">
        <f>SUM(H18:H19)</f>
        <v/>
      </c>
      <c r="I20" s="32">
        <f>SUM(I18:I19)</f>
        <v/>
      </c>
    </row>
    <row r="21">
      <c r="A21" s="17" t="n"/>
      <c r="B21" s="20" t="inlineStr">
        <is>
          <t>Cost Center ('010',) Total</t>
        </is>
      </c>
      <c r="C21" s="35">
        <f>C17+C20</f>
        <v/>
      </c>
      <c r="D21" s="35">
        <f>D17+D20</f>
        <v/>
      </c>
      <c r="E21" s="35">
        <f>E17+E20</f>
        <v/>
      </c>
      <c r="F21" s="35">
        <f>F17+F20</f>
        <v/>
      </c>
      <c r="G21" s="35">
        <f>G17+G20</f>
        <v/>
      </c>
      <c r="H21" s="35">
        <f>H17+H20</f>
        <v/>
      </c>
      <c r="I21" s="35">
        <f>I17+I20</f>
        <v/>
      </c>
    </row>
    <row r="23">
      <c r="A23" s="3" t="inlineStr">
        <is>
          <t>Cost Center: ('020',)</t>
        </is>
      </c>
    </row>
    <row r="24">
      <c r="A24" s="9" t="inlineStr">
        <is>
          <t>1000.0000.2600.51180.020</t>
        </is>
      </c>
      <c r="B24" s="9" t="inlineStr">
        <is>
          <t>Custodial Salaries</t>
        </is>
      </c>
      <c r="C24" s="27" t="n">
        <v>132634</v>
      </c>
      <c r="D24" s="27" t="n">
        <v>145999.4</v>
      </c>
      <c r="E24" s="27" t="n">
        <v>147736</v>
      </c>
      <c r="F24" s="27" t="n">
        <v>158467.97</v>
      </c>
      <c r="G24" s="27" t="n">
        <v>143697</v>
      </c>
      <c r="H24" s="27">
        <f>G24-F24</f>
        <v/>
      </c>
      <c r="I24" s="11">
        <f>IF(F24=0,0,G24/F24-1)</f>
        <v/>
      </c>
    </row>
    <row r="25">
      <c r="A25" s="9" t="inlineStr">
        <is>
          <t>1000.0000.2600.52080.020</t>
        </is>
      </c>
      <c r="B25" s="9" t="inlineStr">
        <is>
          <t>Custodian Benefits</t>
        </is>
      </c>
      <c r="C25" s="27" t="n">
        <v>82442</v>
      </c>
      <c r="D25" s="27" t="n">
        <v>43392.67</v>
      </c>
      <c r="E25" s="27" t="n">
        <v>73487</v>
      </c>
      <c r="F25" s="27" t="n">
        <v>53942.94</v>
      </c>
      <c r="G25" s="27" t="n">
        <v>83400</v>
      </c>
      <c r="H25" s="27">
        <f>G25-F25</f>
        <v/>
      </c>
      <c r="I25" s="11">
        <f>IF(F25=0,0,G25/F25-1)</f>
        <v/>
      </c>
    </row>
    <row r="26">
      <c r="A26" s="9" t="inlineStr">
        <is>
          <t>1000.0000.2600.53300.020</t>
        </is>
      </c>
      <c r="B26" s="9" t="inlineStr">
        <is>
          <t>Employee Training</t>
        </is>
      </c>
      <c r="C26" s="27" t="n">
        <v>125</v>
      </c>
      <c r="D26" s="27" t="n">
        <v>0</v>
      </c>
      <c r="E26" s="27" t="n">
        <v>125</v>
      </c>
      <c r="F26" s="27" t="n">
        <v>0</v>
      </c>
      <c r="G26" s="27" t="n">
        <v>125</v>
      </c>
      <c r="H26" s="27">
        <f>G26-F26</f>
        <v/>
      </c>
      <c r="I26" s="11">
        <f>IF(F26=0,0,G26/F26-1)</f>
        <v/>
      </c>
    </row>
    <row r="27">
      <c r="A27" s="9" t="inlineStr">
        <is>
          <t>1000.0000.2600.54100.020</t>
        </is>
      </c>
      <c r="B27" s="9" t="inlineStr">
        <is>
          <t>Water/Sewage</t>
        </is>
      </c>
      <c r="C27" s="27" t="n">
        <v>12175</v>
      </c>
      <c r="D27" s="27" t="n">
        <v>16760.2</v>
      </c>
      <c r="E27" s="27" t="n">
        <v>12175</v>
      </c>
      <c r="F27" s="27" t="n">
        <v>19010.94</v>
      </c>
      <c r="G27" s="27" t="n">
        <v>16760</v>
      </c>
      <c r="H27" s="27">
        <f>G27-F27</f>
        <v/>
      </c>
      <c r="I27" s="11">
        <f>IF(F27=0,0,G27/F27-1)</f>
        <v/>
      </c>
    </row>
    <row r="28">
      <c r="A28" s="9" t="inlineStr">
        <is>
          <t>1000.0000.2600.54300.020</t>
        </is>
      </c>
      <c r="B28" s="9" t="inlineStr">
        <is>
          <t>Purchased Repairs/Maint</t>
        </is>
      </c>
      <c r="C28" s="27" t="n">
        <v>40544</v>
      </c>
      <c r="D28" s="27" t="n">
        <v>36841.34</v>
      </c>
      <c r="E28" s="27" t="n">
        <v>41039</v>
      </c>
      <c r="F28" s="27" t="n">
        <v>32206.31</v>
      </c>
      <c r="G28" s="27" t="n">
        <v>42039</v>
      </c>
      <c r="H28" s="27">
        <f>G28-F28</f>
        <v/>
      </c>
      <c r="I28" s="11">
        <f>IF(F28=0,0,G28/F28-1)</f>
        <v/>
      </c>
    </row>
    <row r="29">
      <c r="A29" s="9" t="inlineStr">
        <is>
          <t>1000.0000.2600.55200.020</t>
        </is>
      </c>
      <c r="B29" s="9" t="inlineStr">
        <is>
          <t>Insurance</t>
        </is>
      </c>
      <c r="C29" s="27" t="n">
        <v>9977</v>
      </c>
      <c r="D29" s="27" t="n">
        <v>11065.64</v>
      </c>
      <c r="E29" s="27" t="n">
        <v>12394</v>
      </c>
      <c r="F29" s="27" t="n">
        <v>12237.61</v>
      </c>
      <c r="G29" s="27" t="n">
        <v>14196</v>
      </c>
      <c r="H29" s="27">
        <f>G29-F29</f>
        <v/>
      </c>
      <c r="I29" s="11">
        <f>IF(F29=0,0,G29/F29-1)</f>
        <v/>
      </c>
    </row>
    <row r="30">
      <c r="A30" s="9" t="inlineStr">
        <is>
          <t>1000.0000.2600.55320.020</t>
        </is>
      </c>
      <c r="B30" s="9" t="inlineStr">
        <is>
          <t>Telephone</t>
        </is>
      </c>
      <c r="C30" s="27" t="n">
        <v>2600</v>
      </c>
      <c r="D30" s="27" t="n">
        <v>3193.55</v>
      </c>
      <c r="E30" s="27" t="n">
        <v>2600</v>
      </c>
      <c r="F30" s="27" t="n">
        <v>2490.97</v>
      </c>
      <c r="G30" s="27" t="n">
        <v>3400</v>
      </c>
      <c r="H30" s="27">
        <f>G30-F30</f>
        <v/>
      </c>
      <c r="I30" s="11">
        <f>IF(F30=0,0,G30/F30-1)</f>
        <v/>
      </c>
    </row>
    <row r="31">
      <c r="A31" s="9" t="inlineStr">
        <is>
          <t>1000.0000.2600.56000.020</t>
        </is>
      </c>
      <c r="B31" s="9" t="inlineStr">
        <is>
          <t>Supplies</t>
        </is>
      </c>
      <c r="C31" s="27" t="n">
        <v>15650</v>
      </c>
      <c r="D31" s="27" t="n">
        <v>15662.18</v>
      </c>
      <c r="E31" s="27" t="n">
        <v>18500</v>
      </c>
      <c r="F31" s="27" t="n">
        <v>13067.22</v>
      </c>
      <c r="G31" s="27" t="n">
        <v>18500</v>
      </c>
      <c r="H31" s="27">
        <f>G31-F31</f>
        <v/>
      </c>
      <c r="I31" s="11">
        <f>IF(F31=0,0,G31/F31-1)</f>
        <v/>
      </c>
    </row>
    <row r="32">
      <c r="A32" s="9" t="inlineStr">
        <is>
          <t>1000.0000.2600.56011.020</t>
        </is>
      </c>
      <c r="B32" s="9" t="inlineStr">
        <is>
          <t>Materials for Repair</t>
        </is>
      </c>
      <c r="C32" s="27" t="n">
        <v>6550</v>
      </c>
      <c r="D32" s="27" t="n">
        <v>3782.33</v>
      </c>
      <c r="E32" s="27" t="n">
        <v>4050</v>
      </c>
      <c r="F32" s="27" t="n">
        <v>2673.73</v>
      </c>
      <c r="G32" s="27" t="n">
        <v>4050</v>
      </c>
      <c r="H32" s="27">
        <f>G32-F32</f>
        <v/>
      </c>
      <c r="I32" s="11">
        <f>IF(F32=0,0,G32/F32-1)</f>
        <v/>
      </c>
    </row>
    <row r="33">
      <c r="A33" s="9" t="inlineStr">
        <is>
          <t>1000.0000.2600.56013.020</t>
        </is>
      </c>
      <c r="B33" s="9" t="inlineStr">
        <is>
          <t>Major Maintenance</t>
        </is>
      </c>
      <c r="C33" s="27" t="n">
        <v>15500</v>
      </c>
      <c r="D33" s="27" t="n">
        <v>14643.17</v>
      </c>
      <c r="E33" s="27" t="n">
        <v>10600</v>
      </c>
      <c r="F33" s="27" t="n">
        <v>15704.74</v>
      </c>
      <c r="G33" s="27" t="n">
        <v>9900</v>
      </c>
      <c r="H33" s="27">
        <f>G33-F33</f>
        <v/>
      </c>
      <c r="I33" s="11">
        <f>IF(F33=0,0,G33/F33-1)</f>
        <v/>
      </c>
    </row>
    <row r="34">
      <c r="A34" s="9" t="inlineStr">
        <is>
          <t>1000.0000.2600.56220.020</t>
        </is>
      </c>
      <c r="B34" s="9" t="inlineStr">
        <is>
          <t>Electricity</t>
        </is>
      </c>
      <c r="C34" s="27" t="n">
        <v>29082</v>
      </c>
      <c r="D34" s="27" t="n">
        <v>27375.79</v>
      </c>
      <c r="E34" s="27" t="n">
        <v>30000</v>
      </c>
      <c r="F34" s="27" t="n">
        <v>24508.45</v>
      </c>
      <c r="G34" s="27" t="n">
        <v>30000</v>
      </c>
      <c r="H34" s="27">
        <f>G34-F34</f>
        <v/>
      </c>
      <c r="I34" s="11">
        <f>IF(F34=0,0,G34/F34-1)</f>
        <v/>
      </c>
    </row>
    <row r="35">
      <c r="A35" s="9" t="inlineStr">
        <is>
          <t>1000.0000.2600.56240.020</t>
        </is>
      </c>
      <c r="B35" s="9" t="inlineStr">
        <is>
          <t>Heating Fuel</t>
        </is>
      </c>
      <c r="C35" s="27" t="n">
        <v>38553</v>
      </c>
      <c r="D35" s="27" t="n">
        <v>43661.82</v>
      </c>
      <c r="E35" s="27" t="n">
        <v>38553</v>
      </c>
      <c r="F35" s="27" t="n">
        <v>25911.84</v>
      </c>
      <c r="G35" s="27" t="n">
        <v>38553</v>
      </c>
      <c r="H35" s="27">
        <f>G35-F35</f>
        <v/>
      </c>
      <c r="I35" s="11">
        <f>IF(F35=0,0,G35/F35-1)</f>
        <v/>
      </c>
    </row>
    <row r="36">
      <c r="A36" s="17" t="n"/>
      <c r="B36" s="31" t="inlineStr">
        <is>
          <t>Program 0000 Total</t>
        </is>
      </c>
      <c r="C36" s="32">
        <f>SUM(C24:C35)</f>
        <v/>
      </c>
      <c r="D36" s="32">
        <f>SUM(D24:D35)</f>
        <v/>
      </c>
      <c r="E36" s="32">
        <f>SUM(E24:E35)</f>
        <v/>
      </c>
      <c r="F36" s="32">
        <f>SUM(F24:F35)</f>
        <v/>
      </c>
      <c r="G36" s="32">
        <f>SUM(G24:G35)</f>
        <v/>
      </c>
      <c r="H36" s="32">
        <f>SUM(H24:H35)</f>
        <v/>
      </c>
      <c r="I36" s="32">
        <f>SUM(I24:I35)</f>
        <v/>
      </c>
    </row>
    <row r="37">
      <c r="A37" s="17" t="n"/>
      <c r="B37" s="20" t="inlineStr">
        <is>
          <t>Cost Center ('020',) Total</t>
        </is>
      </c>
      <c r="C37" s="35">
        <f>C36</f>
        <v/>
      </c>
      <c r="D37" s="35">
        <f>D36</f>
        <v/>
      </c>
      <c r="E37" s="35">
        <f>E36</f>
        <v/>
      </c>
      <c r="F37" s="35">
        <f>F36</f>
        <v/>
      </c>
      <c r="G37" s="35">
        <f>G36</f>
        <v/>
      </c>
      <c r="H37" s="35">
        <f>H36</f>
        <v/>
      </c>
      <c r="I37" s="35">
        <f>I36</f>
        <v/>
      </c>
    </row>
    <row r="39">
      <c r="A39" s="3" t="inlineStr">
        <is>
          <t>Cost Center: ('030',)</t>
        </is>
      </c>
    </row>
    <row r="40">
      <c r="A40" s="9" t="inlineStr">
        <is>
          <t>1000.0000.2600.51180.030</t>
        </is>
      </c>
      <c r="B40" s="9" t="inlineStr">
        <is>
          <t>Custodial Salaries</t>
        </is>
      </c>
      <c r="C40" s="27" t="n">
        <v>65904</v>
      </c>
      <c r="D40" s="27" t="n">
        <v>65293.15</v>
      </c>
      <c r="E40" s="27" t="n">
        <v>73565</v>
      </c>
      <c r="F40" s="27" t="n">
        <v>84510.07000000001</v>
      </c>
      <c r="G40" s="27" t="n">
        <v>76213</v>
      </c>
      <c r="H40" s="27">
        <f>G40-F40</f>
        <v/>
      </c>
      <c r="I40" s="11">
        <f>IF(F40=0,0,G40/F40-1)</f>
        <v/>
      </c>
    </row>
    <row r="41">
      <c r="A41" s="9" t="inlineStr">
        <is>
          <t>1000.0000.2600.52080.030</t>
        </is>
      </c>
      <c r="B41" s="9" t="inlineStr">
        <is>
          <t>Custodian Benefits</t>
        </is>
      </c>
      <c r="C41" s="27" t="n">
        <v>32445</v>
      </c>
      <c r="D41" s="27" t="n">
        <v>27213.29</v>
      </c>
      <c r="E41" s="27" t="n">
        <v>30418</v>
      </c>
      <c r="F41" s="27" t="n">
        <v>33107.12</v>
      </c>
      <c r="G41" s="27" t="n">
        <v>38023</v>
      </c>
      <c r="H41" s="27">
        <f>G41-F41</f>
        <v/>
      </c>
      <c r="I41" s="11">
        <f>IF(F41=0,0,G41/F41-1)</f>
        <v/>
      </c>
    </row>
    <row r="42">
      <c r="A42" s="9" t="inlineStr">
        <is>
          <t>1000.0000.2600.54300.030</t>
        </is>
      </c>
      <c r="B42" s="9" t="inlineStr">
        <is>
          <t>Purchased Repairs/Maint</t>
        </is>
      </c>
      <c r="C42" s="27" t="n">
        <v>34575</v>
      </c>
      <c r="D42" s="27" t="n">
        <v>38368.2</v>
      </c>
      <c r="E42" s="27" t="n">
        <v>33595</v>
      </c>
      <c r="F42" s="27" t="n">
        <v>32748.88</v>
      </c>
      <c r="G42" s="27" t="n">
        <v>35415</v>
      </c>
      <c r="H42" s="27">
        <f>G42-F42</f>
        <v/>
      </c>
      <c r="I42" s="11">
        <f>IF(F42=0,0,G42/F42-1)</f>
        <v/>
      </c>
    </row>
    <row r="43">
      <c r="A43" s="9" t="inlineStr">
        <is>
          <t>1000.0000.2600.55200.030</t>
        </is>
      </c>
      <c r="B43" s="9" t="inlineStr">
        <is>
          <t>Insurance</t>
        </is>
      </c>
      <c r="C43" s="27" t="n">
        <v>6841</v>
      </c>
      <c r="D43" s="27" t="n">
        <v>7587.86</v>
      </c>
      <c r="E43" s="27" t="n">
        <v>8499</v>
      </c>
      <c r="F43" s="27" t="n">
        <v>7787.57</v>
      </c>
      <c r="G43" s="27" t="n">
        <v>9034</v>
      </c>
      <c r="H43" s="27">
        <f>G43-F43</f>
        <v/>
      </c>
      <c r="I43" s="11">
        <f>IF(F43=0,0,G43/F43-1)</f>
        <v/>
      </c>
    </row>
    <row r="44">
      <c r="A44" s="9" t="inlineStr">
        <is>
          <t>1000.0000.2600.55320.030</t>
        </is>
      </c>
      <c r="B44" s="9" t="inlineStr">
        <is>
          <t>Telephone</t>
        </is>
      </c>
      <c r="C44" s="27" t="n">
        <v>3811</v>
      </c>
      <c r="D44" s="27" t="n">
        <v>4688.76</v>
      </c>
      <c r="E44" s="27" t="n">
        <v>3811</v>
      </c>
      <c r="F44" s="27" t="n">
        <v>2733.13</v>
      </c>
      <c r="G44" s="27" t="n">
        <v>4688</v>
      </c>
      <c r="H44" s="27">
        <f>G44-F44</f>
        <v/>
      </c>
      <c r="I44" s="11">
        <f>IF(F44=0,0,G44/F44-1)</f>
        <v/>
      </c>
    </row>
    <row r="45">
      <c r="A45" s="9" t="inlineStr">
        <is>
          <t>1000.0000.2600.55800.030</t>
        </is>
      </c>
      <c r="B45" s="9" t="inlineStr">
        <is>
          <t>Travel</t>
        </is>
      </c>
      <c r="C45" s="27" t="n">
        <v>0</v>
      </c>
      <c r="D45" s="27" t="n">
        <v>261.85</v>
      </c>
      <c r="E45" s="27" t="n">
        <v>0</v>
      </c>
      <c r="F45" s="27" t="n">
        <v>0</v>
      </c>
      <c r="G45" s="27" t="n">
        <v>260</v>
      </c>
      <c r="H45" s="27">
        <f>G45-F45</f>
        <v/>
      </c>
      <c r="I45" s="11">
        <f>IF(F45=0,0,G45/F45-1)</f>
        <v/>
      </c>
    </row>
    <row r="46">
      <c r="A46" s="9" t="inlineStr">
        <is>
          <t>1000.0000.2600.56000.030</t>
        </is>
      </c>
      <c r="B46" s="9" t="inlineStr">
        <is>
          <t>Supplies</t>
        </is>
      </c>
      <c r="C46" s="27" t="n">
        <v>11450</v>
      </c>
      <c r="D46" s="27" t="n">
        <v>7945.17</v>
      </c>
      <c r="E46" s="27" t="n">
        <v>11450</v>
      </c>
      <c r="F46" s="27" t="n">
        <v>9494.540000000001</v>
      </c>
      <c r="G46" s="27" t="n">
        <v>11450</v>
      </c>
      <c r="H46" s="27">
        <f>G46-F46</f>
        <v/>
      </c>
      <c r="I46" s="11">
        <f>IF(F46=0,0,G46/F46-1)</f>
        <v/>
      </c>
    </row>
    <row r="47">
      <c r="A47" s="9" t="inlineStr">
        <is>
          <t>1000.0000.2600.56011.030</t>
        </is>
      </c>
      <c r="B47" s="9" t="inlineStr">
        <is>
          <t>Materials for Repair</t>
        </is>
      </c>
      <c r="C47" s="27" t="n">
        <v>5750</v>
      </c>
      <c r="D47" s="27" t="n">
        <v>2296.03</v>
      </c>
      <c r="E47" s="27" t="n">
        <v>4250</v>
      </c>
      <c r="F47" s="27" t="n">
        <v>2622.64</v>
      </c>
      <c r="G47" s="27" t="n">
        <v>4250</v>
      </c>
      <c r="H47" s="27">
        <f>G47-F47</f>
        <v/>
      </c>
      <c r="I47" s="11">
        <f>IF(F47=0,0,G47/F47-1)</f>
        <v/>
      </c>
    </row>
    <row r="48">
      <c r="A48" s="9" t="inlineStr">
        <is>
          <t>1000.0000.2600.56013.030</t>
        </is>
      </c>
      <c r="B48" s="9" t="inlineStr">
        <is>
          <t>Major Maintenance</t>
        </is>
      </c>
      <c r="C48" s="27" t="n">
        <v>9500</v>
      </c>
      <c r="D48" s="27" t="n">
        <v>59411.24</v>
      </c>
      <c r="E48" s="27" t="n">
        <v>7000</v>
      </c>
      <c r="F48" s="27" t="n">
        <v>6652.89</v>
      </c>
      <c r="G48" s="27" t="n">
        <v>7000</v>
      </c>
      <c r="H48" s="27">
        <f>G48-F48</f>
        <v/>
      </c>
      <c r="I48" s="11">
        <f>IF(F48=0,0,G48/F48-1)</f>
        <v/>
      </c>
    </row>
    <row r="49">
      <c r="A49" s="9" t="inlineStr">
        <is>
          <t>1000.0000.2600.56220.030</t>
        </is>
      </c>
      <c r="B49" s="9" t="inlineStr">
        <is>
          <t>Electricity</t>
        </is>
      </c>
      <c r="C49" s="27" t="n">
        <v>14869</v>
      </c>
      <c r="D49" s="27" t="n">
        <v>14764.99</v>
      </c>
      <c r="E49" s="27" t="n">
        <v>16000</v>
      </c>
      <c r="F49" s="27" t="n">
        <v>14119.98</v>
      </c>
      <c r="G49" s="27" t="n">
        <v>16000</v>
      </c>
      <c r="H49" s="27">
        <f>G49-F49</f>
        <v/>
      </c>
      <c r="I49" s="11">
        <f>IF(F49=0,0,G49/F49-1)</f>
        <v/>
      </c>
    </row>
    <row r="50">
      <c r="A50" s="9" t="inlineStr">
        <is>
          <t>1000.0000.2600.56240.030</t>
        </is>
      </c>
      <c r="B50" s="9" t="inlineStr">
        <is>
          <t>Heating Fuel</t>
        </is>
      </c>
      <c r="C50" s="27" t="n">
        <v>22630</v>
      </c>
      <c r="D50" s="27" t="n">
        <v>25278.29</v>
      </c>
      <c r="E50" s="27" t="n">
        <v>19000</v>
      </c>
      <c r="F50" s="27" t="n">
        <v>16786.16</v>
      </c>
      <c r="G50" s="27" t="n">
        <v>26000</v>
      </c>
      <c r="H50" s="27">
        <f>G50-F50</f>
        <v/>
      </c>
      <c r="I50" s="11">
        <f>IF(F50=0,0,G50/F50-1)</f>
        <v/>
      </c>
    </row>
    <row r="51">
      <c r="A51" s="17" t="n"/>
      <c r="B51" s="31" t="inlineStr">
        <is>
          <t>Program 0000 Total</t>
        </is>
      </c>
      <c r="C51" s="32">
        <f>SUM(C40:C50)</f>
        <v/>
      </c>
      <c r="D51" s="32">
        <f>SUM(D40:D50)</f>
        <v/>
      </c>
      <c r="E51" s="32">
        <f>SUM(E40:E50)</f>
        <v/>
      </c>
      <c r="F51" s="32">
        <f>SUM(F40:F50)</f>
        <v/>
      </c>
      <c r="G51" s="32">
        <f>SUM(G40:G50)</f>
        <v/>
      </c>
      <c r="H51" s="32">
        <f>SUM(H40:H50)</f>
        <v/>
      </c>
      <c r="I51" s="32">
        <f>SUM(I40:I50)</f>
        <v/>
      </c>
    </row>
    <row r="52">
      <c r="A52" s="17" t="n"/>
      <c r="B52" s="20" t="inlineStr">
        <is>
          <t>Cost Center ('030',) Total</t>
        </is>
      </c>
      <c r="C52" s="35">
        <f>C51</f>
        <v/>
      </c>
      <c r="D52" s="35">
        <f>D51</f>
        <v/>
      </c>
      <c r="E52" s="35">
        <f>E51</f>
        <v/>
      </c>
      <c r="F52" s="35">
        <f>F51</f>
        <v/>
      </c>
      <c r="G52" s="35">
        <f>G51</f>
        <v/>
      </c>
      <c r="H52" s="35">
        <f>H51</f>
        <v/>
      </c>
      <c r="I52" s="35">
        <f>I51</f>
        <v/>
      </c>
    </row>
    <row r="54">
      <c r="A54" s="3" t="inlineStr">
        <is>
          <t>Cost Center: ('040',)</t>
        </is>
      </c>
    </row>
    <row r="55">
      <c r="A55" s="9" t="inlineStr">
        <is>
          <t>1000.0000.2600.51180.040</t>
        </is>
      </c>
      <c r="B55" s="9" t="inlineStr">
        <is>
          <t>Custodian Salaries</t>
        </is>
      </c>
      <c r="C55" s="27" t="n">
        <v>97086</v>
      </c>
      <c r="D55" s="27" t="n">
        <v>112479.33</v>
      </c>
      <c r="E55" s="27" t="n">
        <v>116850</v>
      </c>
      <c r="F55" s="27" t="n">
        <v>104823.5</v>
      </c>
      <c r="G55" s="27" t="n">
        <v>114719</v>
      </c>
      <c r="H55" s="27">
        <f>G55-F55</f>
        <v/>
      </c>
      <c r="I55" s="11">
        <f>IF(F55=0,0,G55/F55-1)</f>
        <v/>
      </c>
    </row>
    <row r="56">
      <c r="A56" s="9" t="inlineStr">
        <is>
          <t>1000.0000.2600.52080.040</t>
        </is>
      </c>
      <c r="B56" s="9" t="inlineStr">
        <is>
          <t>Custodian Benefits</t>
        </is>
      </c>
      <c r="C56" s="27" t="n">
        <v>72409</v>
      </c>
      <c r="D56" s="27" t="n">
        <v>63433.72</v>
      </c>
      <c r="E56" s="27" t="n">
        <v>61285</v>
      </c>
      <c r="F56" s="27" t="n">
        <v>60710.99</v>
      </c>
      <c r="G56" s="27" t="n">
        <v>68886</v>
      </c>
      <c r="H56" s="27">
        <f>G56-F56</f>
        <v/>
      </c>
      <c r="I56" s="11">
        <f>IF(F56=0,0,G56/F56-1)</f>
        <v/>
      </c>
    </row>
    <row r="57">
      <c r="A57" s="9" t="inlineStr">
        <is>
          <t>1000.0000.2600.53300.040</t>
        </is>
      </c>
      <c r="B57" s="9" t="inlineStr">
        <is>
          <t>Employee Training</t>
        </is>
      </c>
      <c r="C57" s="27" t="n">
        <v>125</v>
      </c>
      <c r="D57" s="27" t="n">
        <v>0</v>
      </c>
      <c r="E57" s="27" t="n">
        <v>125</v>
      </c>
      <c r="F57" s="27" t="n">
        <v>0</v>
      </c>
      <c r="G57" s="27" t="n">
        <v>125</v>
      </c>
      <c r="H57" s="27">
        <f>G57-F57</f>
        <v/>
      </c>
      <c r="I57" s="11">
        <f>IF(F57=0,0,G57/F57-1)</f>
        <v/>
      </c>
    </row>
    <row r="58">
      <c r="A58" s="9" t="inlineStr">
        <is>
          <t>1000.0000.2600.54100.040</t>
        </is>
      </c>
      <c r="B58" s="9" t="inlineStr">
        <is>
          <t>Water/Sewage</t>
        </is>
      </c>
      <c r="C58" s="27" t="n">
        <v>7129</v>
      </c>
      <c r="D58" s="27" t="n">
        <v>6777.27</v>
      </c>
      <c r="E58" s="27" t="n">
        <v>7611</v>
      </c>
      <c r="F58" s="27" t="n">
        <v>7928.66</v>
      </c>
      <c r="G58" s="27" t="n">
        <v>7611</v>
      </c>
      <c r="H58" s="27">
        <f>G58-F58</f>
        <v/>
      </c>
      <c r="I58" s="11">
        <f>IF(F58=0,0,G58/F58-1)</f>
        <v/>
      </c>
    </row>
    <row r="59">
      <c r="A59" s="9" t="inlineStr">
        <is>
          <t>1000.0000.2600.54300.040</t>
        </is>
      </c>
      <c r="B59" s="9" t="inlineStr">
        <is>
          <t>Purchased Repairs/Maint</t>
        </is>
      </c>
      <c r="C59" s="27" t="n">
        <v>43047</v>
      </c>
      <c r="D59" s="27" t="n">
        <v>47718.42</v>
      </c>
      <c r="E59" s="27" t="n">
        <v>44491</v>
      </c>
      <c r="F59" s="27" t="n">
        <v>37417.38</v>
      </c>
      <c r="G59" s="27" t="n">
        <v>45491</v>
      </c>
      <c r="H59" s="27">
        <f>G59-F59</f>
        <v/>
      </c>
      <c r="I59" s="11">
        <f>IF(F59=0,0,G59/F59-1)</f>
        <v/>
      </c>
    </row>
    <row r="60">
      <c r="A60" s="9" t="inlineStr">
        <is>
          <t>1000.0000.2600.55200.040</t>
        </is>
      </c>
      <c r="B60" s="9" t="inlineStr">
        <is>
          <t>Insurance</t>
        </is>
      </c>
      <c r="C60" s="27" t="n">
        <v>10166</v>
      </c>
      <c r="D60" s="27" t="n">
        <v>11276.41</v>
      </c>
      <c r="E60" s="27" t="n">
        <v>12629</v>
      </c>
      <c r="F60" s="27" t="n">
        <v>12237.61</v>
      </c>
      <c r="G60" s="27" t="n">
        <v>14196</v>
      </c>
      <c r="H60" s="27">
        <f>G60-F60</f>
        <v/>
      </c>
      <c r="I60" s="11">
        <f>IF(F60=0,0,G60/F60-1)</f>
        <v/>
      </c>
    </row>
    <row r="61">
      <c r="A61" s="9" t="inlineStr">
        <is>
          <t>1000.0000.2600.55320.040</t>
        </is>
      </c>
      <c r="B61" s="9" t="inlineStr">
        <is>
          <t>Telephone</t>
        </is>
      </c>
      <c r="C61" s="27" t="n">
        <v>2200</v>
      </c>
      <c r="D61" s="27" t="n">
        <v>2403.79</v>
      </c>
      <c r="E61" s="27" t="n">
        <v>2300</v>
      </c>
      <c r="F61" s="27" t="n">
        <v>1962.08</v>
      </c>
      <c r="G61" s="27" t="n">
        <v>2400</v>
      </c>
      <c r="H61" s="27">
        <f>G61-F61</f>
        <v/>
      </c>
      <c r="I61" s="11">
        <f>IF(F61=0,0,G61/F61-1)</f>
        <v/>
      </c>
    </row>
    <row r="62">
      <c r="A62" s="9" t="inlineStr">
        <is>
          <t>1000.0000.2600.56000.040</t>
        </is>
      </c>
      <c r="B62" s="9" t="inlineStr">
        <is>
          <t>Supplies</t>
        </is>
      </c>
      <c r="C62" s="27" t="n">
        <v>15050</v>
      </c>
      <c r="D62" s="27" t="n">
        <v>18505.1</v>
      </c>
      <c r="E62" s="27" t="n">
        <v>15050</v>
      </c>
      <c r="F62" s="27" t="n">
        <v>12813.1</v>
      </c>
      <c r="G62" s="27" t="n">
        <v>18000</v>
      </c>
      <c r="H62" s="27">
        <f>G62-F62</f>
        <v/>
      </c>
      <c r="I62" s="11">
        <f>IF(F62=0,0,G62/F62-1)</f>
        <v/>
      </c>
    </row>
    <row r="63">
      <c r="A63" s="9" t="inlineStr">
        <is>
          <t>1000.0000.2600.56011.040</t>
        </is>
      </c>
      <c r="B63" s="9" t="inlineStr">
        <is>
          <t>Material Repair</t>
        </is>
      </c>
      <c r="C63" s="27" t="n">
        <v>4500</v>
      </c>
      <c r="D63" s="27" t="n">
        <v>2367.98</v>
      </c>
      <c r="E63" s="27" t="n">
        <v>4500</v>
      </c>
      <c r="F63" s="27" t="n">
        <v>3181.87</v>
      </c>
      <c r="G63" s="27" t="n">
        <v>4500</v>
      </c>
      <c r="H63" s="27">
        <f>G63-F63</f>
        <v/>
      </c>
      <c r="I63" s="11">
        <f>IF(F63=0,0,G63/F63-1)</f>
        <v/>
      </c>
    </row>
    <row r="64">
      <c r="A64" s="9" t="inlineStr">
        <is>
          <t>1000.0000.2600.56013.040</t>
        </is>
      </c>
      <c r="B64" s="9" t="inlineStr">
        <is>
          <t>Major Maintenance</t>
        </is>
      </c>
      <c r="C64" s="27" t="n">
        <v>5000</v>
      </c>
      <c r="D64" s="27" t="n">
        <v>4077.13</v>
      </c>
      <c r="E64" s="27" t="n">
        <v>9200</v>
      </c>
      <c r="F64" s="27" t="n">
        <v>21630.55</v>
      </c>
      <c r="G64" s="27" t="n">
        <v>9200</v>
      </c>
      <c r="H64" s="27">
        <f>G64-F64</f>
        <v/>
      </c>
      <c r="I64" s="11">
        <f>IF(F64=0,0,G64/F64-1)</f>
        <v/>
      </c>
    </row>
    <row r="65">
      <c r="A65" s="9" t="inlineStr">
        <is>
          <t>1000.0000.2600.56220.040</t>
        </is>
      </c>
      <c r="B65" s="9" t="inlineStr">
        <is>
          <t>Electricity</t>
        </is>
      </c>
      <c r="C65" s="27" t="n">
        <v>30000</v>
      </c>
      <c r="D65" s="27" t="n">
        <v>30150.56</v>
      </c>
      <c r="E65" s="27" t="n">
        <v>30773</v>
      </c>
      <c r="F65" s="27" t="n">
        <v>23244.19</v>
      </c>
      <c r="G65" s="27" t="n">
        <v>30773</v>
      </c>
      <c r="H65" s="27">
        <f>G65-F65</f>
        <v/>
      </c>
      <c r="I65" s="11">
        <f>IF(F65=0,0,G65/F65-1)</f>
        <v/>
      </c>
    </row>
    <row r="66">
      <c r="A66" s="9" t="inlineStr">
        <is>
          <t>1000.0000.2600.56240.040</t>
        </is>
      </c>
      <c r="B66" s="9" t="inlineStr">
        <is>
          <t>Heating Fuel</t>
        </is>
      </c>
      <c r="C66" s="27" t="n">
        <v>31185</v>
      </c>
      <c r="D66" s="27" t="n">
        <v>37433.94</v>
      </c>
      <c r="E66" s="27" t="n">
        <v>30000</v>
      </c>
      <c r="F66" s="27" t="n">
        <v>24589.56</v>
      </c>
      <c r="G66" s="27" t="n">
        <v>37500</v>
      </c>
      <c r="H66" s="27">
        <f>G66-F66</f>
        <v/>
      </c>
      <c r="I66" s="11">
        <f>IF(F66=0,0,G66/F66-1)</f>
        <v/>
      </c>
    </row>
    <row r="67">
      <c r="A67" s="17" t="n"/>
      <c r="B67" s="31" t="inlineStr">
        <is>
          <t>Program 0000 Total</t>
        </is>
      </c>
      <c r="C67" s="32">
        <f>SUM(C55:C66)</f>
        <v/>
      </c>
      <c r="D67" s="32">
        <f>SUM(D55:D66)</f>
        <v/>
      </c>
      <c r="E67" s="32">
        <f>SUM(E55:E66)</f>
        <v/>
      </c>
      <c r="F67" s="32">
        <f>SUM(F55:F66)</f>
        <v/>
      </c>
      <c r="G67" s="32">
        <f>SUM(G55:G66)</f>
        <v/>
      </c>
      <c r="H67" s="32">
        <f>SUM(H55:H66)</f>
        <v/>
      </c>
      <c r="I67" s="32">
        <f>SUM(I55:I66)</f>
        <v/>
      </c>
    </row>
    <row r="68">
      <c r="A68" s="17" t="n"/>
      <c r="B68" s="20" t="inlineStr">
        <is>
          <t>Cost Center ('040',) Total</t>
        </is>
      </c>
      <c r="C68" s="35">
        <f>C67</f>
        <v/>
      </c>
      <c r="D68" s="35">
        <f>D67</f>
        <v/>
      </c>
      <c r="E68" s="35">
        <f>E67</f>
        <v/>
      </c>
      <c r="F68" s="35">
        <f>F67</f>
        <v/>
      </c>
      <c r="G68" s="35">
        <f>G67</f>
        <v/>
      </c>
      <c r="H68" s="35">
        <f>H67</f>
        <v/>
      </c>
      <c r="I68" s="35">
        <f>I67</f>
        <v/>
      </c>
    </row>
    <row r="70">
      <c r="A70" s="3" t="inlineStr">
        <is>
          <t>Cost Center: ('050',)</t>
        </is>
      </c>
    </row>
    <row r="71">
      <c r="A71" s="9" t="inlineStr">
        <is>
          <t>1000.0000.2600.51180.050</t>
        </is>
      </c>
      <c r="B71" s="9" t="inlineStr">
        <is>
          <t>Custodian Salaries</t>
        </is>
      </c>
      <c r="C71" s="27" t="n">
        <v>135587</v>
      </c>
      <c r="D71" s="27" t="n">
        <v>177421.45</v>
      </c>
      <c r="E71" s="27" t="n">
        <v>186999</v>
      </c>
      <c r="F71" s="27" t="n">
        <v>207259.58</v>
      </c>
      <c r="G71" s="27" t="n">
        <v>188837</v>
      </c>
      <c r="H71" s="27">
        <f>G71-F71</f>
        <v/>
      </c>
      <c r="I71" s="11">
        <f>IF(F71=0,0,G71/F71-1)</f>
        <v/>
      </c>
    </row>
    <row r="72">
      <c r="A72" s="9" t="inlineStr">
        <is>
          <t>1000.0000.2600.52080.050</t>
        </is>
      </c>
      <c r="B72" s="9" t="inlineStr">
        <is>
          <t>Custodian Benefits</t>
        </is>
      </c>
      <c r="C72" s="27" t="n">
        <v>86810</v>
      </c>
      <c r="D72" s="27" t="n">
        <v>84700.52</v>
      </c>
      <c r="E72" s="27" t="n">
        <v>94173</v>
      </c>
      <c r="F72" s="27" t="n">
        <v>99482.53</v>
      </c>
      <c r="G72" s="27" t="n">
        <v>83435</v>
      </c>
      <c r="H72" s="27">
        <f>G72-F72</f>
        <v/>
      </c>
      <c r="I72" s="11">
        <f>IF(F72=0,0,G72/F72-1)</f>
        <v/>
      </c>
    </row>
    <row r="73">
      <c r="A73" s="9" t="inlineStr">
        <is>
          <t>1000.0000.2600.54100.050</t>
        </is>
      </c>
      <c r="B73" s="9" t="inlineStr">
        <is>
          <t>Water/Sewage</t>
        </is>
      </c>
      <c r="C73" s="27" t="n">
        <v>7214</v>
      </c>
      <c r="D73" s="27" t="n">
        <v>10278.75</v>
      </c>
      <c r="E73" s="27" t="n">
        <v>9200</v>
      </c>
      <c r="F73" s="27" t="n">
        <v>11963.12</v>
      </c>
      <c r="G73" s="27" t="n">
        <v>10200</v>
      </c>
      <c r="H73" s="27">
        <f>G73-F73</f>
        <v/>
      </c>
      <c r="I73" s="11">
        <f>IF(F73=0,0,G73/F73-1)</f>
        <v/>
      </c>
    </row>
    <row r="74">
      <c r="A74" s="9" t="inlineStr">
        <is>
          <t>1000.0000.2600.54300.050</t>
        </is>
      </c>
      <c r="B74" s="9" t="inlineStr">
        <is>
          <t>Purchased Repair</t>
        </is>
      </c>
      <c r="C74" s="27" t="n">
        <v>49624</v>
      </c>
      <c r="D74" s="27" t="n">
        <v>47169.8</v>
      </c>
      <c r="E74" s="27" t="n">
        <v>51599</v>
      </c>
      <c r="F74" s="27" t="n">
        <v>52483.87</v>
      </c>
      <c r="G74" s="27" t="n">
        <v>52599</v>
      </c>
      <c r="H74" s="27">
        <f>G74-F74</f>
        <v/>
      </c>
      <c r="I74" s="11">
        <f>IF(F74=0,0,G74/F74-1)</f>
        <v/>
      </c>
    </row>
    <row r="75">
      <c r="A75" s="9" t="inlineStr">
        <is>
          <t>1000.0000.2600.55200.050</t>
        </is>
      </c>
      <c r="B75" s="9" t="inlineStr">
        <is>
          <t>Insurance</t>
        </is>
      </c>
      <c r="C75" s="27" t="n">
        <v>9312</v>
      </c>
      <c r="D75" s="27" t="n">
        <v>10327.93</v>
      </c>
      <c r="E75" s="27" t="n">
        <v>11567</v>
      </c>
      <c r="F75" s="27" t="n">
        <v>11125.1</v>
      </c>
      <c r="G75" s="27" t="n">
        <v>13418</v>
      </c>
      <c r="H75" s="27">
        <f>G75-F75</f>
        <v/>
      </c>
      <c r="I75" s="11">
        <f>IF(F75=0,0,G75/F75-1)</f>
        <v/>
      </c>
    </row>
    <row r="76">
      <c r="A76" s="9" t="inlineStr">
        <is>
          <t>1000.0000.2600.55320.050</t>
        </is>
      </c>
      <c r="B76" s="9" t="inlineStr">
        <is>
          <t>Telephone</t>
        </is>
      </c>
      <c r="C76" s="27" t="n">
        <v>3950</v>
      </c>
      <c r="D76" s="27" t="n">
        <v>6405.19</v>
      </c>
      <c r="E76" s="27" t="n">
        <v>3950</v>
      </c>
      <c r="F76" s="27" t="n">
        <v>4206.42</v>
      </c>
      <c r="G76" s="27" t="n">
        <v>4200</v>
      </c>
      <c r="H76" s="27">
        <f>G76-F76</f>
        <v/>
      </c>
      <c r="I76" s="11">
        <f>IF(F76=0,0,G76/F76-1)</f>
        <v/>
      </c>
    </row>
    <row r="77">
      <c r="A77" s="9" t="inlineStr">
        <is>
          <t>1000.0000.2600.56000.050</t>
        </is>
      </c>
      <c r="B77" s="9" t="inlineStr">
        <is>
          <t>Supplies</t>
        </is>
      </c>
      <c r="C77" s="27" t="n">
        <v>16200</v>
      </c>
      <c r="D77" s="27" t="n">
        <v>18084.59</v>
      </c>
      <c r="E77" s="27" t="n">
        <v>20300</v>
      </c>
      <c r="F77" s="27" t="n">
        <v>13230.91</v>
      </c>
      <c r="G77" s="27" t="n">
        <v>20300</v>
      </c>
      <c r="H77" s="27">
        <f>G77-F77</f>
        <v/>
      </c>
      <c r="I77" s="11">
        <f>IF(F77=0,0,G77/F77-1)</f>
        <v/>
      </c>
    </row>
    <row r="78">
      <c r="A78" s="9" t="inlineStr">
        <is>
          <t>1000.0000.2600.56011.050</t>
        </is>
      </c>
      <c r="B78" s="9" t="inlineStr">
        <is>
          <t>Materials for Repair</t>
        </is>
      </c>
      <c r="C78" s="27" t="n">
        <v>5000</v>
      </c>
      <c r="D78" s="27" t="n">
        <v>5293.49</v>
      </c>
      <c r="E78" s="27" t="n">
        <v>5000</v>
      </c>
      <c r="F78" s="27" t="n">
        <v>5530.91</v>
      </c>
      <c r="G78" s="27" t="n">
        <v>5000</v>
      </c>
      <c r="H78" s="27">
        <f>G78-F78</f>
        <v/>
      </c>
      <c r="I78" s="11">
        <f>IF(F78=0,0,G78/F78-1)</f>
        <v/>
      </c>
    </row>
    <row r="79">
      <c r="A79" s="9" t="inlineStr">
        <is>
          <t>1000.0000.2600.56013.050</t>
        </is>
      </c>
      <c r="B79" s="9" t="inlineStr">
        <is>
          <t>Major Maintenance</t>
        </is>
      </c>
      <c r="C79" s="27" t="n">
        <v>10000</v>
      </c>
      <c r="D79" s="27" t="n">
        <v>477</v>
      </c>
      <c r="E79" s="27" t="n">
        <v>10000</v>
      </c>
      <c r="F79" s="27" t="n">
        <v>19635.78</v>
      </c>
      <c r="G79" s="27" t="n">
        <v>10200</v>
      </c>
      <c r="H79" s="27">
        <f>G79-F79</f>
        <v/>
      </c>
      <c r="I79" s="11">
        <f>IF(F79=0,0,G79/F79-1)</f>
        <v/>
      </c>
    </row>
    <row r="80">
      <c r="A80" s="9" t="inlineStr">
        <is>
          <t>1000.0000.2600.56220.050</t>
        </is>
      </c>
      <c r="B80" s="9" t="inlineStr">
        <is>
          <t>Electricity</t>
        </is>
      </c>
      <c r="C80" s="27" t="n">
        <v>44581</v>
      </c>
      <c r="D80" s="27" t="n">
        <v>30284.26</v>
      </c>
      <c r="E80" s="27" t="n">
        <v>37000</v>
      </c>
      <c r="F80" s="27" t="n">
        <v>33636.02</v>
      </c>
      <c r="G80" s="27" t="n">
        <v>37000</v>
      </c>
      <c r="H80" s="27">
        <f>G80-F80</f>
        <v/>
      </c>
      <c r="I80" s="11">
        <f>IF(F80=0,0,G80/F80-1)</f>
        <v/>
      </c>
    </row>
    <row r="81">
      <c r="A81" s="9" t="inlineStr">
        <is>
          <t>1000.0000.2600.56240.050</t>
        </is>
      </c>
      <c r="B81" s="9" t="inlineStr">
        <is>
          <t>Heating Fuel</t>
        </is>
      </c>
      <c r="C81" s="27" t="n">
        <v>36802</v>
      </c>
      <c r="D81" s="27" t="n">
        <v>48299.7</v>
      </c>
      <c r="E81" s="27" t="n">
        <v>36802</v>
      </c>
      <c r="F81" s="27" t="n">
        <v>29172.08</v>
      </c>
      <c r="G81" s="27" t="n">
        <v>48802</v>
      </c>
      <c r="H81" s="27">
        <f>G81-F81</f>
        <v/>
      </c>
      <c r="I81" s="11">
        <f>IF(F81=0,0,G81/F81-1)</f>
        <v/>
      </c>
    </row>
    <row r="82">
      <c r="A82" s="17" t="n"/>
      <c r="B82" s="31" t="inlineStr">
        <is>
          <t>Program 0000 Total</t>
        </is>
      </c>
      <c r="C82" s="32">
        <f>SUM(C71:C81)</f>
        <v/>
      </c>
      <c r="D82" s="32">
        <f>SUM(D71:D81)</f>
        <v/>
      </c>
      <c r="E82" s="32">
        <f>SUM(E71:E81)</f>
        <v/>
      </c>
      <c r="F82" s="32">
        <f>SUM(F71:F81)</f>
        <v/>
      </c>
      <c r="G82" s="32">
        <f>SUM(G71:G81)</f>
        <v/>
      </c>
      <c r="H82" s="32">
        <f>SUM(H71:H81)</f>
        <v/>
      </c>
      <c r="I82" s="32">
        <f>SUM(I71:I81)</f>
        <v/>
      </c>
    </row>
    <row r="83">
      <c r="A83" s="17" t="n"/>
      <c r="B83" s="20" t="inlineStr">
        <is>
          <t>Cost Center ('050',) Total</t>
        </is>
      </c>
      <c r="C83" s="35">
        <f>C82</f>
        <v/>
      </c>
      <c r="D83" s="35">
        <f>D82</f>
        <v/>
      </c>
      <c r="E83" s="35">
        <f>E82</f>
        <v/>
      </c>
      <c r="F83" s="35">
        <f>F82</f>
        <v/>
      </c>
      <c r="G83" s="35">
        <f>G82</f>
        <v/>
      </c>
      <c r="H83" s="35">
        <f>H82</f>
        <v/>
      </c>
      <c r="I83" s="35">
        <f>I82</f>
        <v/>
      </c>
    </row>
    <row r="85">
      <c r="A85" s="3" t="inlineStr">
        <is>
          <t>Cost Center: ('300',)</t>
        </is>
      </c>
    </row>
    <row r="86">
      <c r="A86" s="9" t="inlineStr">
        <is>
          <t>1000.0000.2600.51180.300</t>
        </is>
      </c>
      <c r="B86" s="9" t="inlineStr">
        <is>
          <t>Custodian Salaries</t>
        </is>
      </c>
      <c r="C86" s="27" t="n">
        <v>217811</v>
      </c>
      <c r="D86" s="27" t="n">
        <v>251935.71</v>
      </c>
      <c r="E86" s="27" t="n">
        <v>248066</v>
      </c>
      <c r="F86" s="27" t="n">
        <v>290708.72</v>
      </c>
      <c r="G86" s="27" t="n">
        <v>252883</v>
      </c>
      <c r="H86" s="27">
        <f>G86-F86</f>
        <v/>
      </c>
      <c r="I86" s="11">
        <f>IF(F86=0,0,G86/F86-1)</f>
        <v/>
      </c>
    </row>
    <row r="87">
      <c r="A87" s="9" t="inlineStr">
        <is>
          <t>1000.0000.2600.52080.300</t>
        </is>
      </c>
      <c r="B87" s="9" t="inlineStr">
        <is>
          <t>Custodian Benefits</t>
        </is>
      </c>
      <c r="C87" s="27" t="n">
        <v>128543</v>
      </c>
      <c r="D87" s="27" t="n">
        <v>97651.41</v>
      </c>
      <c r="E87" s="27" t="n">
        <v>94173</v>
      </c>
      <c r="F87" s="27" t="n">
        <v>114252.47</v>
      </c>
      <c r="G87" s="27" t="n">
        <v>112305</v>
      </c>
      <c r="H87" s="27">
        <f>G87-F87</f>
        <v/>
      </c>
      <c r="I87" s="11">
        <f>IF(F87=0,0,G87/F87-1)</f>
        <v/>
      </c>
    </row>
    <row r="88">
      <c r="A88" s="9" t="inlineStr">
        <is>
          <t>1000.0000.2600.53300.300</t>
        </is>
      </c>
      <c r="B88" s="9" t="inlineStr">
        <is>
          <t>Employee Training</t>
        </is>
      </c>
      <c r="C88" s="27" t="n">
        <v>125</v>
      </c>
      <c r="D88" s="27" t="n">
        <v>0</v>
      </c>
      <c r="E88" s="27" t="n">
        <v>125</v>
      </c>
      <c r="F88" s="27" t="n">
        <v>0</v>
      </c>
      <c r="G88" s="27" t="n">
        <v>125</v>
      </c>
      <c r="H88" s="27">
        <f>G88-F88</f>
        <v/>
      </c>
      <c r="I88" s="11">
        <f>IF(F88=0,0,G88/F88-1)</f>
        <v/>
      </c>
    </row>
    <row r="89">
      <c r="A89" s="9" t="inlineStr">
        <is>
          <t>1000.0000.2600.54100.300</t>
        </is>
      </c>
      <c r="B89" s="9" t="inlineStr">
        <is>
          <t>Water/Sewage</t>
        </is>
      </c>
      <c r="C89" s="27" t="n">
        <v>12175</v>
      </c>
      <c r="D89" s="27" t="n">
        <v>14245.14</v>
      </c>
      <c r="E89" s="27" t="n">
        <v>12175</v>
      </c>
      <c r="F89" s="27" t="n">
        <v>11650.09</v>
      </c>
      <c r="G89" s="27" t="n">
        <v>14250</v>
      </c>
      <c r="H89" s="27">
        <f>G89-F89</f>
        <v/>
      </c>
      <c r="I89" s="11">
        <f>IF(F89=0,0,G89/F89-1)</f>
        <v/>
      </c>
    </row>
    <row r="90">
      <c r="A90" s="9" t="inlineStr">
        <is>
          <t>1000.0000.2600.54300.300</t>
        </is>
      </c>
      <c r="B90" s="9" t="inlineStr">
        <is>
          <t>Purchased Repair</t>
        </is>
      </c>
      <c r="C90" s="27" t="n">
        <v>60190</v>
      </c>
      <c r="D90" s="27" t="n">
        <v>67080.11</v>
      </c>
      <c r="E90" s="27" t="n">
        <v>64782</v>
      </c>
      <c r="F90" s="27" t="n">
        <v>59612.54</v>
      </c>
      <c r="G90" s="27" t="n">
        <v>67982</v>
      </c>
      <c r="H90" s="27">
        <f>G90-F90</f>
        <v/>
      </c>
      <c r="I90" s="11">
        <f>IF(F90=0,0,G90/F90-1)</f>
        <v/>
      </c>
    </row>
    <row r="91">
      <c r="A91" s="9" t="inlineStr">
        <is>
          <t>1000.0000.2600.55200.300</t>
        </is>
      </c>
      <c r="B91" s="9" t="inlineStr">
        <is>
          <t>Insurance</t>
        </is>
      </c>
      <c r="C91" s="27" t="n">
        <v>10927</v>
      </c>
      <c r="D91" s="27" t="n">
        <v>12132.31</v>
      </c>
      <c r="E91" s="27" t="n">
        <v>13573</v>
      </c>
      <c r="F91" s="27" t="n">
        <v>13350.12</v>
      </c>
      <c r="G91" s="27" t="n">
        <v>15486</v>
      </c>
      <c r="H91" s="27">
        <f>G91-F91</f>
        <v/>
      </c>
      <c r="I91" s="11">
        <f>IF(F91=0,0,G91/F91-1)</f>
        <v/>
      </c>
    </row>
    <row r="92">
      <c r="A92" s="9" t="inlineStr">
        <is>
          <t>1000.0000.2600.55320.300</t>
        </is>
      </c>
      <c r="B92" s="9" t="inlineStr">
        <is>
          <t>Telephone</t>
        </is>
      </c>
      <c r="C92" s="27" t="n">
        <v>5550</v>
      </c>
      <c r="D92" s="27" t="n">
        <v>8314.309999999999</v>
      </c>
      <c r="E92" s="27" t="n">
        <v>6000</v>
      </c>
      <c r="F92" s="27" t="n">
        <v>5095.21</v>
      </c>
      <c r="G92" s="27" t="n">
        <v>8300</v>
      </c>
      <c r="H92" s="27">
        <f>G92-F92</f>
        <v/>
      </c>
      <c r="I92" s="11">
        <f>IF(F92=0,0,G92/F92-1)</f>
        <v/>
      </c>
    </row>
    <row r="93">
      <c r="A93" s="9" t="inlineStr">
        <is>
          <t>1000.0000.2600.56000.300</t>
        </is>
      </c>
      <c r="B93" s="9" t="inlineStr">
        <is>
          <t>Supplies</t>
        </is>
      </c>
      <c r="C93" s="27" t="n">
        <v>27000</v>
      </c>
      <c r="D93" s="27" t="n">
        <v>42821.46</v>
      </c>
      <c r="E93" s="27" t="n">
        <v>34000</v>
      </c>
      <c r="F93" s="27" t="n">
        <v>33860.33</v>
      </c>
      <c r="G93" s="27" t="n">
        <v>36000</v>
      </c>
      <c r="H93" s="27">
        <f>G93-F93</f>
        <v/>
      </c>
      <c r="I93" s="11">
        <f>IF(F93=0,0,G93/F93-1)</f>
        <v/>
      </c>
    </row>
    <row r="94">
      <c r="A94" s="9" t="inlineStr">
        <is>
          <t>1000.0000.2600.56011.300</t>
        </is>
      </c>
      <c r="B94" s="9" t="inlineStr">
        <is>
          <t>Materials for Repair</t>
        </is>
      </c>
      <c r="C94" s="27" t="n">
        <v>7000</v>
      </c>
      <c r="D94" s="27" t="n">
        <v>6360.28</v>
      </c>
      <c r="E94" s="27" t="n">
        <v>7000</v>
      </c>
      <c r="F94" s="27" t="n">
        <v>5918.71</v>
      </c>
      <c r="G94" s="27" t="n">
        <v>7000</v>
      </c>
      <c r="H94" s="27">
        <f>G94-F94</f>
        <v/>
      </c>
      <c r="I94" s="11">
        <f>IF(F94=0,0,G94/F94-1)</f>
        <v/>
      </c>
    </row>
    <row r="95">
      <c r="A95" s="9" t="inlineStr">
        <is>
          <t>1000.0000.2600.56013.300</t>
        </is>
      </c>
      <c r="B95" s="9" t="inlineStr">
        <is>
          <t>Major Maintenance</t>
        </is>
      </c>
      <c r="C95" s="27" t="n">
        <v>11600</v>
      </c>
      <c r="D95" s="27" t="n">
        <v>45039.55</v>
      </c>
      <c r="E95" s="27" t="n">
        <v>11600</v>
      </c>
      <c r="F95" s="27" t="n">
        <v>1802.5</v>
      </c>
      <c r="G95" s="27" t="n">
        <v>11600</v>
      </c>
      <c r="H95" s="27">
        <f>G95-F95</f>
        <v/>
      </c>
      <c r="I95" s="11">
        <f>IF(F95=0,0,G95/F95-1)</f>
        <v/>
      </c>
    </row>
    <row r="96">
      <c r="A96" s="9" t="inlineStr">
        <is>
          <t>1000.0000.2600.56220.300</t>
        </is>
      </c>
      <c r="B96" s="9" t="inlineStr">
        <is>
          <t>Electricity</t>
        </is>
      </c>
      <c r="C96" s="27" t="n">
        <v>70390</v>
      </c>
      <c r="D96" s="27" t="n">
        <v>53560.44</v>
      </c>
      <c r="E96" s="27" t="n">
        <v>70390</v>
      </c>
      <c r="F96" s="27" t="n">
        <v>58541.32</v>
      </c>
      <c r="G96" s="27" t="n">
        <v>70390</v>
      </c>
      <c r="H96" s="27">
        <f>G96-F96</f>
        <v/>
      </c>
      <c r="I96" s="11">
        <f>IF(F96=0,0,G96/F96-1)</f>
        <v/>
      </c>
    </row>
    <row r="97">
      <c r="A97" s="9" t="inlineStr">
        <is>
          <t>1000.0000.2600.56240.300</t>
        </is>
      </c>
      <c r="B97" s="9" t="inlineStr">
        <is>
          <t>Heating Fuel</t>
        </is>
      </c>
      <c r="C97" s="27" t="n">
        <v>72011</v>
      </c>
      <c r="D97" s="27" t="n">
        <v>89751.44</v>
      </c>
      <c r="E97" s="27" t="n">
        <v>68011</v>
      </c>
      <c r="F97" s="27" t="n">
        <v>55844.9</v>
      </c>
      <c r="G97" s="27" t="n">
        <v>90000</v>
      </c>
      <c r="H97" s="27">
        <f>G97-F97</f>
        <v/>
      </c>
      <c r="I97" s="11">
        <f>IF(F97=0,0,G97/F97-1)</f>
        <v/>
      </c>
    </row>
    <row r="98">
      <c r="A98" s="17" t="n"/>
      <c r="B98" s="31" t="inlineStr">
        <is>
          <t>Program 0000 Total</t>
        </is>
      </c>
      <c r="C98" s="32">
        <f>SUM(C86:C97)</f>
        <v/>
      </c>
      <c r="D98" s="32">
        <f>SUM(D86:D97)</f>
        <v/>
      </c>
      <c r="E98" s="32">
        <f>SUM(E86:E97)</f>
        <v/>
      </c>
      <c r="F98" s="32">
        <f>SUM(F86:F97)</f>
        <v/>
      </c>
      <c r="G98" s="32">
        <f>SUM(G86:G97)</f>
        <v/>
      </c>
      <c r="H98" s="32">
        <f>SUM(H86:H97)</f>
        <v/>
      </c>
      <c r="I98" s="32">
        <f>SUM(I86:I97)</f>
        <v/>
      </c>
    </row>
    <row r="99">
      <c r="A99" s="9" t="inlineStr">
        <is>
          <t>1000.0000.2680.58310.300</t>
        </is>
      </c>
      <c r="B99" s="9" t="inlineStr">
        <is>
          <t>Principal-High School Renovation</t>
        </is>
      </c>
      <c r="C99" s="27" t="n">
        <v>905000</v>
      </c>
      <c r="D99" s="27" t="n">
        <v>904960.3</v>
      </c>
      <c r="E99" s="27" t="n">
        <v>905000</v>
      </c>
      <c r="F99" s="27" t="n">
        <v>905000</v>
      </c>
      <c r="G99" s="27" t="n">
        <v>905000</v>
      </c>
      <c r="H99" s="27">
        <f>G99-F99</f>
        <v/>
      </c>
      <c r="I99" s="11">
        <f>IF(F99=0,0,G99/F99-1)</f>
        <v/>
      </c>
    </row>
    <row r="100">
      <c r="A100" s="9" t="inlineStr">
        <is>
          <t>1000.0000.2680.58320.300</t>
        </is>
      </c>
      <c r="B100" s="9" t="inlineStr">
        <is>
          <t>Interest-High School Renovation</t>
        </is>
      </c>
      <c r="C100" s="27" t="n">
        <v>507225</v>
      </c>
      <c r="D100" s="27" t="n">
        <v>507264.69</v>
      </c>
      <c r="E100" s="27" t="n">
        <v>461975</v>
      </c>
      <c r="F100" s="27" t="n">
        <v>461975.01</v>
      </c>
      <c r="G100" s="27" t="n">
        <v>416725</v>
      </c>
      <c r="H100" s="27">
        <f>G100-F100</f>
        <v/>
      </c>
      <c r="I100" s="11">
        <f>IF(F100=0,0,G100/F100-1)</f>
        <v/>
      </c>
    </row>
    <row r="101">
      <c r="A101" s="17" t="n"/>
      <c r="B101" s="31" t="inlineStr">
        <is>
          <t>Program 0000 Total</t>
        </is>
      </c>
      <c r="C101" s="32">
        <f>SUM(C99:C100)</f>
        <v/>
      </c>
      <c r="D101" s="32">
        <f>SUM(D99:D100)</f>
        <v/>
      </c>
      <c r="E101" s="32">
        <f>SUM(E99:E100)</f>
        <v/>
      </c>
      <c r="F101" s="32">
        <f>SUM(F99:F100)</f>
        <v/>
      </c>
      <c r="G101" s="32">
        <f>SUM(G99:G100)</f>
        <v/>
      </c>
      <c r="H101" s="32">
        <f>SUM(H99:H100)</f>
        <v/>
      </c>
      <c r="I101" s="32">
        <f>SUM(I99:I100)</f>
        <v/>
      </c>
    </row>
    <row r="102">
      <c r="A102" s="17" t="n"/>
      <c r="B102" s="20" t="inlineStr">
        <is>
          <t>Cost Center ('300',) Total</t>
        </is>
      </c>
      <c r="C102" s="35">
        <f>C98+C101</f>
        <v/>
      </c>
      <c r="D102" s="35">
        <f>D98+D101</f>
        <v/>
      </c>
      <c r="E102" s="35">
        <f>E98+E101</f>
        <v/>
      </c>
      <c r="F102" s="35">
        <f>F98+F101</f>
        <v/>
      </c>
      <c r="G102" s="35">
        <f>G98+G101</f>
        <v/>
      </c>
      <c r="H102" s="35">
        <f>H98+H101</f>
        <v/>
      </c>
      <c r="I102" s="35">
        <f>I98+I101</f>
        <v/>
      </c>
    </row>
    <row r="104">
      <c r="A104" s="3" t="inlineStr">
        <is>
          <t>Cost Center: ('900',)</t>
        </is>
      </c>
    </row>
    <row r="105">
      <c r="A105" s="9" t="inlineStr">
        <is>
          <t>1000.0000.2600.54300.900</t>
        </is>
      </c>
      <c r="B105" s="9" t="inlineStr">
        <is>
          <t>Purchaed Repairs</t>
        </is>
      </c>
      <c r="C105" s="27" t="n">
        <v>0</v>
      </c>
      <c r="D105" s="27" t="n">
        <v>1086.53</v>
      </c>
      <c r="E105" s="27" t="n">
        <v>0</v>
      </c>
      <c r="F105" s="27" t="n">
        <v>1054.8</v>
      </c>
      <c r="G105" s="27" t="n">
        <v>0</v>
      </c>
      <c r="H105" s="27">
        <f>G105-F105</f>
        <v/>
      </c>
      <c r="I105" s="11">
        <f>IF(F105=0,0,G105/F105-1)</f>
        <v/>
      </c>
    </row>
    <row r="106">
      <c r="A106" s="9" t="inlineStr">
        <is>
          <t>1000.0000.2600.55000.900</t>
        </is>
      </c>
      <c r="B106" s="9" t="inlineStr">
        <is>
          <t>Other Purchased Services</t>
        </is>
      </c>
      <c r="C106" s="27" t="n">
        <v>0</v>
      </c>
      <c r="D106" s="27" t="n">
        <v>0</v>
      </c>
      <c r="E106" s="27" t="n">
        <v>5100</v>
      </c>
      <c r="F106" s="27" t="n">
        <v>5000</v>
      </c>
      <c r="G106" s="27" t="n">
        <v>0</v>
      </c>
      <c r="H106" s="27">
        <f>G106-F106</f>
        <v/>
      </c>
      <c r="I106" s="11">
        <f>IF(F106=0,0,G106/F106-1)</f>
        <v/>
      </c>
    </row>
    <row r="107">
      <c r="A107" s="9" t="inlineStr">
        <is>
          <t>1000.0000.2600.56000.900</t>
        </is>
      </c>
      <c r="B107" s="9" t="inlineStr">
        <is>
          <t>Supplies</t>
        </is>
      </c>
      <c r="C107" s="27" t="n">
        <v>0</v>
      </c>
      <c r="D107" s="27" t="n">
        <v>66.87</v>
      </c>
      <c r="E107" s="27" t="n">
        <v>0</v>
      </c>
      <c r="F107" s="27" t="n">
        <v>1849.42</v>
      </c>
      <c r="G107" s="27" t="n">
        <v>0</v>
      </c>
      <c r="H107" s="27">
        <f>G107-F107</f>
        <v/>
      </c>
      <c r="I107" s="11">
        <f>IF(F107=0,0,G107/F107-1)</f>
        <v/>
      </c>
    </row>
    <row r="108">
      <c r="A108" s="9" t="inlineStr">
        <is>
          <t>1000.0000.2600.56011.900</t>
        </is>
      </c>
      <c r="B108" s="9" t="inlineStr">
        <is>
          <t>Materials for Repair</t>
        </is>
      </c>
      <c r="C108" s="27" t="n">
        <v>0</v>
      </c>
      <c r="D108" s="27" t="n">
        <v>0</v>
      </c>
      <c r="E108" s="27" t="n">
        <v>0</v>
      </c>
      <c r="F108" s="27" t="n">
        <v>400</v>
      </c>
      <c r="G108" s="27" t="n">
        <v>0</v>
      </c>
      <c r="H108" s="27">
        <f>G108-F108</f>
        <v/>
      </c>
      <c r="I108" s="11">
        <f>IF(F108=0,0,G108/F108-1)</f>
        <v/>
      </c>
    </row>
    <row r="109">
      <c r="A109" s="17" t="n"/>
      <c r="B109" s="31" t="inlineStr">
        <is>
          <t>Program 0000 Total</t>
        </is>
      </c>
      <c r="C109" s="32">
        <f>SUM(C105:C108)</f>
        <v/>
      </c>
      <c r="D109" s="32">
        <f>SUM(D105:D108)</f>
        <v/>
      </c>
      <c r="E109" s="32">
        <f>SUM(E105:E108)</f>
        <v/>
      </c>
      <c r="F109" s="32">
        <f>SUM(F105:F108)</f>
        <v/>
      </c>
      <c r="G109" s="32">
        <f>SUM(G105:G108)</f>
        <v/>
      </c>
      <c r="H109" s="32">
        <f>SUM(H105:H108)</f>
        <v/>
      </c>
      <c r="I109" s="32">
        <f>SUM(I105:I108)</f>
        <v/>
      </c>
    </row>
    <row r="110">
      <c r="A110" s="9" t="inlineStr">
        <is>
          <t>1000.0000.2620.51180.900</t>
        </is>
      </c>
      <c r="B110" s="9" t="inlineStr">
        <is>
          <t>Salaries</t>
        </is>
      </c>
      <c r="C110" s="27" t="n">
        <v>209928</v>
      </c>
      <c r="D110" s="27" t="n">
        <v>248678.63</v>
      </c>
      <c r="E110" s="27" t="n">
        <v>218357</v>
      </c>
      <c r="F110" s="27" t="n">
        <v>301356.13</v>
      </c>
      <c r="G110" s="27" t="n">
        <v>255062</v>
      </c>
      <c r="H110" s="27">
        <f>G110-F110</f>
        <v/>
      </c>
      <c r="I110" s="11">
        <f>IF(F110=0,0,G110/F110-1)</f>
        <v/>
      </c>
    </row>
    <row r="111">
      <c r="A111" s="9" t="inlineStr">
        <is>
          <t>1000.0000.2620.52080.900</t>
        </is>
      </c>
      <c r="B111" s="9" t="inlineStr">
        <is>
          <t>Benefits</t>
        </is>
      </c>
      <c r="C111" s="27" t="n">
        <v>115194</v>
      </c>
      <c r="D111" s="27" t="n">
        <v>100558.11</v>
      </c>
      <c r="E111" s="27" t="n">
        <v>114997</v>
      </c>
      <c r="F111" s="27" t="n">
        <v>131509.62</v>
      </c>
      <c r="G111" s="27" t="n">
        <v>158256</v>
      </c>
      <c r="H111" s="27">
        <f>G111-F111</f>
        <v/>
      </c>
      <c r="I111" s="11">
        <f>IF(F111=0,0,G111/F111-1)</f>
        <v/>
      </c>
    </row>
    <row r="112">
      <c r="A112" s="9" t="inlineStr">
        <is>
          <t>1000.0000.2620.53000.900</t>
        </is>
      </c>
      <c r="B112" s="9" t="inlineStr">
        <is>
          <t>Purchased Professional</t>
        </is>
      </c>
      <c r="C112" s="27" t="n">
        <v>3940</v>
      </c>
      <c r="D112" s="27" t="n">
        <v>37774.21</v>
      </c>
      <c r="E112" s="27" t="n">
        <v>3940</v>
      </c>
      <c r="F112" s="27" t="n">
        <v>15658.69</v>
      </c>
      <c r="G112" s="27" t="n">
        <v>5140</v>
      </c>
      <c r="H112" s="27">
        <f>G112-F112</f>
        <v/>
      </c>
      <c r="I112" s="11">
        <f>IF(F112=0,0,G112/F112-1)</f>
        <v/>
      </c>
    </row>
    <row r="113">
      <c r="A113" s="9" t="inlineStr">
        <is>
          <t>1000.0000.2620.54300.900</t>
        </is>
      </c>
      <c r="B113" s="9" t="inlineStr">
        <is>
          <t>Purchased Repair</t>
        </is>
      </c>
      <c r="C113" s="27" t="n">
        <v>14450</v>
      </c>
      <c r="D113" s="27" t="n">
        <v>5127.91</v>
      </c>
      <c r="E113" s="27" t="n">
        <v>33750</v>
      </c>
      <c r="F113" s="27" t="n">
        <v>35399.78</v>
      </c>
      <c r="G113" s="27" t="n">
        <v>37550</v>
      </c>
      <c r="H113" s="27">
        <f>G113-F113</f>
        <v/>
      </c>
      <c r="I113" s="11">
        <f>IF(F113=0,0,G113/F113-1)</f>
        <v/>
      </c>
    </row>
    <row r="114">
      <c r="A114" s="9" t="inlineStr">
        <is>
          <t>1000.0000.2620.55800.900</t>
        </is>
      </c>
      <c r="B114" s="9" t="inlineStr">
        <is>
          <t>Travel</t>
        </is>
      </c>
      <c r="C114" s="27" t="n">
        <v>8050</v>
      </c>
      <c r="D114" s="27" t="n">
        <v>5738.22</v>
      </c>
      <c r="E114" s="27" t="n">
        <v>8050</v>
      </c>
      <c r="F114" s="27" t="n">
        <v>4849.64</v>
      </c>
      <c r="G114" s="27" t="n">
        <v>8050</v>
      </c>
      <c r="H114" s="27">
        <f>G114-F114</f>
        <v/>
      </c>
      <c r="I114" s="11">
        <f>IF(F114=0,0,G114/F114-1)</f>
        <v/>
      </c>
    </row>
    <row r="115">
      <c r="A115" s="9" t="inlineStr">
        <is>
          <t>1000.0000.2620.56000.900</t>
        </is>
      </c>
      <c r="B115" s="9" t="inlineStr">
        <is>
          <t>Supplies</t>
        </is>
      </c>
      <c r="C115" s="27" t="n">
        <v>42439</v>
      </c>
      <c r="D115" s="27" t="n">
        <v>52489.14</v>
      </c>
      <c r="E115" s="27" t="n">
        <v>43581</v>
      </c>
      <c r="F115" s="27" t="n">
        <v>45065.62</v>
      </c>
      <c r="G115" s="27" t="n">
        <v>45081</v>
      </c>
      <c r="H115" s="27">
        <f>G115-F115</f>
        <v/>
      </c>
      <c r="I115" s="11">
        <f>IF(F115=0,0,G115/F115-1)</f>
        <v/>
      </c>
    </row>
    <row r="116">
      <c r="A116" s="9" t="inlineStr">
        <is>
          <t>1000.0000.2620.57300.900</t>
        </is>
      </c>
      <c r="B116" s="9" t="inlineStr">
        <is>
          <t>Equipment</t>
        </is>
      </c>
      <c r="C116" s="27" t="n">
        <v>7216</v>
      </c>
      <c r="D116" s="27" t="n">
        <v>6290.21</v>
      </c>
      <c r="E116" s="27" t="n">
        <v>7216</v>
      </c>
      <c r="F116" s="27" t="n">
        <v>1557.7</v>
      </c>
      <c r="G116" s="27" t="n">
        <v>9066</v>
      </c>
      <c r="H116" s="27">
        <f>G116-F116</f>
        <v/>
      </c>
      <c r="I116" s="11">
        <f>IF(F116=0,0,G116/F116-1)</f>
        <v/>
      </c>
    </row>
    <row r="117">
      <c r="A117" s="17" t="n"/>
      <c r="B117" s="31" t="inlineStr">
        <is>
          <t>Program 0000 Total</t>
        </is>
      </c>
      <c r="C117" s="32">
        <f>SUM(C110:C116)</f>
        <v/>
      </c>
      <c r="D117" s="32">
        <f>SUM(D110:D116)</f>
        <v/>
      </c>
      <c r="E117" s="32">
        <f>SUM(E110:E116)</f>
        <v/>
      </c>
      <c r="F117" s="32">
        <f>SUM(F110:F116)</f>
        <v/>
      </c>
      <c r="G117" s="32">
        <f>SUM(G110:G116)</f>
        <v/>
      </c>
      <c r="H117" s="32">
        <f>SUM(H110:H116)</f>
        <v/>
      </c>
      <c r="I117" s="32">
        <f>SUM(I110:I116)</f>
        <v/>
      </c>
    </row>
    <row r="118">
      <c r="A118" s="9" t="inlineStr">
        <is>
          <t>1000.0000.2680.58310.900</t>
        </is>
      </c>
      <c r="B118" s="9" t="inlineStr">
        <is>
          <t>Prinicpal-Central Office Purchase</t>
        </is>
      </c>
      <c r="C118" s="27" t="n">
        <v>12500</v>
      </c>
      <c r="D118" s="27" t="n">
        <v>12500</v>
      </c>
      <c r="E118" s="27" t="n">
        <v>12500</v>
      </c>
      <c r="F118" s="27" t="n">
        <v>12500</v>
      </c>
      <c r="G118" s="27" t="n">
        <v>11250</v>
      </c>
      <c r="H118" s="27">
        <f>G118-F118</f>
        <v/>
      </c>
      <c r="I118" s="11">
        <f>IF(F118=0,0,G118/F118-1)</f>
        <v/>
      </c>
    </row>
    <row r="119">
      <c r="A119" s="9" t="inlineStr">
        <is>
          <t>1000.0000.2680.58320.900</t>
        </is>
      </c>
      <c r="B119" s="9" t="inlineStr">
        <is>
          <t>Interest-Central Office Purchase</t>
        </is>
      </c>
      <c r="C119" s="27" t="n">
        <v>2063</v>
      </c>
      <c r="D119" s="27" t="n">
        <v>2062.5</v>
      </c>
      <c r="E119" s="27" t="n">
        <v>1438</v>
      </c>
      <c r="F119" s="27" t="n">
        <v>1437.5</v>
      </c>
      <c r="G119" s="27" t="n">
        <v>844</v>
      </c>
      <c r="H119" s="27">
        <f>G119-F119</f>
        <v/>
      </c>
      <c r="I119" s="11">
        <f>IF(F119=0,0,G119/F119-1)</f>
        <v/>
      </c>
    </row>
    <row r="120">
      <c r="A120" s="17" t="n"/>
      <c r="B120" s="31" t="inlineStr">
        <is>
          <t>Program 0000 Total</t>
        </is>
      </c>
      <c r="C120" s="32">
        <f>SUM(C118:C119)</f>
        <v/>
      </c>
      <c r="D120" s="32">
        <f>SUM(D118:D119)</f>
        <v/>
      </c>
      <c r="E120" s="32">
        <f>SUM(E118:E119)</f>
        <v/>
      </c>
      <c r="F120" s="32">
        <f>SUM(F118:F119)</f>
        <v/>
      </c>
      <c r="G120" s="32">
        <f>SUM(G118:G119)</f>
        <v/>
      </c>
      <c r="H120" s="32">
        <f>SUM(H118:H119)</f>
        <v/>
      </c>
      <c r="I120" s="32">
        <f>SUM(I118:I119)</f>
        <v/>
      </c>
    </row>
    <row r="121">
      <c r="A121" s="9" t="inlineStr">
        <is>
          <t>1000.0000.2690.54300.900</t>
        </is>
      </c>
      <c r="B121" s="9" t="inlineStr">
        <is>
          <t>Capital Renewal/Track Replacement</t>
        </is>
      </c>
      <c r="C121" s="27" t="n">
        <v>35000</v>
      </c>
      <c r="D121" s="27" t="n">
        <v>0</v>
      </c>
      <c r="E121" s="27" t="n">
        <v>35000</v>
      </c>
      <c r="F121" s="27" t="n">
        <v>70000</v>
      </c>
      <c r="G121" s="27" t="n">
        <v>35000</v>
      </c>
      <c r="H121" s="27">
        <f>G121-F121</f>
        <v/>
      </c>
      <c r="I121" s="11">
        <f>IF(F121=0,0,G121/F121-1)</f>
        <v/>
      </c>
    </row>
    <row r="122">
      <c r="A122" s="9" t="inlineStr">
        <is>
          <t>1000.0000.2690.54500.900</t>
        </is>
      </c>
      <c r="B122" s="9" t="inlineStr">
        <is>
          <t>Capital Renewal/Tennis Courts Replacement</t>
        </is>
      </c>
      <c r="C122" s="27" t="n">
        <v>0</v>
      </c>
      <c r="D122" s="27" t="n">
        <v>0</v>
      </c>
      <c r="E122" s="27" t="n">
        <v>0</v>
      </c>
      <c r="F122" s="27" t="n">
        <v>0</v>
      </c>
      <c r="G122" s="27" t="n">
        <v>0</v>
      </c>
      <c r="H122" s="27">
        <f>G122-F122</f>
        <v/>
      </c>
      <c r="I122" s="11">
        <f>IF(F122=0,0,G122/F122-1)</f>
        <v/>
      </c>
    </row>
    <row r="123">
      <c r="A123" s="9" t="inlineStr">
        <is>
          <t>1000.0000.2690.58310.900</t>
        </is>
      </c>
      <c r="B123" s="9" t="inlineStr">
        <is>
          <t>Capital Improvements</t>
        </is>
      </c>
      <c r="C123" s="27" t="n">
        <v>435000</v>
      </c>
      <c r="D123" s="27" t="n">
        <v>439452.93</v>
      </c>
      <c r="E123" s="27" t="n">
        <v>400000</v>
      </c>
      <c r="F123" s="27" t="n">
        <v>350314.73</v>
      </c>
      <c r="G123" s="27" t="n">
        <v>400000</v>
      </c>
      <c r="H123" s="27">
        <f>G123-F123</f>
        <v/>
      </c>
      <c r="I123" s="11">
        <f>IF(F123=0,0,G123/F123-1)</f>
        <v/>
      </c>
    </row>
    <row r="124">
      <c r="A124" s="17" t="n"/>
      <c r="B124" s="31" t="inlineStr">
        <is>
          <t>Program 0000 Total</t>
        </is>
      </c>
      <c r="C124" s="32">
        <f>SUM(C121:C123)</f>
        <v/>
      </c>
      <c r="D124" s="32">
        <f>SUM(D121:D123)</f>
        <v/>
      </c>
      <c r="E124" s="32">
        <f>SUM(E121:E123)</f>
        <v/>
      </c>
      <c r="F124" s="32">
        <f>SUM(F121:F123)</f>
        <v/>
      </c>
      <c r="G124" s="32">
        <f>SUM(G121:G123)</f>
        <v/>
      </c>
      <c r="H124" s="32">
        <f>SUM(H121:H123)</f>
        <v/>
      </c>
      <c r="I124" s="32">
        <f>SUM(I121:I123)</f>
        <v/>
      </c>
    </row>
    <row r="125">
      <c r="A125" s="17" t="n"/>
      <c r="B125" s="20" t="inlineStr">
        <is>
          <t>Cost Center ('900',) Total</t>
        </is>
      </c>
      <c r="C125" s="35">
        <f>C109+C117+C120+C124</f>
        <v/>
      </c>
      <c r="D125" s="35">
        <f>D109+D117+D120+D124</f>
        <v/>
      </c>
      <c r="E125" s="35">
        <f>E109+E117+E120+E124</f>
        <v/>
      </c>
      <c r="F125" s="35">
        <f>F109+F117+F120+F124</f>
        <v/>
      </c>
      <c r="G125" s="35">
        <f>G109+G117+G120+G124</f>
        <v/>
      </c>
      <c r="H125" s="35">
        <f>H109+H117+H120+H124</f>
        <v/>
      </c>
      <c r="I125" s="35">
        <f>I109+I117+I120+I124</f>
        <v/>
      </c>
    </row>
    <row r="127">
      <c r="A127" s="3" t="inlineStr">
        <is>
          <t>Cost Center: ('941',)</t>
        </is>
      </c>
    </row>
    <row r="128">
      <c r="A128" s="9" t="inlineStr">
        <is>
          <t>1000.0000.2600.54100.941</t>
        </is>
      </c>
      <c r="B128" s="9" t="inlineStr">
        <is>
          <t>Water/Sewage</t>
        </is>
      </c>
      <c r="C128" s="27" t="n">
        <v>1300</v>
      </c>
      <c r="D128" s="27" t="n">
        <v>1061.26</v>
      </c>
      <c r="E128" s="27" t="n">
        <v>1300</v>
      </c>
      <c r="F128" s="27" t="n">
        <v>1082.6</v>
      </c>
      <c r="G128" s="27" t="n">
        <v>1300</v>
      </c>
      <c r="H128" s="27">
        <f>G128-F128</f>
        <v/>
      </c>
      <c r="I128" s="11">
        <f>IF(F128=0,0,G128/F128-1)</f>
        <v/>
      </c>
    </row>
    <row r="129">
      <c r="A129" s="9" t="inlineStr">
        <is>
          <t>1000.0000.2600.54300.941</t>
        </is>
      </c>
      <c r="B129" s="9" t="inlineStr">
        <is>
          <t>Purchaed Repairs</t>
        </is>
      </c>
      <c r="C129" s="27" t="n">
        <v>1500</v>
      </c>
      <c r="D129" s="27" t="n">
        <v>0</v>
      </c>
      <c r="E129" s="27" t="n">
        <v>1500</v>
      </c>
      <c r="F129" s="27" t="n">
        <v>0</v>
      </c>
      <c r="G129" s="27" t="n">
        <v>1500</v>
      </c>
      <c r="H129" s="27">
        <f>G129-F129</f>
        <v/>
      </c>
      <c r="I129" s="11">
        <f>IF(F129=0,0,G129/F129-1)</f>
        <v/>
      </c>
    </row>
    <row r="130">
      <c r="A130" s="9" t="inlineStr">
        <is>
          <t>1000.0000.2600.55320.941</t>
        </is>
      </c>
      <c r="B130" s="9" t="inlineStr">
        <is>
          <t>Telephone</t>
        </is>
      </c>
      <c r="C130" s="27" t="n">
        <v>6800</v>
      </c>
      <c r="D130" s="27" t="n">
        <v>6572.52</v>
      </c>
      <c r="E130" s="27" t="n">
        <v>6800</v>
      </c>
      <c r="F130" s="27" t="n">
        <v>5723.18</v>
      </c>
      <c r="G130" s="27" t="n">
        <v>6800</v>
      </c>
      <c r="H130" s="27">
        <f>G130-F130</f>
        <v/>
      </c>
      <c r="I130" s="11">
        <f>IF(F130=0,0,G130/F130-1)</f>
        <v/>
      </c>
    </row>
    <row r="131">
      <c r="A131" s="9" t="inlineStr">
        <is>
          <t>1000.0000.2600.56000.941</t>
        </is>
      </c>
      <c r="B131" s="9" t="inlineStr">
        <is>
          <t>Supplies</t>
        </is>
      </c>
      <c r="C131" s="27" t="n">
        <v>1500</v>
      </c>
      <c r="D131" s="27" t="n">
        <v>547.58</v>
      </c>
      <c r="E131" s="27" t="n">
        <v>1500</v>
      </c>
      <c r="F131" s="27" t="n">
        <v>0</v>
      </c>
      <c r="G131" s="27" t="n">
        <v>1500</v>
      </c>
      <c r="H131" s="27">
        <f>G131-F131</f>
        <v/>
      </c>
      <c r="I131" s="11">
        <f>IF(F131=0,0,G131/F131-1)</f>
        <v/>
      </c>
    </row>
    <row r="132">
      <c r="A132" s="9" t="inlineStr">
        <is>
          <t>1000.0000.2600.56011.941</t>
        </is>
      </c>
      <c r="B132" s="9" t="inlineStr">
        <is>
          <t>Materials for Repair</t>
        </is>
      </c>
      <c r="C132" s="27" t="n">
        <v>5000</v>
      </c>
      <c r="D132" s="27" t="n">
        <v>73.16</v>
      </c>
      <c r="E132" s="27" t="n">
        <v>5000</v>
      </c>
      <c r="F132" s="27" t="n">
        <v>7254.27</v>
      </c>
      <c r="G132" s="27" t="n">
        <v>3000</v>
      </c>
      <c r="H132" s="27">
        <f>G132-F132</f>
        <v/>
      </c>
      <c r="I132" s="11">
        <f>IF(F132=0,0,G132/F132-1)</f>
        <v/>
      </c>
    </row>
    <row r="133">
      <c r="A133" s="9" t="inlineStr">
        <is>
          <t>1000.0000.2600.56013.941</t>
        </is>
      </c>
      <c r="B133" s="9" t="inlineStr">
        <is>
          <t>Major Maintenance</t>
        </is>
      </c>
      <c r="C133" s="27" t="n">
        <v>5000</v>
      </c>
      <c r="D133" s="27" t="n">
        <v>0</v>
      </c>
      <c r="E133" s="27" t="n">
        <v>5000</v>
      </c>
      <c r="F133" s="27" t="n">
        <v>0</v>
      </c>
      <c r="G133" s="27" t="n">
        <v>9174</v>
      </c>
      <c r="H133" s="27">
        <f>G133-F133</f>
        <v/>
      </c>
      <c r="I133" s="11">
        <f>IF(F133=0,0,G133/F133-1)</f>
        <v/>
      </c>
    </row>
    <row r="134">
      <c r="A134" s="9" t="inlineStr">
        <is>
          <t>1000.0000.2600.56220.941</t>
        </is>
      </c>
      <c r="B134" s="9" t="inlineStr">
        <is>
          <t>Electricity</t>
        </is>
      </c>
      <c r="C134" s="27" t="n">
        <v>3000</v>
      </c>
      <c r="D134" s="27" t="n">
        <v>2894.89</v>
      </c>
      <c r="E134" s="27" t="n">
        <v>3000</v>
      </c>
      <c r="F134" s="27" t="n">
        <v>2652.57</v>
      </c>
      <c r="G134" s="27" t="n">
        <v>3000</v>
      </c>
      <c r="H134" s="27">
        <f>G134-F134</f>
        <v/>
      </c>
      <c r="I134" s="11">
        <f>IF(F134=0,0,G134/F134-1)</f>
        <v/>
      </c>
    </row>
    <row r="135">
      <c r="A135" s="9" t="inlineStr">
        <is>
          <t>1000.0000.2600.56240.941</t>
        </is>
      </c>
      <c r="B135" s="9" t="inlineStr">
        <is>
          <t>Heating Fuel</t>
        </is>
      </c>
      <c r="C135" s="27" t="n">
        <v>3183</v>
      </c>
      <c r="D135" s="27" t="n">
        <v>4431.29</v>
      </c>
      <c r="E135" s="27" t="n">
        <v>3600</v>
      </c>
      <c r="F135" s="27" t="n">
        <v>3064.69</v>
      </c>
      <c r="G135" s="27" t="n">
        <v>4500</v>
      </c>
      <c r="H135" s="27">
        <f>G135-F135</f>
        <v/>
      </c>
      <c r="I135" s="11">
        <f>IF(F135=0,0,G135/F135-1)</f>
        <v/>
      </c>
    </row>
    <row r="136">
      <c r="A136" s="17" t="n"/>
      <c r="B136" s="31" t="inlineStr">
        <is>
          <t>Program 0000 Total</t>
        </is>
      </c>
      <c r="C136" s="32">
        <f>SUM(C128:C135)</f>
        <v/>
      </c>
      <c r="D136" s="32">
        <f>SUM(D128:D135)</f>
        <v/>
      </c>
      <c r="E136" s="32">
        <f>SUM(E128:E135)</f>
        <v/>
      </c>
      <c r="F136" s="32">
        <f>SUM(F128:F135)</f>
        <v/>
      </c>
      <c r="G136" s="32">
        <f>SUM(G128:G135)</f>
        <v/>
      </c>
      <c r="H136" s="32">
        <f>SUM(H128:H135)</f>
        <v/>
      </c>
      <c r="I136" s="32">
        <f>SUM(I128:I135)</f>
        <v/>
      </c>
    </row>
    <row r="137">
      <c r="A137" s="17" t="n"/>
      <c r="B137" s="20" t="inlineStr">
        <is>
          <t>Cost Center ('941',) Total</t>
        </is>
      </c>
      <c r="C137" s="35">
        <f>C136</f>
        <v/>
      </c>
      <c r="D137" s="35">
        <f>D136</f>
        <v/>
      </c>
      <c r="E137" s="35">
        <f>E136</f>
        <v/>
      </c>
      <c r="F137" s="35">
        <f>F136</f>
        <v/>
      </c>
      <c r="G137" s="35">
        <f>G136</f>
        <v/>
      </c>
      <c r="H137" s="35">
        <f>H136</f>
        <v/>
      </c>
      <c r="I137" s="35">
        <f>I136</f>
        <v/>
      </c>
    </row>
    <row r="139">
      <c r="A139" s="17" t="n"/>
      <c r="B139" s="36" t="inlineStr">
        <is>
          <t>ARTICLE 9 TOTAL</t>
        </is>
      </c>
      <c r="C139" s="37">
        <f>C21+C37+C52+C68+C83+C102+C125+C137</f>
        <v/>
      </c>
      <c r="D139" s="37">
        <f>D21+D37+D52+D68+D83+D102+D125+D137</f>
        <v/>
      </c>
      <c r="E139" s="37">
        <f>E21+E37+E52+E68+E83+E102+E125+E137</f>
        <v/>
      </c>
      <c r="F139" s="37">
        <f>F21+F37+F52+F68+F83+F102+F125+F137</f>
        <v/>
      </c>
      <c r="G139" s="37">
        <f>G21+G37+G52+G68+G83+G102+G125+G137</f>
        <v/>
      </c>
      <c r="H139" s="37">
        <f>H21+H37+H52+H68+H83+H102+H125+H137</f>
        <v/>
      </c>
      <c r="I139" s="37">
        <f>I21+I37+I52+I68+I83+I102+I125+I137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4472C4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10 - Debt Service</t>
        </is>
      </c>
    </row>
    <row r="2">
      <c r="A2" s="16" t="inlineStr">
        <is>
          <t>Source: FY22 Proposed Budget, RSU 5</t>
        </is>
      </c>
    </row>
    <row r="3">
      <c r="A3" s="16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FY18 Actual</t>
        </is>
      </c>
      <c r="D5" s="8" t="inlineStr">
        <is>
          <t>FY19 Actual</t>
        </is>
      </c>
      <c r="E5" s="8" t="inlineStr">
        <is>
          <t>FY20 Actual</t>
        </is>
      </c>
      <c r="F5" s="8" t="inlineStr">
        <is>
          <t>FY21 Adopted</t>
        </is>
      </c>
      <c r="G5" s="8" t="inlineStr">
        <is>
          <t>FY22 Adopted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('900',)</t>
        </is>
      </c>
    </row>
    <row r="7">
      <c r="A7" s="9" t="inlineStr">
        <is>
          <t>1000.0000.5100.58310.900</t>
        </is>
      </c>
      <c r="B7" s="9" t="inlineStr">
        <is>
          <t>Principal Payments-State Supported Debt</t>
        </is>
      </c>
      <c r="C7" s="27" t="n">
        <v>1139734</v>
      </c>
      <c r="D7" s="27" t="n">
        <v>1139733.73</v>
      </c>
      <c r="E7" s="27" t="n">
        <v>1139734</v>
      </c>
      <c r="F7" s="27" t="n">
        <v>1139733.73</v>
      </c>
      <c r="G7" s="27" t="n">
        <v>1139734</v>
      </c>
      <c r="H7" s="27">
        <f>G7-F7</f>
        <v/>
      </c>
      <c r="I7" s="11">
        <f>IF(F7=0,0,G7/F7-1)</f>
        <v/>
      </c>
    </row>
    <row r="8">
      <c r="A8" s="9" t="inlineStr">
        <is>
          <t>1000.0000.5100.58320.900</t>
        </is>
      </c>
      <c r="B8" s="9" t="inlineStr">
        <is>
          <t>Interest Payments-Non Shared Debt</t>
        </is>
      </c>
      <c r="C8" s="27" t="n">
        <v>473415</v>
      </c>
      <c r="D8" s="27" t="n">
        <v>473414.59</v>
      </c>
      <c r="E8" s="27" t="n">
        <v>442022</v>
      </c>
      <c r="F8" s="27" t="n">
        <v>442022.08</v>
      </c>
      <c r="G8" s="27" t="n">
        <v>287513</v>
      </c>
      <c r="H8" s="27">
        <f>G8-F8</f>
        <v/>
      </c>
      <c r="I8" s="11">
        <f>IF(F8=0,0,G8/F8-1)</f>
        <v/>
      </c>
    </row>
    <row r="9">
      <c r="A9" s="17" t="n"/>
      <c r="B9" s="31" t="inlineStr">
        <is>
          <t>Program 0000 Total</t>
        </is>
      </c>
      <c r="C9" s="32">
        <f>SUM(C7:C8)</f>
        <v/>
      </c>
      <c r="D9" s="32">
        <f>SUM(D7:D8)</f>
        <v/>
      </c>
      <c r="E9" s="32">
        <f>SUM(E7:E8)</f>
        <v/>
      </c>
      <c r="F9" s="32">
        <f>SUM(F7:F8)</f>
        <v/>
      </c>
      <c r="G9" s="32">
        <f>SUM(G7:G8)</f>
        <v/>
      </c>
      <c r="H9" s="32">
        <f>SUM(H7:H8)</f>
        <v/>
      </c>
      <c r="I9" s="32">
        <f>SUM(I7:I8)</f>
        <v/>
      </c>
    </row>
    <row r="10">
      <c r="A10" s="17" t="n"/>
      <c r="B10" s="20" t="inlineStr">
        <is>
          <t>Cost Center ('900',) Total</t>
        </is>
      </c>
      <c r="C10" s="35">
        <f>C9</f>
        <v/>
      </c>
      <c r="D10" s="35">
        <f>D9</f>
        <v/>
      </c>
      <c r="E10" s="35">
        <f>E9</f>
        <v/>
      </c>
      <c r="F10" s="35">
        <f>F9</f>
        <v/>
      </c>
      <c r="G10" s="35">
        <f>G9</f>
        <v/>
      </c>
      <c r="H10" s="35">
        <f>H9</f>
        <v/>
      </c>
      <c r="I10" s="35">
        <f>I9</f>
        <v/>
      </c>
    </row>
    <row r="12">
      <c r="A12" s="17" t="n"/>
      <c r="B12" s="36" t="inlineStr">
        <is>
          <t>ARTICLE 10 TOTAL</t>
        </is>
      </c>
      <c r="C12" s="37">
        <f>C10</f>
        <v/>
      </c>
      <c r="D12" s="37">
        <f>D10</f>
        <v/>
      </c>
      <c r="E12" s="37">
        <f>E10</f>
        <v/>
      </c>
      <c r="F12" s="37">
        <f>F10</f>
        <v/>
      </c>
      <c r="G12" s="37">
        <f>G10</f>
        <v/>
      </c>
      <c r="H12" s="37">
        <f>H10</f>
        <v/>
      </c>
      <c r="I12" s="37">
        <f>I10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4472C4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11 - All Other Expenses</t>
        </is>
      </c>
    </row>
    <row r="2">
      <c r="A2" s="16" t="inlineStr">
        <is>
          <t>Source: FY22 Proposed Budget, RSU 5</t>
        </is>
      </c>
    </row>
    <row r="3">
      <c r="A3" s="16" t="inlineStr">
        <is>
          <t>Verification: UNRECONCILED -- see Summary tab</t>
        </is>
      </c>
    </row>
    <row r="5">
      <c r="A5" s="8" t="inlineStr">
        <is>
          <t>Account</t>
        </is>
      </c>
      <c r="B5" s="8" t="inlineStr">
        <is>
          <t>Description</t>
        </is>
      </c>
      <c r="C5" s="8" t="inlineStr">
        <is>
          <t>FY18 Actual</t>
        </is>
      </c>
      <c r="D5" s="8" t="inlineStr">
        <is>
          <t>FY19 Actual</t>
        </is>
      </c>
      <c r="E5" s="8" t="inlineStr">
        <is>
          <t>FY20 Actual</t>
        </is>
      </c>
      <c r="F5" s="8" t="inlineStr">
        <is>
          <t>FY21 Adopted</t>
        </is>
      </c>
      <c r="G5" s="8" t="inlineStr">
        <is>
          <t>FY22 Adopted</t>
        </is>
      </c>
      <c r="H5" s="8" t="inlineStr">
        <is>
          <t>$ Diff</t>
        </is>
      </c>
      <c r="I5" s="8" t="inlineStr">
        <is>
          <t>% Diff</t>
        </is>
      </c>
    </row>
    <row r="6">
      <c r="A6" s="3" t="inlineStr">
        <is>
          <t>Cost Center: ('900',)</t>
        </is>
      </c>
    </row>
    <row r="7">
      <c r="A7" s="9" t="inlineStr">
        <is>
          <t>1000.8600.0000.55900.900</t>
        </is>
      </c>
      <c r="B7" s="9" t="inlineStr">
        <is>
          <t>Crossing Guards</t>
        </is>
      </c>
      <c r="C7" s="27" t="n">
        <v>1400</v>
      </c>
      <c r="D7" s="27" t="n">
        <v>231</v>
      </c>
      <c r="E7" s="27" t="n">
        <v>1400</v>
      </c>
      <c r="F7" s="27" t="n">
        <v>0</v>
      </c>
      <c r="G7" s="27" t="n">
        <v>1400</v>
      </c>
      <c r="H7" s="27">
        <f>G7-F7</f>
        <v/>
      </c>
      <c r="I7" s="11">
        <f>IF(F7=0,0,G7/F7-1)</f>
        <v/>
      </c>
    </row>
    <row r="8">
      <c r="A8" s="9" t="inlineStr">
        <is>
          <t>1000.0000.3100.59100.900</t>
        </is>
      </c>
      <c r="B8" s="9" t="inlineStr">
        <is>
          <t>Fund Transfer Out</t>
        </is>
      </c>
      <c r="C8" s="27" t="n">
        <v>268245</v>
      </c>
      <c r="D8" s="27" t="n">
        <v>268245</v>
      </c>
      <c r="E8" s="27" t="n">
        <v>268245</v>
      </c>
      <c r="F8" s="27" t="n">
        <v>310225.68</v>
      </c>
      <c r="G8" s="27" t="n">
        <v>293245</v>
      </c>
      <c r="H8" s="27">
        <f>G8-F8</f>
        <v/>
      </c>
      <c r="I8" s="11">
        <f>IF(F8=0,0,G8/F8-1)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0AD47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0" customWidth="1" min="5" max="5"/>
    <col width="30" customWidth="1" min="6" max="6"/>
  </cols>
  <sheetData>
    <row r="1">
      <c r="A1" s="1" t="inlineStr">
        <is>
          <t>VERIFICATION: FY22 Budget Tie-Out</t>
        </is>
      </c>
    </row>
    <row r="3">
      <c r="A3" s="2" t="inlineStr">
        <is>
          <t>Compares parsed line-item totals against RSU stated figures.</t>
        </is>
      </c>
    </row>
    <row r="4">
      <c r="A4" s="2" t="inlineStr">
        <is>
          <t>A clean tie-out means our data matches the district's numbers exactly.</t>
        </is>
      </c>
    </row>
    <row r="6">
      <c r="A6" s="3" t="inlineStr">
        <is>
          <t>Per-Article Comparison</t>
        </is>
      </c>
    </row>
    <row r="7">
      <c r="A7" s="8" t="inlineStr">
        <is>
          <t>Article</t>
        </is>
      </c>
      <c r="B7" s="8" t="inlineStr">
        <is>
          <t>Parsed Total</t>
        </is>
      </c>
      <c r="C7" s="8" t="inlineStr">
        <is>
          <t>RSU Stated</t>
        </is>
      </c>
      <c r="D7" s="8" t="inlineStr">
        <is>
          <t>Difference</t>
        </is>
      </c>
      <c r="E7" s="8" t="inlineStr">
        <is>
          <t>Match?</t>
        </is>
      </c>
      <c r="F7" s="8" t="inlineStr">
        <is>
          <t>Notes</t>
        </is>
      </c>
    </row>
    <row r="8">
      <c r="A8" s="6" t="inlineStr">
        <is>
          <t>Art 1 - Regular Instruction</t>
        </is>
      </c>
      <c r="B8" s="7" t="n">
        <v>13378387</v>
      </c>
      <c r="C8" s="7" t="n">
        <v>15714380</v>
      </c>
      <c r="D8" s="38" t="n">
        <v>-2335993</v>
      </c>
      <c r="E8" s="39" t="inlineStr">
        <is>
          <t>NO</t>
        </is>
      </c>
      <c r="F8" s="5" t="inlineStr">
        <is>
          <t>-14.87% (-2,335,993)</t>
        </is>
      </c>
    </row>
    <row r="9">
      <c r="A9" s="6" t="inlineStr">
        <is>
          <t>Art 2 - Special Education</t>
        </is>
      </c>
      <c r="B9" s="7" t="n">
        <v>4606796</v>
      </c>
      <c r="C9" s="7" t="n">
        <v>4781323</v>
      </c>
      <c r="D9" s="38" t="n">
        <v>-174527</v>
      </c>
      <c r="E9" s="39" t="inlineStr">
        <is>
          <t>NO</t>
        </is>
      </c>
      <c r="F9" s="5" t="inlineStr">
        <is>
          <t>-3.65% (-174,527)</t>
        </is>
      </c>
    </row>
    <row r="10">
      <c r="A10" s="6" t="inlineStr">
        <is>
          <t>Art 3 - Career &amp; Technical Education</t>
        </is>
      </c>
      <c r="B10" s="7" t="n">
        <v>74492</v>
      </c>
      <c r="C10" s="7" t="n">
        <v>142979</v>
      </c>
      <c r="D10" s="38" t="n">
        <v>-68487</v>
      </c>
      <c r="E10" s="39" t="inlineStr">
        <is>
          <t>NO</t>
        </is>
      </c>
      <c r="F10" s="5" t="inlineStr">
        <is>
          <t>-47.90% (-68,487)</t>
        </is>
      </c>
    </row>
    <row r="11">
      <c r="A11" s="6" t="inlineStr">
        <is>
          <t>Art 4 - Other Instruction</t>
        </is>
      </c>
      <c r="B11" s="7" t="n">
        <v>753504</v>
      </c>
      <c r="C11" s="7" t="n">
        <v>1003698</v>
      </c>
      <c r="D11" s="38" t="n">
        <v>-250194</v>
      </c>
      <c r="E11" s="39" t="inlineStr">
        <is>
          <t>NO</t>
        </is>
      </c>
      <c r="F11" s="5" t="inlineStr">
        <is>
          <t>-24.93% (-250,194)</t>
        </is>
      </c>
    </row>
    <row r="12">
      <c r="A12" s="6" t="inlineStr">
        <is>
          <t>Art 5 - Student &amp; Staff Support</t>
        </is>
      </c>
      <c r="B12" s="7" t="n">
        <v>3436203</v>
      </c>
      <c r="C12" s="7" t="n">
        <v>3924025</v>
      </c>
      <c r="D12" s="38" t="n">
        <v>-487822</v>
      </c>
      <c r="E12" s="39" t="inlineStr">
        <is>
          <t>NO</t>
        </is>
      </c>
      <c r="F12" s="5" t="inlineStr">
        <is>
          <t>-12.43% (-487,822)</t>
        </is>
      </c>
    </row>
    <row r="13">
      <c r="A13" s="6" t="inlineStr">
        <is>
          <t>Art 6 - System Administration</t>
        </is>
      </c>
      <c r="B13" s="7" t="n">
        <v>928151</v>
      </c>
      <c r="C13" s="7" t="n">
        <v>1111990</v>
      </c>
      <c r="D13" s="38" t="n">
        <v>-183839</v>
      </c>
      <c r="E13" s="39" t="inlineStr">
        <is>
          <t>NO</t>
        </is>
      </c>
      <c r="F13" s="5" t="inlineStr">
        <is>
          <t>-16.53% (-183,839)</t>
        </is>
      </c>
    </row>
    <row r="14">
      <c r="A14" s="6" t="inlineStr">
        <is>
          <t>Art 7 - School Administration</t>
        </is>
      </c>
      <c r="B14" s="7" t="n">
        <v>1536593</v>
      </c>
      <c r="C14" s="7" t="n">
        <v>2127655</v>
      </c>
      <c r="D14" s="38" t="n">
        <v>-591062</v>
      </c>
      <c r="E14" s="39" t="inlineStr">
        <is>
          <t>NO</t>
        </is>
      </c>
      <c r="F14" s="5" t="inlineStr">
        <is>
          <t>-27.78% (-591,062)</t>
        </is>
      </c>
    </row>
    <row r="15">
      <c r="A15" s="6" t="inlineStr">
        <is>
          <t>Art 8 - Transportation &amp; Buses</t>
        </is>
      </c>
      <c r="B15" s="7" t="n">
        <v>1432489</v>
      </c>
      <c r="C15" s="7" t="n">
        <v>1527133</v>
      </c>
      <c r="D15" s="38" t="n">
        <v>-94644</v>
      </c>
      <c r="E15" s="39" t="inlineStr">
        <is>
          <t>NO</t>
        </is>
      </c>
      <c r="F15" s="5" t="inlineStr">
        <is>
          <t>-6.20% (-94,644)</t>
        </is>
      </c>
    </row>
    <row r="16">
      <c r="A16" s="6" t="inlineStr">
        <is>
          <t>Art 9 - Facilities &amp; Maintenance</t>
        </is>
      </c>
      <c r="B16" s="7" t="n">
        <v>4891383</v>
      </c>
      <c r="C16" s="7" t="n">
        <v>5050168</v>
      </c>
      <c r="D16" s="38" t="n">
        <v>-158785</v>
      </c>
      <c r="E16" s="39" t="inlineStr">
        <is>
          <t>NO</t>
        </is>
      </c>
      <c r="F16" s="5" t="inlineStr">
        <is>
          <t>-3.14% (-158,785)</t>
        </is>
      </c>
    </row>
    <row r="17">
      <c r="A17" s="6" t="inlineStr">
        <is>
          <t>Art 10 - Debt Service</t>
        </is>
      </c>
      <c r="B17" s="7" t="n">
        <v>1613149</v>
      </c>
      <c r="C17" s="7" t="n">
        <v>1148413</v>
      </c>
      <c r="D17" s="38" t="n">
        <v>464736</v>
      </c>
      <c r="E17" s="39" t="inlineStr">
        <is>
          <t>NO</t>
        </is>
      </c>
      <c r="F17" s="5" t="inlineStr">
        <is>
          <t>+40.47% (+464,736)</t>
        </is>
      </c>
    </row>
    <row r="18">
      <c r="A18" s="6" t="inlineStr">
        <is>
          <t>Art 11 - All Other Expenses</t>
        </is>
      </c>
      <c r="B18" s="7" t="n">
        <v>269645</v>
      </c>
      <c r="C18" s="7" t="n">
        <v>183100</v>
      </c>
      <c r="D18" s="38" t="n">
        <v>86545</v>
      </c>
      <c r="E18" s="39" t="inlineStr">
        <is>
          <t>NO</t>
        </is>
      </c>
      <c r="F18" s="5" t="inlineStr">
        <is>
          <t>+47.27% (+86,545)</t>
        </is>
      </c>
    </row>
    <row r="20">
      <c r="A20" s="12" t="inlineStr">
        <is>
          <t>TOTAL</t>
        </is>
      </c>
      <c r="B20" s="40" t="n">
        <v>32920792</v>
      </c>
      <c r="C20" s="40" t="n">
        <v>36714864</v>
      </c>
      <c r="D20" s="41" t="n">
        <v>-3794072</v>
      </c>
      <c r="E20" s="42" t="inlineStr">
        <is>
          <t>NO</t>
        </is>
      </c>
      <c r="F20" s="5" t="inlineStr">
        <is>
          <t>-10.334% variance</t>
        </is>
      </c>
    </row>
    <row r="22">
      <c r="A22" s="3" t="inlineStr">
        <is>
          <t>Verification Status</t>
        </is>
      </c>
    </row>
    <row r="23">
      <c r="A23" s="4" t="inlineStr">
        <is>
          <t>UNVERIFIED -- 11 article(s) have discrepancies</t>
        </is>
      </c>
    </row>
    <row r="25">
      <c r="A25" s="16" t="inlineStr">
        <is>
          <t>Parsed from: FY18 Actual column in budget CSV data</t>
        </is>
      </c>
    </row>
    <row r="26">
      <c r="A26" s="16" t="inlineStr">
        <is>
          <t>RSU stated totals from: budget_config.yaml verification_targets.FY22</t>
        </is>
      </c>
    </row>
    <row r="27">
      <c r="A27" s="16" t="inlineStr">
        <is>
          <t>Handbook sources: FY22-superintendent-handbook-p01.csv, FY22-superintendent-handbook-p02.csv, FY22-superintendent-handbook-p03.csv</t>
        </is>
      </c>
    </row>
  </sheetData>
  <mergeCells count="3">
    <mergeCell ref="A26:F26"/>
    <mergeCell ref="A25:F25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2026-03-13T03:04:52Z</dcterms:created>
  <dcterms:modified xmlns:dcterms="http://purl.org/dc/terms/" xmlns:xsi="http://www.w3.org/2001/XMLSchema-instance" xsi:type="dcterms:W3CDTF">2026-03-13T03:04:52Z</dcterms:modified>
</cp:coreProperties>
</file>
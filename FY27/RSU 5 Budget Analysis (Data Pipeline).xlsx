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-BudgetData" sheetId="2" state="visible" r:id="rId2"/>
    <sheet name="C-GrowthTrends" sheetId="3" state="visible" r:id="rId3"/>
    <sheet name="Art 1" sheetId="4" state="visible" r:id="rId4"/>
    <sheet name="Art 2" sheetId="5" state="visible" r:id="rId5"/>
    <sheet name="Art 3" sheetId="6" state="visible" r:id="rId6"/>
    <sheet name="Art 4" sheetId="7" state="visible" r:id="rId7"/>
    <sheet name="Art 5" sheetId="8" state="visible" r:id="rId8"/>
    <sheet name="Art 6" sheetId="9" state="visible" r:id="rId9"/>
    <sheet name="Art 7" sheetId="10" state="visible" r:id="rId10"/>
    <sheet name="Art 8" sheetId="11" state="visible" r:id="rId11"/>
    <sheet name="Art 9" sheetId="12" state="visible" r:id="rId12"/>
    <sheet name="Art 10" sheetId="13" state="visible" r:id="rId13"/>
    <sheet name="Art 1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0070C0"/>
      <sz val="10"/>
    </font>
    <font>
      <b val="1"/>
      <color rgb="001F4E79"/>
      <sz val="12"/>
    </font>
    <font>
      <b val="1"/>
      <sz val="11"/>
    </font>
    <font>
      <i val="1"/>
      <color rgb="00666666"/>
      <sz val="10"/>
    </font>
    <font>
      <b val="1"/>
      <color rgb="00FF6600"/>
      <sz val="11"/>
    </font>
    <font>
      <b val="1"/>
      <color rgb="00C00000"/>
      <sz val="11"/>
    </font>
  </fonts>
  <fills count="9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3" fillId="0" borderId="0" pivotButton="0" quotePrefix="0" xfId="0"/>
    <xf numFmtId="0" fontId="4" fillId="3" borderId="1" applyAlignment="1" pivotButton="0" quotePrefix="0" xfId="0">
      <alignment wrapText="1"/>
    </xf>
    <xf numFmtId="0" fontId="4" fillId="0" borderId="2" pivotButton="0" quotePrefix="0" xfId="0"/>
    <xf numFmtId="0" fontId="5" fillId="4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0" fillId="0" borderId="2" pivotButton="0" quotePrefix="0" xfId="0"/>
    <xf numFmtId="3" fontId="0" fillId="0" borderId="1" pivotButton="0" quotePrefix="0" xfId="0"/>
    <xf numFmtId="10" fontId="0" fillId="0" borderId="2" pivotButton="0" quotePrefix="0" xfId="0"/>
    <xf numFmtId="0" fontId="7" fillId="5" borderId="2" pivotButton="0" quotePrefix="0" xfId="0"/>
    <xf numFmtId="3" fontId="7" fillId="5" borderId="2" pivotButton="0" quotePrefix="0" xfId="0"/>
    <xf numFmtId="10" fontId="0" fillId="0" borderId="1" pivotButton="0" quotePrefix="0" xfId="0"/>
    <xf numFmtId="0" fontId="5" fillId="0" borderId="0" pivotButton="0" quotePrefix="0" xfId="0"/>
    <xf numFmtId="4" fontId="0" fillId="0" borderId="1" pivotButton="0" quotePrefix="0" xfId="0"/>
    <xf numFmtId="4" fontId="0" fillId="4" borderId="1" pivotButton="0" quotePrefix="0" xfId="0"/>
    <xf numFmtId="3" fontId="0" fillId="6" borderId="1" pivotButton="0" quotePrefix="0" xfId="0"/>
    <xf numFmtId="3" fontId="4" fillId="7" borderId="2" pivotButton="0" quotePrefix="0" xfId="0"/>
    <xf numFmtId="3" fontId="0" fillId="7" borderId="2" pivotButton="0" quotePrefix="0" xfId="0"/>
    <xf numFmtId="10" fontId="7" fillId="5" borderId="2" pivotButton="0" quotePrefix="0" xfId="0"/>
    <xf numFmtId="0" fontId="4" fillId="8" borderId="2" pivotButton="0" quotePrefix="0" xfId="0"/>
    <xf numFmtId="4" fontId="4" fillId="8" borderId="2" pivotButton="0" quotePrefix="0" xfId="0"/>
    <xf numFmtId="0" fontId="4" fillId="7" borderId="2" pivotButton="0" quotePrefix="0" xfId="0"/>
    <xf numFmtId="4" fontId="4" fillId="7" borderId="2" pivotButton="0" quotePrefix="0" xfId="0"/>
    <xf numFmtId="4" fontId="7" fillId="5" borderId="2" pivotButton="0" quotePrefix="0" xfId="0"/>
    <xf numFmtId="0" fontId="7" fillId="3" borderId="2" pivotButton="0" quotePrefix="0" xfId="0"/>
    <xf numFmtId="4" fontId="7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RSU 5 Budget Analysis -- Summary</t>
        </is>
      </c>
    </row>
    <row r="2">
      <c r="A2" s="2" t="inlineStr">
        <is>
          <t>All article totals are independently computed from parsed line-item data.</t>
        </is>
      </c>
    </row>
    <row r="3">
      <c r="A3" s="2" t="inlineStr">
        <is>
          <t>See RECONCILIATION.md for the verification policy.</t>
        </is>
      </c>
    </row>
    <row r="5">
      <c r="A5" s="3" t="inlineStr">
        <is>
          <t>Reconciliation Status</t>
        </is>
      </c>
    </row>
    <row r="6">
      <c r="A6" s="4" t="inlineStr">
        <is>
          <t>Fiscal Year</t>
        </is>
      </c>
      <c r="B6" s="4" t="inlineStr">
        <is>
          <t>FY22</t>
        </is>
      </c>
      <c r="C6" s="4" t="inlineStr">
        <is>
          <t>FY23</t>
        </is>
      </c>
      <c r="D6" s="4" t="inlineStr">
        <is>
          <t>FY24</t>
        </is>
      </c>
      <c r="E6" s="4" t="inlineStr">
        <is>
          <t>FY25</t>
        </is>
      </c>
      <c r="F6" s="4" t="inlineStr">
        <is>
          <t>FY26</t>
        </is>
      </c>
      <c r="G6" s="4" t="inlineStr">
        <is>
          <t>FY27</t>
        </is>
      </c>
    </row>
    <row r="7">
      <c r="A7" s="5" t="inlineStr">
        <is>
          <t>Status</t>
        </is>
      </c>
      <c r="B7" s="6" t="inlineStr">
        <is>
          <t>NO DATA</t>
        </is>
      </c>
      <c r="C7" s="7" t="inlineStr">
        <is>
          <t>11 mismatches</t>
        </is>
      </c>
      <c r="D7" s="7" t="inlineStr">
        <is>
          <t>7 mismatches</t>
        </is>
      </c>
      <c r="E7" s="7" t="inlineStr">
        <is>
          <t>187 mismatches</t>
        </is>
      </c>
      <c r="F7" s="7" t="inlineStr">
        <is>
          <t>219 mismatches</t>
        </is>
      </c>
      <c r="G7" s="7" t="inlineStr">
        <is>
          <t>188 mismatches</t>
        </is>
      </c>
    </row>
    <row r="8">
      <c r="A8" s="5" t="inlineStr">
        <is>
          <t>Checks Performed</t>
        </is>
      </c>
      <c r="B8" s="8" t="n">
        <v>0</v>
      </c>
      <c r="C8" s="8" t="n">
        <v>25</v>
      </c>
      <c r="D8" s="8" t="n">
        <v>25</v>
      </c>
      <c r="E8" s="8" t="n">
        <v>570</v>
      </c>
      <c r="F8" s="8" t="n">
        <v>570</v>
      </c>
      <c r="G8" s="8" t="n">
        <v>565</v>
      </c>
    </row>
    <row r="9">
      <c r="A9" s="5" t="inlineStr">
        <is>
          <t>Source Document</t>
        </is>
      </c>
      <c r="B9" s="8" t="inlineStr">
        <is>
          <t>citizens</t>
        </is>
      </c>
      <c r="C9" s="8" t="inlineStr">
        <is>
          <t>adopted</t>
        </is>
      </c>
      <c r="D9" s="8" t="inlineStr">
        <is>
          <t>adopted</t>
        </is>
      </c>
      <c r="E9" s="8" t="inlineStr">
        <is>
          <t>adopted</t>
        </is>
      </c>
      <c r="F9" s="8" t="inlineStr">
        <is>
          <t>adopted</t>
        </is>
      </c>
      <c r="G9" s="8" t="inlineStr">
        <is>
          <t>proposed</t>
        </is>
      </c>
    </row>
    <row r="11">
      <c r="A11" s="3" t="inlineStr">
        <is>
          <t>Article Totals (Adopted/Proposed Budget)</t>
        </is>
      </c>
    </row>
    <row r="12">
      <c r="A12" s="4" t="inlineStr">
        <is>
          <t>Article</t>
        </is>
      </c>
      <c r="B12" s="4" t="inlineStr">
        <is>
          <t>FY22</t>
        </is>
      </c>
      <c r="C12" s="4" t="inlineStr">
        <is>
          <t>FY23</t>
        </is>
      </c>
      <c r="D12" s="4" t="inlineStr">
        <is>
          <t>FY24</t>
        </is>
      </c>
      <c r="E12" s="4" t="inlineStr">
        <is>
          <t>FY25</t>
        </is>
      </c>
      <c r="F12" s="4" t="inlineStr">
        <is>
          <t>FY26</t>
        </is>
      </c>
      <c r="G12" s="4" t="inlineStr">
        <is>
          <t>FY27</t>
        </is>
      </c>
      <c r="H12" s="4" t="inlineStr">
        <is>
          <t>5yr Growth</t>
        </is>
      </c>
      <c r="I12" s="4" t="inlineStr">
        <is>
          <t>CAGR</t>
        </is>
      </c>
    </row>
    <row r="13">
      <c r="A13" s="9" t="inlineStr">
        <is>
          <t>Art 1 - Regular Instruction</t>
        </is>
      </c>
      <c r="B13" s="10" t="n">
        <v>15107880</v>
      </c>
      <c r="C13" s="10" t="n">
        <v>16356356</v>
      </c>
      <c r="D13" s="10" t="n">
        <v>17021480</v>
      </c>
      <c r="E13" s="10" t="n">
        <v>18390052</v>
      </c>
      <c r="F13" s="10" t="n">
        <v>19289106</v>
      </c>
      <c r="G13" s="10" t="n">
        <v>19860193</v>
      </c>
      <c r="H13" s="11">
        <f>IF(B13=0,0,G13/B13-1)</f>
        <v/>
      </c>
      <c r="I13" s="11">
        <f>IF(B13=0,0,(G13/B13)^(1/5)-1)</f>
        <v/>
      </c>
    </row>
    <row r="14">
      <c r="A14" s="9" t="inlineStr">
        <is>
          <t>Art 2 - Special Education</t>
        </is>
      </c>
      <c r="B14" s="10" t="n">
        <v>4688560</v>
      </c>
      <c r="C14" s="10" t="n">
        <v>4703567</v>
      </c>
      <c r="D14" s="10" t="n">
        <v>5074090</v>
      </c>
      <c r="E14" s="10" t="n">
        <v>5870507</v>
      </c>
      <c r="F14" s="10" t="n">
        <v>6513451</v>
      </c>
      <c r="G14" s="10" t="n">
        <v>7510422</v>
      </c>
      <c r="H14" s="11">
        <f>IF(B14=0,0,G14/B14-1)</f>
        <v/>
      </c>
      <c r="I14" s="11">
        <f>IF(B14=0,0,(G14/B14)^(1/5)-1)</f>
        <v/>
      </c>
    </row>
    <row r="15">
      <c r="A15" s="9" t="inlineStr">
        <is>
          <t>Art 3 - Career &amp; Technical Education</t>
        </is>
      </c>
      <c r="B15" s="10" t="n">
        <v>101706</v>
      </c>
      <c r="C15" s="10" t="n">
        <v>29.11</v>
      </c>
      <c r="D15" s="9" t="n"/>
      <c r="E15" s="10" t="n">
        <v>289668</v>
      </c>
      <c r="F15" s="10" t="n">
        <v>17977</v>
      </c>
      <c r="G15" s="10" t="n">
        <v>337282</v>
      </c>
      <c r="H15" s="11">
        <f>IF(B15=0,0,G15/B15-1)</f>
        <v/>
      </c>
      <c r="I15" s="11">
        <f>IF(B15=0,0,(G15/B15)^(1/5)-1)</f>
        <v/>
      </c>
    </row>
    <row r="16">
      <c r="A16" s="9" t="inlineStr">
        <is>
          <t>Art 4 - Other Instruction</t>
        </is>
      </c>
      <c r="B16" s="10" t="n">
        <v>832340</v>
      </c>
      <c r="C16" s="10" t="n">
        <v>856841</v>
      </c>
      <c r="D16" s="10" t="n">
        <v>1015667</v>
      </c>
      <c r="E16" s="10" t="n">
        <v>1006604</v>
      </c>
      <c r="F16" s="10" t="n">
        <v>1090110</v>
      </c>
      <c r="G16" s="10" t="n">
        <v>1142974</v>
      </c>
      <c r="H16" s="11">
        <f>IF(B16=0,0,G16/B16-1)</f>
        <v/>
      </c>
      <c r="I16" s="11">
        <f>IF(B16=0,0,(G16/B16)^(1/5)-1)</f>
        <v/>
      </c>
    </row>
    <row r="17">
      <c r="A17" s="9" t="inlineStr">
        <is>
          <t>Art 5 - Student &amp; Staff Support</t>
        </is>
      </c>
      <c r="B17" s="10" t="n">
        <v>3160872</v>
      </c>
      <c r="C17" s="10" t="n">
        <v>3594807</v>
      </c>
      <c r="D17" s="10" t="n">
        <v>3822402</v>
      </c>
      <c r="E17" s="10" t="n">
        <v>4371246</v>
      </c>
      <c r="F17" s="10" t="n">
        <v>4644307</v>
      </c>
      <c r="G17" s="10" t="n">
        <v>4906366</v>
      </c>
      <c r="H17" s="11">
        <f>IF(B17=0,0,G17/B17-1)</f>
        <v/>
      </c>
      <c r="I17" s="11">
        <f>IF(B17=0,0,(G17/B17)^(1/5)-1)</f>
        <v/>
      </c>
    </row>
    <row r="18">
      <c r="A18" s="9" t="inlineStr">
        <is>
          <t>Art 6 - System Administration</t>
        </is>
      </c>
      <c r="B18" s="10" t="n">
        <v>1013211</v>
      </c>
      <c r="C18" s="10" t="n">
        <v>990353</v>
      </c>
      <c r="D18" s="10" t="n">
        <v>1021441</v>
      </c>
      <c r="E18" s="10" t="n">
        <v>1179440</v>
      </c>
      <c r="F18" s="10" t="n">
        <v>1263587</v>
      </c>
      <c r="G18" s="10" t="n">
        <v>1308008</v>
      </c>
      <c r="H18" s="11">
        <f>IF(B18=0,0,G18/B18-1)</f>
        <v/>
      </c>
      <c r="I18" s="11">
        <f>IF(B18=0,0,(G18/B18)^(1/5)-1)</f>
        <v/>
      </c>
    </row>
    <row r="19">
      <c r="A19" s="9" t="inlineStr">
        <is>
          <t>Art 7 - School Administration</t>
        </is>
      </c>
      <c r="B19" s="10" t="n">
        <v>1727711</v>
      </c>
      <c r="C19" s="10" t="n">
        <v>1942616</v>
      </c>
      <c r="D19" s="10" t="n">
        <v>2067029</v>
      </c>
      <c r="E19" s="10" t="n">
        <v>2342210</v>
      </c>
      <c r="F19" s="10" t="n">
        <v>2514485</v>
      </c>
      <c r="G19" s="10" t="n">
        <v>2638024</v>
      </c>
      <c r="H19" s="11">
        <f>IF(B19=0,0,G19/B19-1)</f>
        <v/>
      </c>
      <c r="I19" s="11">
        <f>IF(B19=0,0,(G19/B19)^(1/5)-1)</f>
        <v/>
      </c>
    </row>
    <row r="20">
      <c r="A20" s="9" t="inlineStr">
        <is>
          <t>Art 8 - Transportation &amp; Buses</t>
        </is>
      </c>
      <c r="B20" s="10" t="n">
        <v>1473419</v>
      </c>
      <c r="C20" s="10" t="n">
        <v>1438023</v>
      </c>
      <c r="D20" s="10" t="n">
        <v>1551608</v>
      </c>
      <c r="E20" s="10" t="n">
        <v>1586682</v>
      </c>
      <c r="F20" s="10" t="n">
        <v>1931576</v>
      </c>
      <c r="G20" s="10" t="n">
        <v>2388457</v>
      </c>
      <c r="H20" s="11">
        <f>IF(B20=0,0,G20/B20-1)</f>
        <v/>
      </c>
      <c r="I20" s="11">
        <f>IF(B20=0,0,(G20/B20)^(1/5)-1)</f>
        <v/>
      </c>
    </row>
    <row r="21">
      <c r="A21" s="9" t="inlineStr">
        <is>
          <t>Art 9 - Facilities &amp; Maintenance</t>
        </is>
      </c>
      <c r="B21" s="10" t="n">
        <v>5028523</v>
      </c>
      <c r="C21" s="10" t="n">
        <v>5100232</v>
      </c>
      <c r="D21" s="10" t="n">
        <v>5167753.71</v>
      </c>
      <c r="E21" s="10" t="n">
        <v>5139408</v>
      </c>
      <c r="F21" s="10" t="n">
        <v>5490511</v>
      </c>
      <c r="G21" s="10" t="n">
        <v>5993777</v>
      </c>
      <c r="H21" s="11">
        <f>IF(B21=0,0,G21/B21-1)</f>
        <v/>
      </c>
      <c r="I21" s="11">
        <f>IF(B21=0,0,(G21/B21)^(1/5)-1)</f>
        <v/>
      </c>
    </row>
    <row r="22">
      <c r="A22" s="9" t="inlineStr">
        <is>
          <t>Art 10 - Debt Service</t>
        </is>
      </c>
      <c r="B22" s="10" t="n">
        <v>1427247</v>
      </c>
      <c r="C22" s="10" t="n">
        <v>-27346</v>
      </c>
      <c r="D22" s="10" t="n">
        <v>-42208</v>
      </c>
      <c r="E22" s="10" t="n">
        <v>1111064</v>
      </c>
      <c r="F22" s="10" t="n">
        <v>1087428</v>
      </c>
      <c r="G22" s="10" t="n">
        <v>1071577</v>
      </c>
      <c r="H22" s="11">
        <f>IF(B22=0,0,G22/B22-1)</f>
        <v/>
      </c>
      <c r="I22" s="11">
        <f>IF(B22=0,0,(G22/B22)^(1/5)-1)</f>
        <v/>
      </c>
    </row>
    <row r="23">
      <c r="A23" s="9" t="inlineStr">
        <is>
          <t>Art 11 - All Other Expenses</t>
        </is>
      </c>
      <c r="B23" s="10" t="n">
        <v>294645</v>
      </c>
      <c r="C23" s="9" t="n"/>
      <c r="D23" s="9" t="n"/>
      <c r="E23" s="10" t="n">
        <v>185334</v>
      </c>
      <c r="F23" s="10" t="n">
        <v>139591</v>
      </c>
      <c r="G23" s="10" t="n">
        <v>69796</v>
      </c>
      <c r="H23" s="11">
        <f>IF(B23=0,0,G23/B23-1)</f>
        <v/>
      </c>
      <c r="I23" s="11">
        <f>IF(B23=0,0,(G23/B23)^(1/5)-1)</f>
        <v/>
      </c>
    </row>
    <row r="24">
      <c r="A24" s="12" t="inlineStr">
        <is>
          <t>GRAND TOTAL</t>
        </is>
      </c>
      <c r="B24" s="13">
        <f>B13+B14+B15+B16+B17+B18+B19+B20+B21+B22+B23</f>
        <v/>
      </c>
      <c r="C24" s="13">
        <f>C13+C14+C15+C16+C17+C18+C19+C20+C21+C22+C23</f>
        <v/>
      </c>
      <c r="D24" s="13">
        <f>D13+D14+D15+D16+D17+D18+D19+D20+D21+D22+D23</f>
        <v/>
      </c>
      <c r="E24" s="13">
        <f>E13+E14+E15+E16+E17+E18+E19+E20+E21+E22+E23</f>
        <v/>
      </c>
      <c r="F24" s="13">
        <f>F13+F14+F15+F16+F17+F18+F19+F20+F21+F22+F23</f>
        <v/>
      </c>
      <c r="G24" s="13">
        <f>G13+G14+G15+G16+G17+G18+G19+G20+G21+G22+G23</f>
        <v/>
      </c>
    </row>
    <row r="26">
      <c r="A26" s="3" t="inlineStr">
        <is>
          <t>Budget Growth History (from config)</t>
        </is>
      </c>
    </row>
    <row r="27">
      <c r="A27" s="4" t="inlineStr">
        <is>
          <t>Fiscal Year</t>
        </is>
      </c>
      <c r="B27" s="4" t="inlineStr">
        <is>
          <t>Adopted</t>
        </is>
      </c>
      <c r="C27" s="4" t="inlineStr">
        <is>
          <t>Increase</t>
        </is>
      </c>
      <c r="D27" s="4" t="inlineStr">
        <is>
          <t>% Change</t>
        </is>
      </c>
    </row>
    <row r="28">
      <c r="A28" s="9" t="inlineStr">
        <is>
          <t>FY17</t>
        </is>
      </c>
      <c r="B28" s="10" t="n">
        <v>31008672</v>
      </c>
      <c r="C28" s="10" t="n">
        <v>1518469</v>
      </c>
      <c r="D28" s="14" t="n">
        <v>0.0515</v>
      </c>
    </row>
    <row r="29">
      <c r="A29" s="9" t="inlineStr">
        <is>
          <t>FY18</t>
        </is>
      </c>
      <c r="B29" s="10" t="n">
        <v>32310685</v>
      </c>
      <c r="C29" s="10" t="n">
        <v>1302013</v>
      </c>
      <c r="D29" s="14" t="n">
        <v>0.042</v>
      </c>
    </row>
    <row r="30">
      <c r="A30" s="9" t="inlineStr">
        <is>
          <t>FY19</t>
        </is>
      </c>
      <c r="B30" s="10" t="n">
        <v>33058025</v>
      </c>
      <c r="C30" s="10" t="n">
        <v>747340</v>
      </c>
      <c r="D30" s="14" t="n">
        <v>0.0231</v>
      </c>
    </row>
    <row r="31">
      <c r="A31" s="9" t="inlineStr">
        <is>
          <t>FY20</t>
        </is>
      </c>
      <c r="B31" s="10" t="n">
        <v>34192295</v>
      </c>
      <c r="C31" s="10" t="n">
        <v>1134270</v>
      </c>
      <c r="D31" s="14" t="n">
        <v>0.0343</v>
      </c>
    </row>
    <row r="32">
      <c r="A32" s="9" t="inlineStr">
        <is>
          <t>FY21</t>
        </is>
      </c>
      <c r="B32" s="10" t="n">
        <v>34984700</v>
      </c>
      <c r="C32" s="10" t="n">
        <v>792405</v>
      </c>
      <c r="D32" s="14" t="n">
        <v>0.0232</v>
      </c>
    </row>
    <row r="33">
      <c r="A33" s="9" t="inlineStr">
        <is>
          <t>FY22</t>
        </is>
      </c>
      <c r="B33" s="10" t="n">
        <v>35714863</v>
      </c>
      <c r="C33" s="10" t="n">
        <v>730163</v>
      </c>
      <c r="D33" s="14" t="n">
        <v>0.0209</v>
      </c>
    </row>
    <row r="34">
      <c r="A34" s="9" t="inlineStr">
        <is>
          <t>FY23</t>
        </is>
      </c>
      <c r="B34" s="10" t="n">
        <v>37223151</v>
      </c>
      <c r="C34" s="10" t="n">
        <v>1508288</v>
      </c>
      <c r="D34" s="14" t="n">
        <v>0.0422</v>
      </c>
    </row>
    <row r="35">
      <c r="A35" s="9" t="inlineStr">
        <is>
          <t>FY24</t>
        </is>
      </c>
      <c r="B35" s="10" t="n">
        <v>39080569</v>
      </c>
      <c r="C35" s="10" t="n">
        <v>1857418</v>
      </c>
      <c r="D35" s="14" t="n">
        <v>0.0499</v>
      </c>
    </row>
    <row r="36">
      <c r="A36" s="9" t="inlineStr">
        <is>
          <t>FY25</t>
        </is>
      </c>
      <c r="B36" s="10" t="n">
        <v>41612460</v>
      </c>
      <c r="C36" s="10" t="n">
        <v>2531891</v>
      </c>
      <c r="D36" s="14" t="n">
        <v>0.0648</v>
      </c>
    </row>
    <row r="37">
      <c r="A37" s="9" t="inlineStr">
        <is>
          <t>FY26</t>
        </is>
      </c>
      <c r="B37" s="10" t="n">
        <v>44455929</v>
      </c>
      <c r="C37" s="10" t="n">
        <v>2843469</v>
      </c>
      <c r="D37" s="14" t="n">
        <v>0.0683</v>
      </c>
    </row>
    <row r="38">
      <c r="A38" s="9" t="inlineStr">
        <is>
          <t>FY27</t>
        </is>
      </c>
      <c r="B38" s="10" t="n">
        <v>47357441</v>
      </c>
    </row>
    <row r="40">
      <c r="A40" s="3" t="inlineStr">
        <is>
          <t>Reconciliation Mismatches (Investigate)</t>
        </is>
      </c>
    </row>
    <row r="41">
      <c r="A41" s="15" t="inlineStr">
        <is>
          <t>These are differences between our computed totals and the RSU's stated totals.</t>
        </is>
      </c>
    </row>
    <row r="42">
      <c r="A42" s="4" t="inlineStr">
        <is>
          <t>FY</t>
        </is>
      </c>
      <c r="B42" s="4" t="inlineStr">
        <is>
          <t>Level</t>
        </is>
      </c>
      <c r="C42" s="4" t="inlineStr">
        <is>
          <t>Code</t>
        </is>
      </c>
      <c r="D42" s="4" t="inlineStr">
        <is>
          <t>Column</t>
        </is>
      </c>
      <c r="E42" s="4" t="inlineStr">
        <is>
          <t>Computed</t>
        </is>
      </c>
      <c r="F42" s="4" t="inlineStr">
        <is>
          <t>Stated</t>
        </is>
      </c>
      <c r="G42" s="4" t="inlineStr">
        <is>
          <t>Difference</t>
        </is>
      </c>
    </row>
    <row r="43">
      <c r="A43" s="9" t="inlineStr">
        <is>
          <t>FY23</t>
        </is>
      </c>
      <c r="B43" s="9" t="inlineStr">
        <is>
          <t>function</t>
        </is>
      </c>
      <c r="C43" s="9" t="inlineStr">
        <is>
          <t>2400</t>
        </is>
      </c>
      <c r="D43" s="9" t="inlineStr">
        <is>
          <t>FY19 Actual</t>
        </is>
      </c>
      <c r="E43" s="16" t="n">
        <v>1534919</v>
      </c>
      <c r="F43" s="16" t="n">
        <v>1534924</v>
      </c>
      <c r="G43" s="16" t="n">
        <v>-5</v>
      </c>
    </row>
    <row r="44">
      <c r="A44" s="9" t="inlineStr">
        <is>
          <t>FY23</t>
        </is>
      </c>
      <c r="B44" s="9" t="inlineStr">
        <is>
          <t>function</t>
        </is>
      </c>
      <c r="C44" s="9" t="inlineStr">
        <is>
          <t>2400</t>
        </is>
      </c>
      <c r="D44" s="9" t="inlineStr">
        <is>
          <t>FY20 Actual</t>
        </is>
      </c>
      <c r="E44" s="16" t="n">
        <v>1636103</v>
      </c>
      <c r="F44" s="16" t="n">
        <v>1636101</v>
      </c>
      <c r="G44" s="16" t="n">
        <v>2</v>
      </c>
    </row>
    <row r="45">
      <c r="A45" s="9" t="inlineStr">
        <is>
          <t>FY23</t>
        </is>
      </c>
      <c r="B45" s="9" t="inlineStr">
        <is>
          <t>function</t>
        </is>
      </c>
      <c r="C45" s="9" t="inlineStr">
        <is>
          <t>2400</t>
        </is>
      </c>
      <c r="D45" s="9" t="inlineStr">
        <is>
          <t>FY21 Actual</t>
        </is>
      </c>
      <c r="E45" s="16" t="n">
        <v>1670330</v>
      </c>
      <c r="F45" s="16" t="n">
        <v>1670328</v>
      </c>
      <c r="G45" s="16" t="n">
        <v>2</v>
      </c>
    </row>
    <row r="46">
      <c r="A46" s="9" t="inlineStr">
        <is>
          <t>FY23</t>
        </is>
      </c>
      <c r="B46" s="9" t="inlineStr">
        <is>
          <t>function</t>
        </is>
      </c>
      <c r="C46" s="9" t="inlineStr">
        <is>
          <t>2400</t>
        </is>
      </c>
      <c r="D46" s="9" t="inlineStr">
        <is>
          <t>FY22 Adopted</t>
        </is>
      </c>
      <c r="E46" s="16" t="n">
        <v>1767262</v>
      </c>
      <c r="F46" s="16" t="n">
        <v>1767263</v>
      </c>
      <c r="G46" s="16" t="n">
        <v>-1</v>
      </c>
    </row>
    <row r="47">
      <c r="A47" s="9" t="inlineStr">
        <is>
          <t>FY23</t>
        </is>
      </c>
      <c r="B47" s="9" t="inlineStr">
        <is>
          <t>function</t>
        </is>
      </c>
      <c r="C47" s="9" t="inlineStr">
        <is>
          <t>2600</t>
        </is>
      </c>
      <c r="D47" s="9" t="inlineStr">
        <is>
          <t>FY19 Actual</t>
        </is>
      </c>
      <c r="E47" s="16" t="n">
        <v>2609592</v>
      </c>
      <c r="F47" s="16" t="n">
        <v>2609595</v>
      </c>
      <c r="G47" s="16" t="n">
        <v>-3</v>
      </c>
    </row>
    <row r="48">
      <c r="A48" s="9" t="inlineStr">
        <is>
          <t>FY23</t>
        </is>
      </c>
      <c r="B48" s="9" t="inlineStr">
        <is>
          <t>function</t>
        </is>
      </c>
      <c r="C48" s="9" t="inlineStr">
        <is>
          <t>2600</t>
        </is>
      </c>
      <c r="D48" s="9" t="inlineStr">
        <is>
          <t>FY20 Actual</t>
        </is>
      </c>
      <c r="E48" s="16" t="n">
        <v>2500654</v>
      </c>
      <c r="F48" s="16" t="n">
        <v>2500649</v>
      </c>
      <c r="G48" s="16" t="n">
        <v>5</v>
      </c>
    </row>
    <row r="49">
      <c r="A49" s="9" t="inlineStr">
        <is>
          <t>FY23</t>
        </is>
      </c>
      <c r="B49" s="9" t="inlineStr">
        <is>
          <t>function</t>
        </is>
      </c>
      <c r="C49" s="9" t="inlineStr">
        <is>
          <t>2600</t>
        </is>
      </c>
      <c r="D49" s="9" t="inlineStr">
        <is>
          <t>FY21 Actual</t>
        </is>
      </c>
      <c r="E49" s="16" t="n">
        <v>2269653</v>
      </c>
      <c r="F49" s="16" t="n">
        <v>2269652</v>
      </c>
      <c r="G49" s="16" t="n">
        <v>1</v>
      </c>
    </row>
    <row r="50">
      <c r="A50" s="9" t="inlineStr">
        <is>
          <t>FY23</t>
        </is>
      </c>
      <c r="B50" s="9" t="inlineStr">
        <is>
          <t>function</t>
        </is>
      </c>
      <c r="C50" s="9" t="inlineStr">
        <is>
          <t>2600</t>
        </is>
      </c>
      <c r="D50" s="9" t="inlineStr">
        <is>
          <t>FY22 Adopted</t>
        </is>
      </c>
      <c r="E50" s="16" t="n">
        <v>2631088</v>
      </c>
      <c r="F50" s="16" t="n">
        <v>2631090</v>
      </c>
      <c r="G50" s="16" t="n">
        <v>-2</v>
      </c>
    </row>
    <row r="51">
      <c r="A51" s="9" t="inlineStr">
        <is>
          <t>FY23</t>
        </is>
      </c>
      <c r="B51" s="9" t="inlineStr">
        <is>
          <t>function</t>
        </is>
      </c>
      <c r="C51" s="9" t="inlineStr">
        <is>
          <t>2600</t>
        </is>
      </c>
      <c r="D51" s="9" t="inlineStr">
        <is>
          <t>FY23 Adopted</t>
        </is>
      </c>
      <c r="E51" s="16" t="n">
        <v>2814643</v>
      </c>
      <c r="F51" s="16" t="n">
        <v>2814644</v>
      </c>
      <c r="G51" s="16" t="n">
        <v>-1</v>
      </c>
    </row>
    <row r="52">
      <c r="A52" s="9" t="inlineStr">
        <is>
          <t>FY23</t>
        </is>
      </c>
      <c r="B52" s="9" t="inlineStr">
        <is>
          <t>function</t>
        </is>
      </c>
      <c r="C52" s="9" t="inlineStr">
        <is>
          <t>2620</t>
        </is>
      </c>
      <c r="D52" s="9" t="inlineStr">
        <is>
          <t>FY20 Actual</t>
        </is>
      </c>
      <c r="E52" s="16" t="n">
        <v>535399</v>
      </c>
      <c r="F52" s="16" t="n">
        <v>535397</v>
      </c>
      <c r="G52" s="16" t="n">
        <v>2</v>
      </c>
    </row>
    <row r="53">
      <c r="A53" s="9" t="inlineStr">
        <is>
          <t>FY23</t>
        </is>
      </c>
      <c r="B53" s="9" t="inlineStr">
        <is>
          <t>function</t>
        </is>
      </c>
      <c r="C53" s="9" t="inlineStr">
        <is>
          <t>2620</t>
        </is>
      </c>
      <c r="D53" s="9" t="inlineStr">
        <is>
          <t>FY21 Actual</t>
        </is>
      </c>
      <c r="E53" s="16" t="n">
        <v>553739</v>
      </c>
      <c r="F53" s="16" t="n">
        <v>553738</v>
      </c>
      <c r="G53" s="16" t="n">
        <v>1</v>
      </c>
    </row>
    <row r="54">
      <c r="A54" s="9" t="inlineStr">
        <is>
          <t>FY24</t>
        </is>
      </c>
      <c r="B54" s="9" t="inlineStr">
        <is>
          <t>function</t>
        </is>
      </c>
      <c r="C54" s="9" t="inlineStr">
        <is>
          <t>2600</t>
        </is>
      </c>
      <c r="D54" s="9" t="inlineStr">
        <is>
          <t>FY21 Actual</t>
        </is>
      </c>
      <c r="E54" s="16" t="n">
        <v>2288167.71</v>
      </c>
      <c r="F54" s="16" t="n">
        <v>2269652.25</v>
      </c>
      <c r="G54" s="17" t="n">
        <v>18515.45999999996</v>
      </c>
    </row>
    <row r="55">
      <c r="A55" s="9" t="inlineStr">
        <is>
          <t>FY24</t>
        </is>
      </c>
      <c r="B55" s="9" t="inlineStr">
        <is>
          <t>function</t>
        </is>
      </c>
      <c r="C55" s="9" t="inlineStr">
        <is>
          <t>2600</t>
        </is>
      </c>
      <c r="D55" s="9" t="inlineStr">
        <is>
          <t>FY22 Actual</t>
        </is>
      </c>
      <c r="E55" s="16" t="n">
        <v>2475424.56</v>
      </c>
      <c r="F55" s="16" t="n">
        <v>2481874.73</v>
      </c>
      <c r="G55" s="17" t="n">
        <v>-6450.169999999925</v>
      </c>
    </row>
    <row r="56">
      <c r="A56" s="9" t="inlineStr">
        <is>
          <t>FY24</t>
        </is>
      </c>
      <c r="B56" s="9" t="inlineStr">
        <is>
          <t>function</t>
        </is>
      </c>
      <c r="C56" s="9" t="inlineStr">
        <is>
          <t>2600</t>
        </is>
      </c>
      <c r="D56" s="9" t="inlineStr">
        <is>
          <t>FY23 Adopted</t>
        </is>
      </c>
      <c r="E56" s="16" t="n">
        <v>2802578.71</v>
      </c>
      <c r="F56" s="16" t="n">
        <v>2814644</v>
      </c>
      <c r="G56" s="17" t="n">
        <v>-12065.29000000004</v>
      </c>
    </row>
    <row r="57">
      <c r="A57" s="9" t="inlineStr">
        <is>
          <t>FY24</t>
        </is>
      </c>
      <c r="B57" s="9" t="inlineStr">
        <is>
          <t>function</t>
        </is>
      </c>
      <c r="C57" s="9" t="inlineStr">
        <is>
          <t>2600</t>
        </is>
      </c>
      <c r="D57" s="9" t="inlineStr">
        <is>
          <t>FY24 Adopted</t>
        </is>
      </c>
      <c r="E57" s="16" t="n">
        <v>3031971.71</v>
      </c>
      <c r="F57" s="16" t="n">
        <v>3044037</v>
      </c>
      <c r="G57" s="17" t="n">
        <v>-12065.29000000004</v>
      </c>
    </row>
    <row r="58">
      <c r="A58" s="9" t="inlineStr">
        <is>
          <t>FY24</t>
        </is>
      </c>
      <c r="B58" s="9" t="inlineStr">
        <is>
          <t>function</t>
        </is>
      </c>
      <c r="C58" s="9" t="inlineStr">
        <is>
          <t>2690</t>
        </is>
      </c>
      <c r="D58" s="9" t="inlineStr">
        <is>
          <t>FY21 Actual</t>
        </is>
      </c>
      <c r="E58" s="16" t="n">
        <v>494802</v>
      </c>
      <c r="F58" s="16" t="n">
        <v>434802</v>
      </c>
      <c r="G58" s="17" t="n">
        <v>60000</v>
      </c>
    </row>
    <row r="59">
      <c r="A59" s="9" t="inlineStr">
        <is>
          <t>FY24</t>
        </is>
      </c>
      <c r="B59" s="9" t="inlineStr">
        <is>
          <t>function</t>
        </is>
      </c>
      <c r="C59" s="9" t="inlineStr">
        <is>
          <t>2690</t>
        </is>
      </c>
      <c r="D59" s="9" t="inlineStr">
        <is>
          <t>FY22 Actual</t>
        </is>
      </c>
      <c r="E59" s="16" t="n">
        <v>552330</v>
      </c>
      <c r="F59" s="16" t="n">
        <v>572330</v>
      </c>
      <c r="G59" s="17" t="n">
        <v>-20000</v>
      </c>
    </row>
    <row r="60">
      <c r="A60" s="9" t="inlineStr">
        <is>
          <t>FY24</t>
        </is>
      </c>
      <c r="B60" s="9" t="inlineStr">
        <is>
          <t>function</t>
        </is>
      </c>
      <c r="C60" s="9" t="inlineStr">
        <is>
          <t>2690</t>
        </is>
      </c>
      <c r="D60" s="9" t="inlineStr">
        <is>
          <t>FY24 Adopted</t>
        </is>
      </c>
      <c r="E60" s="16" t="n">
        <v>435000</v>
      </c>
      <c r="F60" s="16" t="n">
        <v>475000</v>
      </c>
      <c r="G60" s="17" t="n">
        <v>-40000</v>
      </c>
    </row>
    <row r="61">
      <c r="A61" s="9" t="inlineStr">
        <is>
          <t>FY25</t>
        </is>
      </c>
      <c r="B61" s="9" t="inlineStr">
        <is>
          <t>cost_center</t>
        </is>
      </c>
      <c r="C61" s="9" t="inlineStr">
        <is>
          <t>020</t>
        </is>
      </c>
      <c r="D61" s="9" t="inlineStr">
        <is>
          <t>FY21 Actual</t>
        </is>
      </c>
      <c r="E61" s="16" t="n">
        <v>1654639.99</v>
      </c>
      <c r="F61" s="16" t="n">
        <v>2093487.74</v>
      </c>
      <c r="G61" s="17" t="n">
        <v>-438847.75</v>
      </c>
    </row>
    <row r="62">
      <c r="A62" s="9" t="inlineStr">
        <is>
          <t>FY25</t>
        </is>
      </c>
      <c r="B62" s="9" t="inlineStr">
        <is>
          <t>cost_center</t>
        </is>
      </c>
      <c r="C62" s="9" t="inlineStr">
        <is>
          <t>020</t>
        </is>
      </c>
      <c r="D62" s="9" t="inlineStr">
        <is>
          <t>FY22 Actual</t>
        </is>
      </c>
      <c r="E62" s="16" t="n">
        <v>2053282.02</v>
      </c>
      <c r="F62" s="16" t="n">
        <v>2303264</v>
      </c>
      <c r="G62" s="17" t="n">
        <v>-249981.98</v>
      </c>
    </row>
    <row r="63">
      <c r="A63" s="9" t="inlineStr">
        <is>
          <t>FY25</t>
        </is>
      </c>
      <c r="B63" s="9" t="inlineStr">
        <is>
          <t>cost_center</t>
        </is>
      </c>
      <c r="C63" s="9" t="inlineStr">
        <is>
          <t>020</t>
        </is>
      </c>
      <c r="D63" s="9" t="inlineStr">
        <is>
          <t>FY23 Actual</t>
        </is>
      </c>
      <c r="E63" s="16" t="n">
        <v>2093487.74</v>
      </c>
      <c r="F63" s="16" t="n">
        <v>2345303</v>
      </c>
      <c r="G63" s="17" t="n">
        <v>-251815.26</v>
      </c>
    </row>
    <row r="64">
      <c r="A64" s="9" t="inlineStr">
        <is>
          <t>FY25</t>
        </is>
      </c>
      <c r="B64" s="9" t="inlineStr">
        <is>
          <t>cost_center</t>
        </is>
      </c>
      <c r="C64" s="9" t="inlineStr">
        <is>
          <t>020</t>
        </is>
      </c>
      <c r="D64" s="9" t="inlineStr">
        <is>
          <t>FY24 Adopted</t>
        </is>
      </c>
      <c r="E64" s="16" t="n">
        <v>2303264</v>
      </c>
      <c r="F64" s="16" t="n">
        <v>42039</v>
      </c>
      <c r="G64" s="17" t="n">
        <v>2261225</v>
      </c>
    </row>
    <row r="65">
      <c r="A65" s="9" t="inlineStr">
        <is>
          <t>FY25</t>
        </is>
      </c>
      <c r="B65" s="9" t="inlineStr">
        <is>
          <t>cost_center</t>
        </is>
      </c>
      <c r="C65" s="9" t="inlineStr">
        <is>
          <t>020</t>
        </is>
      </c>
      <c r="D65" s="9" t="inlineStr">
        <is>
          <t>FY25 Adopted</t>
        </is>
      </c>
      <c r="E65" s="16" t="n">
        <v>2345303</v>
      </c>
      <c r="F65" s="16" t="n">
        <v>1.83</v>
      </c>
      <c r="G65" s="17" t="n">
        <v>2345301.17</v>
      </c>
    </row>
    <row r="66">
      <c r="A66" s="9" t="inlineStr">
        <is>
          <t>FY25</t>
        </is>
      </c>
      <c r="B66" s="9" t="inlineStr">
        <is>
          <t>cost_center</t>
        </is>
      </c>
      <c r="C66" s="9" t="inlineStr">
        <is>
          <t>300</t>
        </is>
      </c>
      <c r="D66" s="9" t="inlineStr">
        <is>
          <t>FY21 Actual</t>
        </is>
      </c>
      <c r="E66" s="16" t="n">
        <v>3604639.78</v>
      </c>
      <c r="F66" s="16" t="n">
        <v>3622639.78</v>
      </c>
      <c r="G66" s="17" t="n">
        <v>-17999.99999999953</v>
      </c>
    </row>
    <row r="67">
      <c r="A67" s="9" t="inlineStr">
        <is>
          <t>FY25</t>
        </is>
      </c>
      <c r="B67" s="9" t="inlineStr">
        <is>
          <t>program</t>
        </is>
      </c>
      <c r="C67" s="9" t="inlineStr">
        <is>
          <t>1100</t>
        </is>
      </c>
      <c r="D67" s="9" t="inlineStr">
        <is>
          <t>FY21 Actual</t>
        </is>
      </c>
      <c r="E67" s="16" t="n">
        <v>7788839.08</v>
      </c>
      <c r="F67" s="16" t="n">
        <v>6225.02</v>
      </c>
      <c r="G67" s="17" t="n">
        <v>7782614.060000001</v>
      </c>
    </row>
    <row r="68">
      <c r="A68" s="9" t="inlineStr">
        <is>
          <t>FY25</t>
        </is>
      </c>
      <c r="B68" s="9" t="inlineStr">
        <is>
          <t>program</t>
        </is>
      </c>
      <c r="C68" s="9" t="inlineStr">
        <is>
          <t>1100</t>
        </is>
      </c>
      <c r="D68" s="9" t="inlineStr">
        <is>
          <t>FY22 Actual</t>
        </is>
      </c>
      <c r="E68" s="16" t="n">
        <v>8918844.709999999</v>
      </c>
      <c r="F68" s="16" t="n">
        <v>0</v>
      </c>
      <c r="G68" s="17" t="n">
        <v>8918844.709999999</v>
      </c>
    </row>
    <row r="69">
      <c r="A69" s="9" t="inlineStr">
        <is>
          <t>FY25</t>
        </is>
      </c>
      <c r="B69" s="9" t="inlineStr">
        <is>
          <t>program</t>
        </is>
      </c>
      <c r="C69" s="9" t="inlineStr">
        <is>
          <t>1100</t>
        </is>
      </c>
      <c r="D69" s="9" t="inlineStr">
        <is>
          <t>FY23 Actual</t>
        </is>
      </c>
      <c r="E69" s="16" t="n">
        <v>9525969.66</v>
      </c>
      <c r="F69" s="16" t="n">
        <v>0</v>
      </c>
      <c r="G69" s="17" t="n">
        <v>9525969.66</v>
      </c>
    </row>
    <row r="70">
      <c r="A70" s="9" t="inlineStr">
        <is>
          <t>FY25</t>
        </is>
      </c>
      <c r="B70" s="9" t="inlineStr">
        <is>
          <t>program</t>
        </is>
      </c>
      <c r="C70" s="9" t="inlineStr">
        <is>
          <t>1100</t>
        </is>
      </c>
      <c r="D70" s="9" t="inlineStr">
        <is>
          <t>FY24 Adopted</t>
        </is>
      </c>
      <c r="E70" s="16" t="n">
        <v>10699437</v>
      </c>
      <c r="F70" s="16" t="n">
        <v>177000</v>
      </c>
      <c r="G70" s="17" t="n">
        <v>10522437</v>
      </c>
    </row>
    <row r="71">
      <c r="A71" s="9" t="inlineStr">
        <is>
          <t>FY25</t>
        </is>
      </c>
      <c r="B71" s="9" t="inlineStr">
        <is>
          <t>program</t>
        </is>
      </c>
      <c r="C71" s="9" t="inlineStr">
        <is>
          <t>1100</t>
        </is>
      </c>
      <c r="D71" s="9" t="inlineStr">
        <is>
          <t>FY25 Adopted</t>
        </is>
      </c>
      <c r="E71" s="16" t="n">
        <v>11544367</v>
      </c>
      <c r="F71" s="16" t="n">
        <v>0</v>
      </c>
      <c r="G71" s="17" t="n">
        <v>11544367</v>
      </c>
    </row>
    <row r="72">
      <c r="A72" s="9" t="inlineStr">
        <is>
          <t>FY25</t>
        </is>
      </c>
      <c r="B72" s="9" t="inlineStr">
        <is>
          <t>program</t>
        </is>
      </c>
      <c r="C72" s="9" t="inlineStr">
        <is>
          <t>1120</t>
        </is>
      </c>
      <c r="D72" s="9" t="inlineStr">
        <is>
          <t>FY21 Actual</t>
        </is>
      </c>
      <c r="E72" s="16" t="n">
        <v>1085944.74</v>
      </c>
      <c r="F72" s="16" t="n">
        <v>69900.16</v>
      </c>
      <c r="G72" s="17" t="n">
        <v>1016044.58</v>
      </c>
    </row>
    <row r="73">
      <c r="A73" s="9" t="inlineStr">
        <is>
          <t>FY25</t>
        </is>
      </c>
      <c r="B73" s="9" t="inlineStr">
        <is>
          <t>program</t>
        </is>
      </c>
      <c r="C73" s="9" t="inlineStr">
        <is>
          <t>1120</t>
        </is>
      </c>
      <c r="D73" s="9" t="inlineStr">
        <is>
          <t>FY22 Actual</t>
        </is>
      </c>
      <c r="E73" s="16" t="n">
        <v>1104688.95</v>
      </c>
      <c r="F73" s="16" t="n">
        <v>193766.89</v>
      </c>
      <c r="G73" s="17" t="n">
        <v>910922.0599999999</v>
      </c>
    </row>
    <row r="74">
      <c r="A74" s="9" t="inlineStr">
        <is>
          <t>FY25</t>
        </is>
      </c>
      <c r="B74" s="9" t="inlineStr">
        <is>
          <t>program</t>
        </is>
      </c>
      <c r="C74" s="9" t="inlineStr">
        <is>
          <t>1120</t>
        </is>
      </c>
      <c r="D74" s="9" t="inlineStr">
        <is>
          <t>FY23 Actual</t>
        </is>
      </c>
      <c r="E74" s="16" t="n">
        <v>1077623.89</v>
      </c>
      <c r="F74" s="16" t="n">
        <v>175172.65</v>
      </c>
      <c r="G74" s="17" t="n">
        <v>902451.2399999999</v>
      </c>
    </row>
    <row r="75">
      <c r="A75" s="9" t="inlineStr">
        <is>
          <t>FY25</t>
        </is>
      </c>
      <c r="B75" s="9" t="inlineStr">
        <is>
          <t>program</t>
        </is>
      </c>
      <c r="C75" s="9" t="inlineStr">
        <is>
          <t>1120</t>
        </is>
      </c>
      <c r="D75" s="9" t="inlineStr">
        <is>
          <t>FY24 Adopted</t>
        </is>
      </c>
      <c r="E75" s="16" t="n">
        <v>1283094</v>
      </c>
      <c r="F75" s="16" t="n">
        <v>167392</v>
      </c>
      <c r="G75" s="17" t="n">
        <v>1115702</v>
      </c>
    </row>
    <row r="76">
      <c r="A76" s="9" t="inlineStr">
        <is>
          <t>FY25</t>
        </is>
      </c>
      <c r="B76" s="9" t="inlineStr">
        <is>
          <t>program</t>
        </is>
      </c>
      <c r="C76" s="9" t="inlineStr">
        <is>
          <t>1120</t>
        </is>
      </c>
      <c r="D76" s="9" t="inlineStr">
        <is>
          <t>FY25 Adopted</t>
        </is>
      </c>
      <c r="E76" s="16" t="n">
        <v>1203795</v>
      </c>
      <c r="F76" s="16" t="n">
        <v>198158</v>
      </c>
      <c r="G76" s="17" t="n">
        <v>1005637</v>
      </c>
    </row>
    <row r="77">
      <c r="A77" s="9" t="inlineStr">
        <is>
          <t>FY25</t>
        </is>
      </c>
      <c r="B77" s="9" t="inlineStr">
        <is>
          <t>program</t>
        </is>
      </c>
      <c r="C77" s="9" t="inlineStr">
        <is>
          <t>1200</t>
        </is>
      </c>
      <c r="D77" s="9" t="inlineStr">
        <is>
          <t>FY21 Actual</t>
        </is>
      </c>
      <c r="E77" s="16" t="n">
        <v>3579639.78</v>
      </c>
      <c r="F77" s="16" t="n">
        <v>3597639.78</v>
      </c>
      <c r="G77" s="17" t="n">
        <v>-17999.99999999953</v>
      </c>
    </row>
    <row r="78">
      <c r="A78" s="9" t="inlineStr">
        <is>
          <t>FY25</t>
        </is>
      </c>
      <c r="B78" s="9" t="inlineStr">
        <is>
          <t>program</t>
        </is>
      </c>
      <c r="C78" s="9" t="inlineStr">
        <is>
          <t>4100</t>
        </is>
      </c>
      <c r="D78" s="9" t="inlineStr">
        <is>
          <t>FY21 Actual</t>
        </is>
      </c>
      <c r="E78" s="16" t="n">
        <v>32010.77</v>
      </c>
      <c r="F78" s="16" t="n">
        <v>7534.99</v>
      </c>
      <c r="G78" s="17" t="n">
        <v>24475.78</v>
      </c>
    </row>
    <row r="79">
      <c r="A79" s="9" t="inlineStr">
        <is>
          <t>FY25</t>
        </is>
      </c>
      <c r="B79" s="9" t="inlineStr">
        <is>
          <t>program</t>
        </is>
      </c>
      <c r="C79" s="9" t="inlineStr">
        <is>
          <t>4100</t>
        </is>
      </c>
      <c r="D79" s="9" t="inlineStr">
        <is>
          <t>FY22 Actual</t>
        </is>
      </c>
      <c r="E79" s="16" t="n">
        <v>109243.04</v>
      </c>
      <c r="F79" s="16" t="n">
        <v>22074.56</v>
      </c>
      <c r="G79" s="17" t="n">
        <v>87168.48</v>
      </c>
    </row>
    <row r="80">
      <c r="A80" s="9" t="inlineStr">
        <is>
          <t>FY25</t>
        </is>
      </c>
      <c r="B80" s="9" t="inlineStr">
        <is>
          <t>program</t>
        </is>
      </c>
      <c r="C80" s="9" t="inlineStr">
        <is>
          <t>4100</t>
        </is>
      </c>
      <c r="D80" s="9" t="inlineStr">
        <is>
          <t>FY23 Actual</t>
        </is>
      </c>
      <c r="E80" s="16" t="n">
        <v>246704.06</v>
      </c>
      <c r="F80" s="16" t="n">
        <v>207136.66</v>
      </c>
      <c r="G80" s="17" t="n">
        <v>39567.39999999999</v>
      </c>
    </row>
    <row r="81">
      <c r="A81" s="9" t="inlineStr">
        <is>
          <t>FY26</t>
        </is>
      </c>
      <c r="B81" s="9" t="inlineStr">
        <is>
          <t>cost_center</t>
        </is>
      </c>
      <c r="C81" s="9" t="inlineStr">
        <is>
          <t>010</t>
        </is>
      </c>
      <c r="D81" s="9" t="inlineStr">
        <is>
          <t>FY22 Actual</t>
        </is>
      </c>
      <c r="E81" s="16" t="n">
        <v>2998568.33</v>
      </c>
      <c r="F81" s="16" t="n">
        <v>3001860.29</v>
      </c>
      <c r="G81" s="17" t="n">
        <v>-3291.959999999963</v>
      </c>
    </row>
    <row r="82">
      <c r="A82" s="9" t="inlineStr">
        <is>
          <t>FY26</t>
        </is>
      </c>
      <c r="B82" s="9" t="inlineStr">
        <is>
          <t>cost_center</t>
        </is>
      </c>
      <c r="C82" s="9" t="inlineStr">
        <is>
          <t>020</t>
        </is>
      </c>
      <c r="D82" s="9" t="inlineStr">
        <is>
          <t>FY22 Actual</t>
        </is>
      </c>
      <c r="E82" s="16" t="n">
        <v>2048557.15</v>
      </c>
      <c r="F82" s="16" t="n">
        <v>2053282.02</v>
      </c>
      <c r="G82" s="17" t="n">
        <v>-4724.870000000112</v>
      </c>
    </row>
    <row r="83">
      <c r="A83" s="9" t="inlineStr">
        <is>
          <t>FY26</t>
        </is>
      </c>
      <c r="B83" s="9" t="inlineStr">
        <is>
          <t>cost_center</t>
        </is>
      </c>
      <c r="C83" s="9" t="inlineStr">
        <is>
          <t>020</t>
        </is>
      </c>
      <c r="D83" s="9" t="inlineStr">
        <is>
          <t>FY23 Actual</t>
        </is>
      </c>
      <c r="E83" s="16" t="n">
        <v>2096218.59</v>
      </c>
      <c r="F83" s="16" t="n">
        <v>2093487.74</v>
      </c>
      <c r="G83" s="17" t="n">
        <v>2730.850000000093</v>
      </c>
    </row>
    <row r="84">
      <c r="A84" s="9" t="inlineStr">
        <is>
          <t>FY26</t>
        </is>
      </c>
      <c r="B84" s="9" t="inlineStr">
        <is>
          <t>cost_center</t>
        </is>
      </c>
      <c r="C84" s="9" t="inlineStr">
        <is>
          <t>020</t>
        </is>
      </c>
      <c r="D84" s="9" t="inlineStr">
        <is>
          <t>FY24 Actual</t>
        </is>
      </c>
      <c r="E84" s="16" t="n">
        <v>2059352</v>
      </c>
      <c r="F84" s="16" t="n">
        <v>2055158.06</v>
      </c>
      <c r="G84" s="17" t="n">
        <v>4193.940000000177</v>
      </c>
    </row>
    <row r="85">
      <c r="A85" s="9" t="inlineStr">
        <is>
          <t>FY26</t>
        </is>
      </c>
      <c r="B85" s="9" t="inlineStr">
        <is>
          <t>cost_center</t>
        </is>
      </c>
      <c r="C85" s="9" t="inlineStr">
        <is>
          <t>020</t>
        </is>
      </c>
      <c r="D85" s="9" t="inlineStr">
        <is>
          <t>FY26 Adopted</t>
        </is>
      </c>
      <c r="E85" s="16" t="n">
        <v>2335004</v>
      </c>
      <c r="F85" s="16" t="n">
        <v>2348004</v>
      </c>
      <c r="G85" s="17" t="n">
        <v>-13000</v>
      </c>
    </row>
    <row r="86">
      <c r="A86" s="9" t="inlineStr">
        <is>
          <t>FY26</t>
        </is>
      </c>
      <c r="B86" s="9" t="inlineStr">
        <is>
          <t>cost_center</t>
        </is>
      </c>
      <c r="C86" s="9" t="inlineStr">
        <is>
          <t>050</t>
        </is>
      </c>
      <c r="D86" s="9" t="inlineStr">
        <is>
          <t>FY22 Actual</t>
        </is>
      </c>
      <c r="E86" s="16" t="n">
        <v>2407836.2</v>
      </c>
      <c r="F86" s="16" t="n">
        <v>2408472.2</v>
      </c>
      <c r="G86" s="17" t="n">
        <v>-636</v>
      </c>
    </row>
    <row r="87">
      <c r="A87" s="9" t="inlineStr">
        <is>
          <t>FY26</t>
        </is>
      </c>
      <c r="B87" s="9" t="inlineStr">
        <is>
          <t>cost_center</t>
        </is>
      </c>
      <c r="C87" s="9" t="inlineStr">
        <is>
          <t>050</t>
        </is>
      </c>
      <c r="D87" s="9" t="inlineStr">
        <is>
          <t>FY23 Actual</t>
        </is>
      </c>
      <c r="E87" s="16" t="n">
        <v>2526225.42</v>
      </c>
      <c r="F87" s="16" t="n">
        <v>2526861.42</v>
      </c>
      <c r="G87" s="17" t="n">
        <v>-636</v>
      </c>
    </row>
    <row r="88">
      <c r="A88" s="9" t="inlineStr">
        <is>
          <t>FY26</t>
        </is>
      </c>
      <c r="B88" s="9" t="inlineStr">
        <is>
          <t>cost_center</t>
        </is>
      </c>
      <c r="C88" s="9" t="inlineStr">
        <is>
          <t>300</t>
        </is>
      </c>
      <c r="D88" s="9" t="inlineStr">
        <is>
          <t>FY22 Actual</t>
        </is>
      </c>
      <c r="E88" s="16" t="n">
        <v>4011877.64</v>
      </c>
      <c r="F88" s="16" t="n">
        <v>4029891.03</v>
      </c>
      <c r="G88" s="17" t="n">
        <v>-18013.39000000013</v>
      </c>
    </row>
    <row r="89">
      <c r="A89" s="9" t="inlineStr">
        <is>
          <t>FY26</t>
        </is>
      </c>
      <c r="B89" s="9" t="inlineStr">
        <is>
          <t>cost_center</t>
        </is>
      </c>
      <c r="C89" s="9" t="inlineStr">
        <is>
          <t>300</t>
        </is>
      </c>
      <c r="D89" s="9" t="inlineStr">
        <is>
          <t>FY23 Actual</t>
        </is>
      </c>
      <c r="E89" s="16" t="n">
        <v>4167883.78</v>
      </c>
      <c r="F89" s="16" t="n">
        <v>4167049.98</v>
      </c>
      <c r="G89" s="17" t="n">
        <v>833.8000000002794</v>
      </c>
    </row>
    <row r="90">
      <c r="A90" s="9" t="inlineStr">
        <is>
          <t>FY26</t>
        </is>
      </c>
      <c r="B90" s="9" t="inlineStr">
        <is>
          <t>cost_center</t>
        </is>
      </c>
      <c r="C90" s="9" t="inlineStr">
        <is>
          <t>300</t>
        </is>
      </c>
      <c r="D90" s="9" t="inlineStr">
        <is>
          <t>FY24 Actual</t>
        </is>
      </c>
      <c r="E90" s="16" t="n">
        <v>4473905.11</v>
      </c>
      <c r="F90" s="16" t="n">
        <v>4476486.26</v>
      </c>
      <c r="G90" s="17" t="n">
        <v>-2581.149999999441</v>
      </c>
    </row>
    <row r="91">
      <c r="A91" s="9" t="inlineStr">
        <is>
          <t>FY26</t>
        </is>
      </c>
      <c r="B91" s="9" t="inlineStr">
        <is>
          <t>cost_center</t>
        </is>
      </c>
      <c r="C91" s="9" t="inlineStr">
        <is>
          <t>300</t>
        </is>
      </c>
      <c r="D91" s="9" t="inlineStr">
        <is>
          <t>FY25 Adopted</t>
        </is>
      </c>
      <c r="E91" s="16" t="n">
        <v>4929280</v>
      </c>
      <c r="F91" s="16" t="n">
        <v>4928945</v>
      </c>
      <c r="G91" s="17" t="n">
        <v>335</v>
      </c>
    </row>
    <row r="92">
      <c r="A92" s="9" t="inlineStr">
        <is>
          <t>FY26</t>
        </is>
      </c>
      <c r="B92" s="9" t="inlineStr">
        <is>
          <t>cost_center</t>
        </is>
      </c>
      <c r="C92" s="9" t="inlineStr">
        <is>
          <t>300</t>
        </is>
      </c>
      <c r="D92" s="9" t="inlineStr">
        <is>
          <t>FY26 Adopted</t>
        </is>
      </c>
      <c r="E92" s="16" t="n">
        <v>5031729</v>
      </c>
      <c r="F92" s="16" t="n">
        <v>5085884</v>
      </c>
      <c r="G92" s="17" t="n">
        <v>-54155</v>
      </c>
    </row>
    <row r="93">
      <c r="A93" s="9" t="inlineStr">
        <is>
          <t>FY26</t>
        </is>
      </c>
      <c r="B93" s="9" t="inlineStr">
        <is>
          <t>program</t>
        </is>
      </c>
      <c r="C93" s="9" t="inlineStr">
        <is>
          <t>1100</t>
        </is>
      </c>
      <c r="D93" s="9" t="inlineStr">
        <is>
          <t>FY22 Actual</t>
        </is>
      </c>
      <c r="E93" s="16" t="n">
        <v>8914119.84</v>
      </c>
      <c r="F93" s="16" t="n">
        <v>2380788.86</v>
      </c>
      <c r="G93" s="17" t="n">
        <v>6533330.98</v>
      </c>
    </row>
    <row r="94">
      <c r="A94" s="9" t="inlineStr">
        <is>
          <t>FY26</t>
        </is>
      </c>
      <c r="B94" s="9" t="inlineStr">
        <is>
          <t>program</t>
        </is>
      </c>
      <c r="C94" s="9" t="inlineStr">
        <is>
          <t>1100</t>
        </is>
      </c>
      <c r="D94" s="9" t="inlineStr">
        <is>
          <t>FY23 Actual</t>
        </is>
      </c>
      <c r="E94" s="16" t="n">
        <v>9541670.470000001</v>
      </c>
      <c r="F94" s="16" t="n">
        <v>2500474.73</v>
      </c>
      <c r="G94" s="17" t="n">
        <v>7041195.74</v>
      </c>
    </row>
    <row r="95">
      <c r="A95" s="9" t="inlineStr">
        <is>
          <t>FY26</t>
        </is>
      </c>
      <c r="B95" s="9" t="inlineStr">
        <is>
          <t>program</t>
        </is>
      </c>
      <c r="C95" s="9" t="inlineStr">
        <is>
          <t>1100</t>
        </is>
      </c>
      <c r="D95" s="9" t="inlineStr">
        <is>
          <t>FY24 Actual</t>
        </is>
      </c>
      <c r="E95" s="16" t="n">
        <v>10383105.56</v>
      </c>
      <c r="F95" s="16" t="n">
        <v>2736487.22</v>
      </c>
      <c r="G95" s="17" t="n">
        <v>7646618.34</v>
      </c>
    </row>
    <row r="96">
      <c r="A96" s="9" t="inlineStr">
        <is>
          <t>FY26</t>
        </is>
      </c>
      <c r="B96" s="9" t="inlineStr">
        <is>
          <t>program</t>
        </is>
      </c>
      <c r="C96" s="9" t="inlineStr">
        <is>
          <t>1100</t>
        </is>
      </c>
      <c r="D96" s="9" t="inlineStr">
        <is>
          <t>FY25 Adopted</t>
        </is>
      </c>
      <c r="E96" s="16" t="n">
        <v>11544367</v>
      </c>
      <c r="F96" s="16" t="n">
        <v>2992774</v>
      </c>
      <c r="G96" s="17" t="n">
        <v>8551593</v>
      </c>
    </row>
    <row r="97">
      <c r="A97" s="9" t="inlineStr">
        <is>
          <t>FY26</t>
        </is>
      </c>
      <c r="B97" s="9" t="inlineStr">
        <is>
          <t>program</t>
        </is>
      </c>
      <c r="C97" s="9" t="inlineStr">
        <is>
          <t>1100</t>
        </is>
      </c>
      <c r="D97" s="9" t="inlineStr">
        <is>
          <t>FY26 Adopted</t>
        </is>
      </c>
      <c r="E97" s="16" t="n">
        <v>12226934</v>
      </c>
      <c r="F97" s="16" t="n">
        <v>3120759</v>
      </c>
      <c r="G97" s="17" t="n">
        <v>9106175</v>
      </c>
    </row>
    <row r="98">
      <c r="A98" s="9" t="inlineStr">
        <is>
          <t>FY26</t>
        </is>
      </c>
      <c r="B98" s="9" t="inlineStr">
        <is>
          <t>program</t>
        </is>
      </c>
      <c r="C98" s="9" t="inlineStr">
        <is>
          <t>1120</t>
        </is>
      </c>
      <c r="D98" s="9" t="inlineStr">
        <is>
          <t>FY22 Actual</t>
        </is>
      </c>
      <c r="E98" s="16" t="n">
        <v>1104688.95</v>
      </c>
      <c r="F98" s="16" t="n">
        <v>193766.89</v>
      </c>
      <c r="G98" s="17" t="n">
        <v>910922.0599999999</v>
      </c>
    </row>
    <row r="99">
      <c r="A99" s="9" t="inlineStr">
        <is>
          <t>FY26</t>
        </is>
      </c>
      <c r="B99" s="9" t="inlineStr">
        <is>
          <t>program</t>
        </is>
      </c>
      <c r="C99" s="9" t="inlineStr">
        <is>
          <t>1120</t>
        </is>
      </c>
      <c r="D99" s="9" t="inlineStr">
        <is>
          <t>FY23 Actual</t>
        </is>
      </c>
      <c r="E99" s="16" t="n">
        <v>1077623.89</v>
      </c>
      <c r="F99" s="16" t="n">
        <v>175172.65</v>
      </c>
      <c r="G99" s="17" t="n">
        <v>902451.2399999999</v>
      </c>
    </row>
    <row r="100">
      <c r="A100" s="9" t="inlineStr">
        <is>
          <t>FY26</t>
        </is>
      </c>
      <c r="B100" s="9" t="inlineStr">
        <is>
          <t>program</t>
        </is>
      </c>
      <c r="C100" s="9" t="inlineStr">
        <is>
          <t>1120</t>
        </is>
      </c>
      <c r="D100" s="9" t="inlineStr">
        <is>
          <t>FY24 Actual</t>
        </is>
      </c>
      <c r="E100" s="16" t="n">
        <v>1026920.58</v>
      </c>
      <c r="F100" s="16" t="n">
        <v>167158.52</v>
      </c>
      <c r="G100" s="17" t="n">
        <v>859762.0600000001</v>
      </c>
    </row>
    <row r="101">
      <c r="A101" s="9" t="inlineStr">
        <is>
          <t>FY27</t>
        </is>
      </c>
      <c r="B101" s="9" t="inlineStr">
        <is>
          <t>cost_center</t>
        </is>
      </c>
      <c r="C101" s="9" t="inlineStr">
        <is>
          <t>010</t>
        </is>
      </c>
      <c r="D101" s="9" t="inlineStr">
        <is>
          <t>FY23 Actual</t>
        </is>
      </c>
      <c r="E101" s="16" t="n">
        <v>3204628.33</v>
      </c>
      <c r="F101" s="16" t="n">
        <v>3205900.33</v>
      </c>
      <c r="G101" s="17" t="n">
        <v>-1272</v>
      </c>
    </row>
    <row r="102">
      <c r="A102" s="9" t="inlineStr">
        <is>
          <t>FY27</t>
        </is>
      </c>
      <c r="B102" s="9" t="inlineStr">
        <is>
          <t>cost_center</t>
        </is>
      </c>
      <c r="C102" s="9" t="inlineStr">
        <is>
          <t>020</t>
        </is>
      </c>
      <c r="D102" s="9" t="inlineStr">
        <is>
          <t>FY23 Actual</t>
        </is>
      </c>
      <c r="E102" s="16" t="n">
        <v>2096218.59</v>
      </c>
      <c r="F102" s="16" t="n">
        <v>2093487.74</v>
      </c>
      <c r="G102" s="17" t="n">
        <v>2730.850000000093</v>
      </c>
    </row>
    <row r="103">
      <c r="A103" s="9" t="inlineStr">
        <is>
          <t>FY27</t>
        </is>
      </c>
      <c r="B103" s="9" t="inlineStr">
        <is>
          <t>cost_center</t>
        </is>
      </c>
      <c r="C103" s="9" t="inlineStr">
        <is>
          <t>020</t>
        </is>
      </c>
      <c r="D103" s="9" t="inlineStr">
        <is>
          <t>FY24 Actual</t>
        </is>
      </c>
      <c r="E103" s="16" t="n">
        <v>2061819.5</v>
      </c>
      <c r="F103" s="16" t="n">
        <v>2055158.06</v>
      </c>
      <c r="G103" s="17" t="n">
        <v>6661.440000000177</v>
      </c>
    </row>
    <row r="104">
      <c r="A104" s="9" t="inlineStr">
        <is>
          <t>FY27</t>
        </is>
      </c>
      <c r="B104" s="9" t="inlineStr">
        <is>
          <t>cost_center</t>
        </is>
      </c>
      <c r="C104" s="9" t="inlineStr">
        <is>
          <t>020</t>
        </is>
      </c>
      <c r="D104" s="9" t="inlineStr">
        <is>
          <t>FY25 Actual</t>
        </is>
      </c>
      <c r="E104" s="16" t="n">
        <v>2337573.18</v>
      </c>
      <c r="F104" s="16" t="n">
        <v>2340040.68</v>
      </c>
      <c r="G104" s="17" t="n">
        <v>-2467.5</v>
      </c>
    </row>
    <row r="105">
      <c r="A105" s="9" t="inlineStr">
        <is>
          <t>FY27</t>
        </is>
      </c>
      <c r="B105" s="9" t="inlineStr">
        <is>
          <t>cost_center</t>
        </is>
      </c>
      <c r="C105" s="9" t="inlineStr">
        <is>
          <t>020</t>
        </is>
      </c>
      <c r="D105" s="9" t="inlineStr">
        <is>
          <t>FY27 Proposed</t>
        </is>
      </c>
      <c r="E105" s="16" t="n">
        <v>2493278</v>
      </c>
      <c r="F105" s="16" t="n">
        <v>2506278</v>
      </c>
      <c r="G105" s="17" t="n">
        <v>-13000</v>
      </c>
    </row>
    <row r="106">
      <c r="A106" s="9" t="inlineStr">
        <is>
          <t>FY27</t>
        </is>
      </c>
      <c r="B106" s="9" t="inlineStr">
        <is>
          <t>program</t>
        </is>
      </c>
      <c r="C106" s="9" t="inlineStr">
        <is>
          <t>1100</t>
        </is>
      </c>
      <c r="D106" s="9" t="inlineStr">
        <is>
          <t>FY23 Actual</t>
        </is>
      </c>
      <c r="E106" s="16" t="n">
        <v>9541670.470000001</v>
      </c>
      <c r="F106" s="16" t="n">
        <v>2500474.73</v>
      </c>
      <c r="G106" s="17" t="n">
        <v>7041195.74</v>
      </c>
    </row>
    <row r="107">
      <c r="A107" s="9" t="inlineStr">
        <is>
          <t>FY27</t>
        </is>
      </c>
      <c r="B107" s="9" t="inlineStr">
        <is>
          <t>program</t>
        </is>
      </c>
      <c r="C107" s="9" t="inlineStr">
        <is>
          <t>1100</t>
        </is>
      </c>
      <c r="D107" s="9" t="inlineStr">
        <is>
          <t>FY24 Actual</t>
        </is>
      </c>
      <c r="E107" s="16" t="n">
        <v>10385573.06</v>
      </c>
      <c r="F107" s="16" t="n">
        <v>2736487.22</v>
      </c>
      <c r="G107" s="17" t="n">
        <v>7649085.84</v>
      </c>
    </row>
    <row r="108">
      <c r="A108" s="9" t="inlineStr">
        <is>
          <t>FY27</t>
        </is>
      </c>
      <c r="B108" s="9" t="inlineStr">
        <is>
          <t>program</t>
        </is>
      </c>
      <c r="C108" s="9" t="inlineStr">
        <is>
          <t>1100</t>
        </is>
      </c>
      <c r="D108" s="9" t="inlineStr">
        <is>
          <t>FY25 Actual</t>
        </is>
      </c>
      <c r="E108" s="16" t="n">
        <v>11403057.26</v>
      </c>
      <c r="F108" s="16" t="n">
        <v>2895432.51</v>
      </c>
      <c r="G108" s="17" t="n">
        <v>8507624.75</v>
      </c>
    </row>
    <row r="109">
      <c r="A109" s="9" t="inlineStr">
        <is>
          <t>FY27</t>
        </is>
      </c>
      <c r="B109" s="9" t="inlineStr">
        <is>
          <t>program</t>
        </is>
      </c>
      <c r="C109" s="9" t="inlineStr">
        <is>
          <t>1100</t>
        </is>
      </c>
      <c r="D109" s="9" t="inlineStr">
        <is>
          <t>FY26 Adopted</t>
        </is>
      </c>
      <c r="E109" s="16" t="n">
        <v>12239934</v>
      </c>
      <c r="F109" s="16" t="n">
        <v>3120759</v>
      </c>
      <c r="G109" s="17" t="n">
        <v>9119175</v>
      </c>
    </row>
    <row r="110">
      <c r="A110" s="9" t="inlineStr">
        <is>
          <t>FY27</t>
        </is>
      </c>
      <c r="B110" s="9" t="inlineStr">
        <is>
          <t>program</t>
        </is>
      </c>
      <c r="C110" s="9" t="inlineStr">
        <is>
          <t>1100</t>
        </is>
      </c>
      <c r="D110" s="9" t="inlineStr">
        <is>
          <t>FY27 Proposed</t>
        </is>
      </c>
      <c r="E110" s="16" t="n">
        <v>12489120</v>
      </c>
      <c r="F110" s="16" t="n">
        <v>3174928</v>
      </c>
      <c r="G110" s="17" t="n">
        <v>9314192</v>
      </c>
    </row>
    <row r="111">
      <c r="A111" s="9" t="inlineStr">
        <is>
          <t>FY27</t>
        </is>
      </c>
      <c r="B111" s="9" t="inlineStr">
        <is>
          <t>program</t>
        </is>
      </c>
      <c r="C111" s="9" t="inlineStr">
        <is>
          <t>1120</t>
        </is>
      </c>
      <c r="D111" s="9" t="inlineStr">
        <is>
          <t>FY23 Actual</t>
        </is>
      </c>
      <c r="E111" s="16" t="n">
        <v>1077623.89</v>
      </c>
      <c r="F111" s="16" t="n">
        <v>175172.65</v>
      </c>
      <c r="G111" s="17" t="n">
        <v>902451.2399999999</v>
      </c>
    </row>
    <row r="112">
      <c r="A112" s="9" t="inlineStr">
        <is>
          <t>FY27</t>
        </is>
      </c>
      <c r="B112" s="9" t="inlineStr">
        <is>
          <t>program</t>
        </is>
      </c>
      <c r="C112" s="9" t="inlineStr">
        <is>
          <t>1120</t>
        </is>
      </c>
      <c r="D112" s="9" t="inlineStr">
        <is>
          <t>FY24 Actual</t>
        </is>
      </c>
      <c r="E112" s="16" t="n">
        <v>1026920.58</v>
      </c>
      <c r="F112" s="16" t="n">
        <v>167158.52</v>
      </c>
      <c r="G112" s="17" t="n">
        <v>859762.0600000001</v>
      </c>
    </row>
    <row r="113">
      <c r="A113" s="9" t="inlineStr">
        <is>
          <t>FY27</t>
        </is>
      </c>
      <c r="B113" s="9" t="inlineStr">
        <is>
          <t>program</t>
        </is>
      </c>
      <c r="C113" s="9" t="inlineStr">
        <is>
          <t>1120</t>
        </is>
      </c>
      <c r="D113" s="9" t="inlineStr">
        <is>
          <t>FY25 Actual</t>
        </is>
      </c>
      <c r="E113" s="16" t="n">
        <v>1097595.96</v>
      </c>
      <c r="F113" s="16" t="n">
        <v>174203</v>
      </c>
      <c r="G113" s="17" t="n">
        <v>923392.96</v>
      </c>
    </row>
    <row r="114">
      <c r="A114" s="9" t="inlineStr">
        <is>
          <t>FY27</t>
        </is>
      </c>
      <c r="B114" s="9" t="inlineStr">
        <is>
          <t>program</t>
        </is>
      </c>
      <c r="C114" s="9" t="inlineStr">
        <is>
          <t>1120</t>
        </is>
      </c>
      <c r="D114" s="9" t="inlineStr">
        <is>
          <t>FY26 Adopted</t>
        </is>
      </c>
      <c r="E114" s="16" t="n">
        <v>1268860</v>
      </c>
      <c r="F114" s="16" t="n">
        <v>207226</v>
      </c>
      <c r="G114" s="17" t="n">
        <v>1061634</v>
      </c>
    </row>
    <row r="115">
      <c r="A115" s="9" t="inlineStr">
        <is>
          <t>FY27</t>
        </is>
      </c>
      <c r="B115" s="9" t="inlineStr">
        <is>
          <t>program</t>
        </is>
      </c>
      <c r="C115" s="9" t="inlineStr">
        <is>
          <t>1120</t>
        </is>
      </c>
      <c r="D115" s="9" t="inlineStr">
        <is>
          <t>FY27 Proposed</t>
        </is>
      </c>
      <c r="E115" s="16" t="n">
        <v>1298745</v>
      </c>
      <c r="F115" s="16" t="n">
        <v>225731</v>
      </c>
      <c r="G115" s="17" t="n">
        <v>1073014</v>
      </c>
    </row>
    <row r="116">
      <c r="A116" s="9" t="inlineStr">
        <is>
          <t>FY27</t>
        </is>
      </c>
      <c r="B116" s="9" t="inlineStr">
        <is>
          <t>program</t>
        </is>
      </c>
      <c r="C116" s="9" t="inlineStr">
        <is>
          <t>4100</t>
        </is>
      </c>
      <c r="D116" s="9" t="inlineStr">
        <is>
          <t>FY23 Actual</t>
        </is>
      </c>
      <c r="E116" s="16" t="n">
        <v>246704.06</v>
      </c>
      <c r="F116" s="16" t="n">
        <v>207136.66</v>
      </c>
      <c r="G116" s="17" t="n">
        <v>39567.39999999999</v>
      </c>
    </row>
    <row r="117">
      <c r="A117" s="9" t="inlineStr">
        <is>
          <t>FY27</t>
        </is>
      </c>
      <c r="B117" s="9" t="inlineStr">
        <is>
          <t>program</t>
        </is>
      </c>
      <c r="C117" s="9" t="inlineStr">
        <is>
          <t>4100</t>
        </is>
      </c>
      <c r="D117" s="9" t="inlineStr">
        <is>
          <t>FY24 Actual</t>
        </is>
      </c>
      <c r="E117" s="16" t="n">
        <v>323632.11</v>
      </c>
      <c r="F117" s="16" t="n">
        <v>179299.87</v>
      </c>
      <c r="G117" s="17" t="n">
        <v>144332.24</v>
      </c>
    </row>
    <row r="118">
      <c r="A118" s="9" t="inlineStr">
        <is>
          <t>FY27</t>
        </is>
      </c>
      <c r="B118" s="9" t="inlineStr">
        <is>
          <t>program</t>
        </is>
      </c>
      <c r="C118" s="9" t="inlineStr">
        <is>
          <t>4100</t>
        </is>
      </c>
      <c r="D118" s="9" t="inlineStr">
        <is>
          <t>FY25 Actual</t>
        </is>
      </c>
      <c r="E118" s="16" t="n">
        <v>343551.57</v>
      </c>
      <c r="F118" s="16" t="n">
        <v>118423.86</v>
      </c>
      <c r="G118" s="17" t="n">
        <v>225127.71</v>
      </c>
    </row>
    <row r="119">
      <c r="A119" s="9" t="inlineStr">
        <is>
          <t>FY27</t>
        </is>
      </c>
      <c r="B119" s="9" t="inlineStr">
        <is>
          <t>program</t>
        </is>
      </c>
      <c r="C119" s="9" t="inlineStr">
        <is>
          <t>4100</t>
        </is>
      </c>
      <c r="D119" s="9" t="inlineStr">
        <is>
          <t>FY26 Adopted</t>
        </is>
      </c>
      <c r="E119" s="16" t="n">
        <v>333020</v>
      </c>
      <c r="F119" s="16" t="n">
        <v>121451</v>
      </c>
      <c r="G119" s="17" t="n">
        <v>211569</v>
      </c>
    </row>
    <row r="120">
      <c r="A120" s="9" t="inlineStr">
        <is>
          <t>FY27</t>
        </is>
      </c>
      <c r="B120" s="9" t="inlineStr">
        <is>
          <t>program</t>
        </is>
      </c>
      <c r="C120" s="9" t="inlineStr">
        <is>
          <t>4100</t>
        </is>
      </c>
      <c r="D120" s="9" t="inlineStr">
        <is>
          <t>FY27 Proposed</t>
        </is>
      </c>
      <c r="E120" s="16" t="n">
        <v>303677</v>
      </c>
      <c r="F120" s="16" t="n">
        <v>143460</v>
      </c>
      <c r="G120" s="17" t="n">
        <v>160217</v>
      </c>
    </row>
  </sheetData>
  <mergeCells count="2">
    <mergeCell ref="A3:F3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INPUT: FY27 Budget by Article x Cost Center</t>
        </is>
      </c>
    </row>
    <row r="2">
      <c r="A2" s="2" t="inlineStr">
        <is>
          <t>Source: Parsed from budget documents (doc_type=proposed)</t>
        </is>
      </c>
    </row>
    <row r="3">
      <c r="A3" s="2" t="inlineStr">
        <is>
          <t>Baseline status: UNRECONCILED</t>
        </is>
      </c>
    </row>
    <row r="4">
      <c r="A4" s="2" t="inlineStr">
        <is>
          <t>Column shown: FY27 Proposed</t>
        </is>
      </c>
    </row>
    <row r="6">
      <c r="A6" s="4" t="inlineStr">
        <is>
          <t>Article</t>
        </is>
      </c>
      <c r="B6" s="4" t="inlineStr">
        <is>
          <t>DCS</t>
        </is>
      </c>
      <c r="C6" s="4" t="inlineStr">
        <is>
          <t>MSS</t>
        </is>
      </c>
      <c r="D6" s="4" t="inlineStr">
        <is>
          <t>PES</t>
        </is>
      </c>
      <c r="E6" s="4" t="inlineStr">
        <is>
          <t>MLS</t>
        </is>
      </c>
      <c r="F6" s="4" t="inlineStr">
        <is>
          <t>FMS</t>
        </is>
      </c>
      <c r="G6" s="4" t="inlineStr">
        <is>
          <t>FHS</t>
        </is>
      </c>
      <c r="H6" s="4" t="inlineStr">
        <is>
          <t>SYS</t>
        </is>
      </c>
      <c r="I6" s="4" t="inlineStr">
        <is>
          <t>K8</t>
        </is>
      </c>
      <c r="J6" s="4" t="inlineStr">
        <is>
          <t>912</t>
        </is>
      </c>
      <c r="K6" s="4" t="inlineStr">
        <is>
          <t>CTRL</t>
        </is>
      </c>
      <c r="L6" s="4" t="inlineStr">
        <is>
          <t>Total</t>
        </is>
      </c>
    </row>
    <row r="7">
      <c r="A7" s="9" t="inlineStr">
        <is>
          <t>Art 1 - Regular Instruction</t>
        </is>
      </c>
      <c r="B7" s="18" t="n">
        <v>4611862</v>
      </c>
      <c r="C7" s="18" t="n">
        <v>2493278</v>
      </c>
      <c r="D7" s="18" t="n">
        <v>1196683</v>
      </c>
      <c r="E7" s="18" t="n">
        <v>2338114</v>
      </c>
      <c r="F7" s="18" t="n">
        <v>3201928</v>
      </c>
      <c r="G7" s="18" t="n">
        <v>5310140</v>
      </c>
      <c r="H7" s="9" t="n">
        <v>0</v>
      </c>
      <c r="I7" s="18" t="n">
        <v>420852</v>
      </c>
      <c r="J7" s="18" t="n">
        <v>287336</v>
      </c>
      <c r="K7" s="9" t="n">
        <v>0</v>
      </c>
      <c r="L7" s="19">
        <f>SUM(B7:K7)</f>
        <v/>
      </c>
    </row>
    <row r="8">
      <c r="A8" s="9" t="inlineStr">
        <is>
          <t>Art 2 - Special Education</t>
        </is>
      </c>
      <c r="B8" s="18" t="n">
        <v>1553029</v>
      </c>
      <c r="C8" s="18" t="n">
        <v>1037964</v>
      </c>
      <c r="D8" s="18" t="n">
        <v>329115</v>
      </c>
      <c r="E8" s="18" t="n">
        <v>971107</v>
      </c>
      <c r="F8" s="18" t="n">
        <v>1062320</v>
      </c>
      <c r="G8" s="18" t="n">
        <v>1013463</v>
      </c>
      <c r="H8" s="18" t="n">
        <v>836683</v>
      </c>
      <c r="I8" s="18" t="n">
        <v>347140</v>
      </c>
      <c r="J8" s="18" t="n">
        <v>359601</v>
      </c>
      <c r="K8" s="9" t="n">
        <v>0</v>
      </c>
      <c r="L8" s="19">
        <f>SUM(B8:K8)</f>
        <v/>
      </c>
    </row>
    <row r="9">
      <c r="A9" s="9" t="inlineStr">
        <is>
          <t>Art 3 - Career &amp; Technical Education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18" t="n">
        <v>337282</v>
      </c>
      <c r="H9" s="9" t="n">
        <v>0</v>
      </c>
      <c r="I9" s="9" t="n">
        <v>0</v>
      </c>
      <c r="J9" s="9" t="n">
        <v>0</v>
      </c>
      <c r="K9" s="9" t="n">
        <v>0</v>
      </c>
      <c r="L9" s="19">
        <f>SUM(B9:K9)</f>
        <v/>
      </c>
    </row>
    <row r="10">
      <c r="A10" s="9" t="inlineStr">
        <is>
          <t>Art 4 - Other Instruction</t>
        </is>
      </c>
      <c r="B10" s="18" t="n">
        <v>90140</v>
      </c>
      <c r="C10" s="18" t="n">
        <v>7710</v>
      </c>
      <c r="D10" s="18" t="n">
        <v>13125</v>
      </c>
      <c r="E10" s="18" t="n">
        <v>12626</v>
      </c>
      <c r="F10" s="18" t="n">
        <v>248343</v>
      </c>
      <c r="G10" s="18" t="n">
        <v>769494</v>
      </c>
      <c r="H10" s="9" t="n">
        <v>0</v>
      </c>
      <c r="I10" s="18" t="n">
        <v>1536</v>
      </c>
      <c r="J10" s="9" t="n">
        <v>0</v>
      </c>
      <c r="K10" s="9" t="n">
        <v>0</v>
      </c>
      <c r="L10" s="19">
        <f>SUM(B10:K10)</f>
        <v/>
      </c>
    </row>
    <row r="11">
      <c r="A11" s="9" t="inlineStr">
        <is>
          <t>Art 5 - Student &amp; Staff Support</t>
        </is>
      </c>
      <c r="B11" s="18" t="n">
        <v>581386</v>
      </c>
      <c r="C11" s="18" t="n">
        <v>400046</v>
      </c>
      <c r="D11" s="18" t="n">
        <v>219819</v>
      </c>
      <c r="E11" s="18" t="n">
        <v>363844</v>
      </c>
      <c r="F11" s="18" t="n">
        <v>490321</v>
      </c>
      <c r="G11" s="18" t="n">
        <v>1061829</v>
      </c>
      <c r="H11" s="18" t="n">
        <v>1523668</v>
      </c>
      <c r="I11" s="18" t="n">
        <v>249421</v>
      </c>
      <c r="J11" s="18" t="n">
        <v>16032</v>
      </c>
      <c r="K11" s="9" t="n">
        <v>0</v>
      </c>
      <c r="L11" s="19">
        <f>SUM(B11:K11)</f>
        <v/>
      </c>
    </row>
    <row r="12">
      <c r="A12" s="9" t="inlineStr">
        <is>
          <t>Art 6 - System Administration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18" t="n">
        <v>1308008</v>
      </c>
      <c r="I12" s="9" t="n">
        <v>0</v>
      </c>
      <c r="J12" s="9" t="n">
        <v>0</v>
      </c>
      <c r="K12" s="9" t="n">
        <v>0</v>
      </c>
      <c r="L12" s="19">
        <f>SUM(B12:K12)</f>
        <v/>
      </c>
    </row>
    <row r="13">
      <c r="A13" s="9" t="inlineStr">
        <is>
          <t>Art 7 - School Administration</t>
        </is>
      </c>
      <c r="B13" s="18" t="n">
        <v>515193</v>
      </c>
      <c r="C13" s="18" t="n">
        <v>421185</v>
      </c>
      <c r="D13" s="18" t="n">
        <v>257979</v>
      </c>
      <c r="E13" s="18" t="n">
        <v>400206</v>
      </c>
      <c r="F13" s="18" t="n">
        <v>462558</v>
      </c>
      <c r="G13" s="18" t="n">
        <v>580903</v>
      </c>
      <c r="H13" s="9" t="n">
        <v>0</v>
      </c>
      <c r="I13" s="9" t="n">
        <v>0</v>
      </c>
      <c r="J13" s="9" t="n">
        <v>0</v>
      </c>
      <c r="K13" s="9" t="n">
        <v>0</v>
      </c>
      <c r="L13" s="19">
        <f>SUM(B13:K13)</f>
        <v/>
      </c>
    </row>
    <row r="14">
      <c r="A14" s="9" t="inlineStr">
        <is>
          <t>Art 8 - Transportation &amp; Buses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18" t="n">
        <v>2388457</v>
      </c>
      <c r="I14" s="9" t="n">
        <v>0</v>
      </c>
      <c r="J14" s="9" t="n">
        <v>0</v>
      </c>
      <c r="K14" s="9" t="n">
        <v>0</v>
      </c>
      <c r="L14" s="19">
        <f>SUM(B14:K14)</f>
        <v/>
      </c>
    </row>
    <row r="15">
      <c r="A15" s="9" t="inlineStr">
        <is>
          <t>Art 9 - Facilities &amp; Maintenance</t>
        </is>
      </c>
      <c r="B15" s="18" t="n">
        <v>683965</v>
      </c>
      <c r="C15" s="18" t="n">
        <v>569640</v>
      </c>
      <c r="D15" s="18" t="n">
        <v>253384</v>
      </c>
      <c r="E15" s="18" t="n">
        <v>482373</v>
      </c>
      <c r="F15" s="18" t="n">
        <v>641780</v>
      </c>
      <c r="G15" s="18" t="n">
        <v>1745609</v>
      </c>
      <c r="H15" s="18" t="n">
        <v>1564602</v>
      </c>
      <c r="I15" s="9" t="n">
        <v>0</v>
      </c>
      <c r="J15" s="9" t="n">
        <v>0</v>
      </c>
      <c r="K15" s="9" t="n">
        <v>0</v>
      </c>
      <c r="L15" s="19">
        <f>SUM(B15:K15)</f>
        <v/>
      </c>
    </row>
    <row r="16">
      <c r="A16" s="9" t="inlineStr">
        <is>
          <t>Art 10 - Debt Service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18" t="n">
        <v>1071577</v>
      </c>
      <c r="I16" s="9" t="n">
        <v>0</v>
      </c>
      <c r="J16" s="9" t="n">
        <v>0</v>
      </c>
      <c r="K16" s="9" t="n">
        <v>0</v>
      </c>
      <c r="L16" s="19">
        <f>SUM(B16:K16)</f>
        <v/>
      </c>
    </row>
    <row r="17">
      <c r="A17" s="9" t="inlineStr">
        <is>
          <t>Art 11 - All Other Expenses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18" t="n">
        <v>69796</v>
      </c>
      <c r="I17" s="9" t="n">
        <v>0</v>
      </c>
      <c r="J17" s="9" t="n">
        <v>0</v>
      </c>
      <c r="K17" s="9" t="n">
        <v>0</v>
      </c>
      <c r="L17" s="19">
        <f>SUM(B17:K17)</f>
        <v/>
      </c>
    </row>
    <row r="18">
      <c r="A18" s="12" t="inlineStr">
        <is>
          <t>GRAND TOTAL</t>
        </is>
      </c>
      <c r="B18" s="13">
        <f>SUM(B7:B17)</f>
        <v/>
      </c>
      <c r="C18" s="13">
        <f>SUM(C7:C17)</f>
        <v/>
      </c>
      <c r="D18" s="13">
        <f>SUM(D7:D17)</f>
        <v/>
      </c>
      <c r="E18" s="13">
        <f>SUM(E7:E17)</f>
        <v/>
      </c>
      <c r="F18" s="13">
        <f>SUM(F7:F17)</f>
        <v/>
      </c>
      <c r="G18" s="13">
        <f>SUM(G7:G17)</f>
        <v/>
      </c>
      <c r="H18" s="13">
        <f>SUM(H7:H17)</f>
        <v/>
      </c>
      <c r="I18" s="13">
        <f>SUM(I7:I17)</f>
        <v/>
      </c>
      <c r="J18" s="13">
        <f>SUM(J7:J17)</f>
        <v/>
      </c>
      <c r="K18" s="13">
        <f>SUM(K7:K17)</f>
        <v/>
      </c>
      <c r="L18" s="13">
        <f>SUM(L7:L17)</f>
        <v/>
      </c>
    </row>
    <row r="20">
      <c r="A20" s="3" t="inlineStr">
        <is>
          <t>Per-Student Direct Cost</t>
        </is>
      </c>
    </row>
    <row r="21">
      <c r="A21" s="15" t="inlineStr">
        <is>
          <t>Enrollment from FY27 Budget Handbook (Oct 2026 projected)</t>
        </is>
      </c>
    </row>
    <row r="22">
      <c r="A22" s="4" t="inlineStr">
        <is>
          <t>School</t>
        </is>
      </c>
      <c r="B22" s="4" t="inlineStr">
        <is>
          <t>DCS</t>
        </is>
      </c>
      <c r="C22" s="4" t="inlineStr">
        <is>
          <t>MSS</t>
        </is>
      </c>
      <c r="D22" s="4" t="inlineStr">
        <is>
          <t>PES</t>
        </is>
      </c>
      <c r="E22" s="4" t="inlineStr">
        <is>
          <t>MLS</t>
        </is>
      </c>
      <c r="F22" s="4" t="inlineStr">
        <is>
          <t>FMS</t>
        </is>
      </c>
      <c r="G22" s="4" t="inlineStr">
        <is>
          <t>FHS</t>
        </is>
      </c>
    </row>
    <row r="23">
      <c r="A23" s="5" t="inlineStr">
        <is>
          <t>Enrollment (Oct 2026P)</t>
        </is>
      </c>
      <c r="B23" s="18" t="n">
        <v>467</v>
      </c>
      <c r="C23" s="18" t="n">
        <v>274</v>
      </c>
      <c r="D23" s="18" t="n">
        <v>105</v>
      </c>
      <c r="E23" s="18" t="n">
        <v>264</v>
      </c>
      <c r="F23" s="18" t="n">
        <v>306</v>
      </c>
      <c r="G23" s="18" t="n">
        <v>554</v>
      </c>
    </row>
    <row r="24">
      <c r="A24" s="5" t="inlineStr">
        <is>
          <t>Direct Cost</t>
        </is>
      </c>
      <c r="B24" s="20">
        <f>SUM(B7:B17)</f>
        <v/>
      </c>
      <c r="C24" s="20">
        <f>SUM(C7:C17)</f>
        <v/>
      </c>
      <c r="D24" s="20">
        <f>SUM(D7:D17)</f>
        <v/>
      </c>
      <c r="E24" s="20">
        <f>SUM(E7:E17)</f>
        <v/>
      </c>
      <c r="F24" s="20">
        <f>SUM(F7:F17)</f>
        <v/>
      </c>
      <c r="G24" s="20">
        <f>SUM(G7:G17)</f>
        <v/>
      </c>
    </row>
    <row r="25">
      <c r="A25" s="12" t="inlineStr">
        <is>
          <t>Cost per Student</t>
        </is>
      </c>
      <c r="B25" s="13">
        <f>IF(B23=0,0,B24/B23)</f>
        <v/>
      </c>
      <c r="C25" s="13">
        <f>IF(C23=0,0,C24/C23)</f>
        <v/>
      </c>
      <c r="D25" s="13">
        <f>IF(D23=0,0,D24/D23)</f>
        <v/>
      </c>
      <c r="E25" s="13">
        <f>IF(E23=0,0,E24/E23)</f>
        <v/>
      </c>
      <c r="F25" s="13">
        <f>IF(F23=0,0,F24/F23)</f>
        <v/>
      </c>
      <c r="G25" s="13">
        <f>IF(G23=0,0,G24/G23)</f>
        <v/>
      </c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CALC: Budget Growth Trends by Article</t>
        </is>
      </c>
    </row>
    <row r="2">
      <c r="A2" s="2" t="inlineStr">
        <is>
          <t>Article totals computed independently from parsed line-item data.</t>
        </is>
      </c>
    </row>
    <row r="3">
      <c r="A3" s="2" t="inlineStr">
        <is>
          <t>Growth and CAGR computed via Excel formulas.</t>
        </is>
      </c>
    </row>
    <row r="5">
      <c r="A5" s="4" t="inlineStr">
        <is>
          <t>Article</t>
        </is>
      </c>
      <c r="B5" s="4" t="inlineStr">
        <is>
          <t>FY22</t>
        </is>
      </c>
      <c r="C5" s="4" t="inlineStr">
        <is>
          <t>FY23</t>
        </is>
      </c>
      <c r="D5" s="4" t="inlineStr">
        <is>
          <t>FY24</t>
        </is>
      </c>
      <c r="E5" s="4" t="inlineStr">
        <is>
          <t>FY25</t>
        </is>
      </c>
      <c r="F5" s="4" t="inlineStr">
        <is>
          <t>FY26</t>
        </is>
      </c>
      <c r="G5" s="4" t="inlineStr">
        <is>
          <t>FY27</t>
        </is>
      </c>
      <c r="H5" s="4" t="inlineStr">
        <is>
          <t>Total Growth</t>
        </is>
      </c>
      <c r="I5" s="4" t="inlineStr">
        <is>
          <t>Avg Annual</t>
        </is>
      </c>
    </row>
    <row r="6">
      <c r="A6" s="9" t="inlineStr">
        <is>
          <t>Art 1 - Regular Instruction</t>
        </is>
      </c>
      <c r="B6" s="10" t="n">
        <v>15107880</v>
      </c>
      <c r="C6" s="10" t="n">
        <v>16356356</v>
      </c>
      <c r="D6" s="10" t="n">
        <v>17021480</v>
      </c>
      <c r="E6" s="10" t="n">
        <v>18390052</v>
      </c>
      <c r="F6" s="10" t="n">
        <v>19289106</v>
      </c>
      <c r="G6" s="10" t="n">
        <v>19860193</v>
      </c>
      <c r="H6" s="11">
        <f>IF(B6=0,0,G6/B6-1)</f>
        <v/>
      </c>
      <c r="I6" s="11">
        <f>IF(B6=0,0,(G6/B6)^(1/5)-1)</f>
        <v/>
      </c>
    </row>
    <row r="7">
      <c r="A7" s="9" t="inlineStr">
        <is>
          <t>Art 2 - Special Education</t>
        </is>
      </c>
      <c r="B7" s="10" t="n">
        <v>4688560</v>
      </c>
      <c r="C7" s="10" t="n">
        <v>4703567</v>
      </c>
      <c r="D7" s="10" t="n">
        <v>5074090</v>
      </c>
      <c r="E7" s="10" t="n">
        <v>5870507</v>
      </c>
      <c r="F7" s="10" t="n">
        <v>6513451</v>
      </c>
      <c r="G7" s="10" t="n">
        <v>7510422</v>
      </c>
      <c r="H7" s="11">
        <f>IF(B7=0,0,G7/B7-1)</f>
        <v/>
      </c>
      <c r="I7" s="11">
        <f>IF(B7=0,0,(G7/B7)^(1/5)-1)</f>
        <v/>
      </c>
    </row>
    <row r="8">
      <c r="A8" s="9" t="inlineStr">
        <is>
          <t>Art 3 - Career &amp; Technical Education</t>
        </is>
      </c>
      <c r="B8" s="10" t="n">
        <v>101706</v>
      </c>
      <c r="C8" s="10" t="n">
        <v>29.11</v>
      </c>
      <c r="D8" s="9" t="n"/>
      <c r="E8" s="10" t="n">
        <v>289668</v>
      </c>
      <c r="F8" s="10" t="n">
        <v>17977</v>
      </c>
      <c r="G8" s="10" t="n">
        <v>337282</v>
      </c>
      <c r="H8" s="11">
        <f>IF(B8=0,0,G8/B8-1)</f>
        <v/>
      </c>
      <c r="I8" s="11">
        <f>IF(B8=0,0,(G8/B8)^(1/5)-1)</f>
        <v/>
      </c>
    </row>
    <row r="9">
      <c r="A9" s="9" t="inlineStr">
        <is>
          <t>Art 4 - Other Instruction</t>
        </is>
      </c>
      <c r="B9" s="10" t="n">
        <v>832340</v>
      </c>
      <c r="C9" s="10" t="n">
        <v>856841</v>
      </c>
      <c r="D9" s="10" t="n">
        <v>1015667</v>
      </c>
      <c r="E9" s="10" t="n">
        <v>1006604</v>
      </c>
      <c r="F9" s="10" t="n">
        <v>1090110</v>
      </c>
      <c r="G9" s="10" t="n">
        <v>1142974</v>
      </c>
      <c r="H9" s="11">
        <f>IF(B9=0,0,G9/B9-1)</f>
        <v/>
      </c>
      <c r="I9" s="11">
        <f>IF(B9=0,0,(G9/B9)^(1/5)-1)</f>
        <v/>
      </c>
    </row>
    <row r="10">
      <c r="A10" s="9" t="inlineStr">
        <is>
          <t>Art 5 - Student &amp; Staff Support</t>
        </is>
      </c>
      <c r="B10" s="10" t="n">
        <v>3160872</v>
      </c>
      <c r="C10" s="10" t="n">
        <v>3594807</v>
      </c>
      <c r="D10" s="10" t="n">
        <v>3822402</v>
      </c>
      <c r="E10" s="10" t="n">
        <v>4371246</v>
      </c>
      <c r="F10" s="10" t="n">
        <v>4644307</v>
      </c>
      <c r="G10" s="10" t="n">
        <v>4906366</v>
      </c>
      <c r="H10" s="11">
        <f>IF(B10=0,0,G10/B10-1)</f>
        <v/>
      </c>
      <c r="I10" s="11">
        <f>IF(B10=0,0,(G10/B10)^(1/5)-1)</f>
        <v/>
      </c>
    </row>
    <row r="11">
      <c r="A11" s="9" t="inlineStr">
        <is>
          <t>Art 6 - System Administration</t>
        </is>
      </c>
      <c r="B11" s="10" t="n">
        <v>1013211</v>
      </c>
      <c r="C11" s="10" t="n">
        <v>990353</v>
      </c>
      <c r="D11" s="10" t="n">
        <v>1021441</v>
      </c>
      <c r="E11" s="10" t="n">
        <v>1179440</v>
      </c>
      <c r="F11" s="10" t="n">
        <v>1263587</v>
      </c>
      <c r="G11" s="10" t="n">
        <v>1308008</v>
      </c>
      <c r="H11" s="11">
        <f>IF(B11=0,0,G11/B11-1)</f>
        <v/>
      </c>
      <c r="I11" s="11">
        <f>IF(B11=0,0,(G11/B11)^(1/5)-1)</f>
        <v/>
      </c>
    </row>
    <row r="12">
      <c r="A12" s="9" t="inlineStr">
        <is>
          <t>Art 7 - School Administration</t>
        </is>
      </c>
      <c r="B12" s="10" t="n">
        <v>1727711</v>
      </c>
      <c r="C12" s="10" t="n">
        <v>1942616</v>
      </c>
      <c r="D12" s="10" t="n">
        <v>2067029</v>
      </c>
      <c r="E12" s="10" t="n">
        <v>2342210</v>
      </c>
      <c r="F12" s="10" t="n">
        <v>2514485</v>
      </c>
      <c r="G12" s="10" t="n">
        <v>2638024</v>
      </c>
      <c r="H12" s="11">
        <f>IF(B12=0,0,G12/B12-1)</f>
        <v/>
      </c>
      <c r="I12" s="11">
        <f>IF(B12=0,0,(G12/B12)^(1/5)-1)</f>
        <v/>
      </c>
    </row>
    <row r="13">
      <c r="A13" s="9" t="inlineStr">
        <is>
          <t>Art 8 - Transportation &amp; Buses</t>
        </is>
      </c>
      <c r="B13" s="10" t="n">
        <v>1473419</v>
      </c>
      <c r="C13" s="10" t="n">
        <v>1438023</v>
      </c>
      <c r="D13" s="10" t="n">
        <v>1551608</v>
      </c>
      <c r="E13" s="10" t="n">
        <v>1586682</v>
      </c>
      <c r="F13" s="10" t="n">
        <v>1931576</v>
      </c>
      <c r="G13" s="10" t="n">
        <v>2388457</v>
      </c>
      <c r="H13" s="11">
        <f>IF(B13=0,0,G13/B13-1)</f>
        <v/>
      </c>
      <c r="I13" s="11">
        <f>IF(B13=0,0,(G13/B13)^(1/5)-1)</f>
        <v/>
      </c>
    </row>
    <row r="14">
      <c r="A14" s="9" t="inlineStr">
        <is>
          <t>Art 9 - Facilities &amp; Maintenance</t>
        </is>
      </c>
      <c r="B14" s="10" t="n">
        <v>5028523</v>
      </c>
      <c r="C14" s="10" t="n">
        <v>5100232</v>
      </c>
      <c r="D14" s="10" t="n">
        <v>5167753.71</v>
      </c>
      <c r="E14" s="10" t="n">
        <v>5139408</v>
      </c>
      <c r="F14" s="10" t="n">
        <v>5490511</v>
      </c>
      <c r="G14" s="10" t="n">
        <v>5993777</v>
      </c>
      <c r="H14" s="11">
        <f>IF(B14=0,0,G14/B14-1)</f>
        <v/>
      </c>
      <c r="I14" s="11">
        <f>IF(B14=0,0,(G14/B14)^(1/5)-1)</f>
        <v/>
      </c>
    </row>
    <row r="15">
      <c r="A15" s="9" t="inlineStr">
        <is>
          <t>Art 10 - Debt Service</t>
        </is>
      </c>
      <c r="B15" s="10" t="n">
        <v>1427247</v>
      </c>
      <c r="C15" s="10" t="n">
        <v>-27346</v>
      </c>
      <c r="D15" s="10" t="n">
        <v>-42208</v>
      </c>
      <c r="E15" s="10" t="n">
        <v>1111064</v>
      </c>
      <c r="F15" s="10" t="n">
        <v>1087428</v>
      </c>
      <c r="G15" s="10" t="n">
        <v>1071577</v>
      </c>
      <c r="H15" s="11">
        <f>IF(B15=0,0,G15/B15-1)</f>
        <v/>
      </c>
      <c r="I15" s="11">
        <f>IF(B15=0,0,(G15/B15)^(1/5)-1)</f>
        <v/>
      </c>
    </row>
    <row r="16">
      <c r="A16" s="9" t="inlineStr">
        <is>
          <t>Art 11 - All Other Expenses</t>
        </is>
      </c>
      <c r="B16" s="10" t="n">
        <v>294645</v>
      </c>
      <c r="C16" s="9" t="n"/>
      <c r="D16" s="9" t="n"/>
      <c r="E16" s="10" t="n">
        <v>185334</v>
      </c>
      <c r="F16" s="10" t="n">
        <v>139591</v>
      </c>
      <c r="G16" s="10" t="n">
        <v>69796</v>
      </c>
      <c r="H16" s="11">
        <f>IF(B16=0,0,G16/B16-1)</f>
        <v/>
      </c>
      <c r="I16" s="11">
        <f>IF(B16=0,0,(G16/B16)^(1/5)-1)</f>
        <v/>
      </c>
    </row>
    <row r="17">
      <c r="A17" s="12" t="inlineStr">
        <is>
          <t>TOTAL EXPENDITURES</t>
        </is>
      </c>
      <c r="B17" s="13">
        <f>B6+B7+B8+B9+B10+B11+B12+B13+B14+B15+B16</f>
        <v/>
      </c>
      <c r="C17" s="13">
        <f>C6+C7+C8+C9+C10+C11+C12+C13+C14+C15+C16</f>
        <v/>
      </c>
      <c r="D17" s="13">
        <f>D6+D7+D8+D9+D10+D11+D12+D13+D14+D15+D16</f>
        <v/>
      </c>
      <c r="E17" s="13">
        <f>E6+E7+E8+E9+E10+E11+E12+E13+E14+E15+E16</f>
        <v/>
      </c>
      <c r="F17" s="13">
        <f>F6+F7+F8+F9+F10+F11+F12+F13+F14+F15+F16</f>
        <v/>
      </c>
      <c r="G17" s="13">
        <f>G6+G7+G8+G9+G10+G11+G12+G13+G14+G15+G16</f>
        <v/>
      </c>
      <c r="H17" s="21">
        <f>IF(B17=0,0,G17/B17-1)</f>
        <v/>
      </c>
      <c r="I17" s="21">
        <f>IF(B17=0,0,(G17/B17)^(1/5)-1)</f>
        <v/>
      </c>
    </row>
    <row r="19">
      <c r="A19" s="3" t="inlineStr">
        <is>
          <t>Year-over-Year Growth Rate</t>
        </is>
      </c>
    </row>
    <row r="20">
      <c r="A20" s="4" t="inlineStr">
        <is>
          <t>Article</t>
        </is>
      </c>
      <c r="B20" s="4" t="inlineStr">
        <is>
          <t>FY23</t>
        </is>
      </c>
      <c r="C20" s="4" t="inlineStr">
        <is>
          <t>FY24</t>
        </is>
      </c>
      <c r="D20" s="4" t="inlineStr">
        <is>
          <t>FY25</t>
        </is>
      </c>
      <c r="E20" s="4" t="inlineStr">
        <is>
          <t>FY26</t>
        </is>
      </c>
      <c r="F20" s="4" t="inlineStr">
        <is>
          <t>FY27</t>
        </is>
      </c>
    </row>
    <row r="21">
      <c r="A21" s="9" t="inlineStr">
        <is>
          <t>Art 1</t>
        </is>
      </c>
      <c r="B21" s="11">
        <f>IF(B6=0,0,C6/B6-1)</f>
        <v/>
      </c>
      <c r="C21" s="11">
        <f>IF(C6=0,0,D6/C6-1)</f>
        <v/>
      </c>
      <c r="D21" s="11">
        <f>IF(D6=0,0,E6/D6-1)</f>
        <v/>
      </c>
      <c r="E21" s="11">
        <f>IF(E6=0,0,F6/E6-1)</f>
        <v/>
      </c>
      <c r="F21" s="11">
        <f>IF(F6=0,0,G6/F6-1)</f>
        <v/>
      </c>
    </row>
    <row r="22">
      <c r="A22" s="9" t="inlineStr">
        <is>
          <t>Art 2</t>
        </is>
      </c>
      <c r="B22" s="11">
        <f>IF(B7=0,0,C7/B7-1)</f>
        <v/>
      </c>
      <c r="C22" s="11">
        <f>IF(C7=0,0,D7/C7-1)</f>
        <v/>
      </c>
      <c r="D22" s="11">
        <f>IF(D7=0,0,E7/D7-1)</f>
        <v/>
      </c>
      <c r="E22" s="11">
        <f>IF(E7=0,0,F7/E7-1)</f>
        <v/>
      </c>
      <c r="F22" s="11">
        <f>IF(F7=0,0,G7/F7-1)</f>
        <v/>
      </c>
    </row>
    <row r="23">
      <c r="A23" s="9" t="inlineStr">
        <is>
          <t>Art 3</t>
        </is>
      </c>
      <c r="B23" s="11">
        <f>IF(B8=0,0,C8/B8-1)</f>
        <v/>
      </c>
      <c r="C23" s="11">
        <f>IF(C8=0,0,D8/C8-1)</f>
        <v/>
      </c>
      <c r="D23" s="11">
        <f>IF(D8=0,0,E8/D8-1)</f>
        <v/>
      </c>
      <c r="E23" s="11">
        <f>IF(E8=0,0,F8/E8-1)</f>
        <v/>
      </c>
      <c r="F23" s="11">
        <f>IF(F8=0,0,G8/F8-1)</f>
        <v/>
      </c>
    </row>
    <row r="24">
      <c r="A24" s="9" t="inlineStr">
        <is>
          <t>Art 4</t>
        </is>
      </c>
      <c r="B24" s="11">
        <f>IF(B9=0,0,C9/B9-1)</f>
        <v/>
      </c>
      <c r="C24" s="11">
        <f>IF(C9=0,0,D9/C9-1)</f>
        <v/>
      </c>
      <c r="D24" s="11">
        <f>IF(D9=0,0,E9/D9-1)</f>
        <v/>
      </c>
      <c r="E24" s="11">
        <f>IF(E9=0,0,F9/E9-1)</f>
        <v/>
      </c>
      <c r="F24" s="11">
        <f>IF(F9=0,0,G9/F9-1)</f>
        <v/>
      </c>
    </row>
    <row r="25">
      <c r="A25" s="9" t="inlineStr">
        <is>
          <t>Art 5</t>
        </is>
      </c>
      <c r="B25" s="11">
        <f>IF(B10=0,0,C10/B10-1)</f>
        <v/>
      </c>
      <c r="C25" s="11">
        <f>IF(C10=0,0,D10/C10-1)</f>
        <v/>
      </c>
      <c r="D25" s="11">
        <f>IF(D10=0,0,E10/D10-1)</f>
        <v/>
      </c>
      <c r="E25" s="11">
        <f>IF(E10=0,0,F10/E10-1)</f>
        <v/>
      </c>
      <c r="F25" s="11">
        <f>IF(F10=0,0,G10/F10-1)</f>
        <v/>
      </c>
    </row>
    <row r="26">
      <c r="A26" s="9" t="inlineStr">
        <is>
          <t>Art 6</t>
        </is>
      </c>
      <c r="B26" s="11">
        <f>IF(B11=0,0,C11/B11-1)</f>
        <v/>
      </c>
      <c r="C26" s="11">
        <f>IF(C11=0,0,D11/C11-1)</f>
        <v/>
      </c>
      <c r="D26" s="11">
        <f>IF(D11=0,0,E11/D11-1)</f>
        <v/>
      </c>
      <c r="E26" s="11">
        <f>IF(E11=0,0,F11/E11-1)</f>
        <v/>
      </c>
      <c r="F26" s="11">
        <f>IF(F11=0,0,G11/F11-1)</f>
        <v/>
      </c>
    </row>
    <row r="27">
      <c r="A27" s="9" t="inlineStr">
        <is>
          <t>Art 7</t>
        </is>
      </c>
      <c r="B27" s="11">
        <f>IF(B12=0,0,C12/B12-1)</f>
        <v/>
      </c>
      <c r="C27" s="11">
        <f>IF(C12=0,0,D12/C12-1)</f>
        <v/>
      </c>
      <c r="D27" s="11">
        <f>IF(D12=0,0,E12/D12-1)</f>
        <v/>
      </c>
      <c r="E27" s="11">
        <f>IF(E12=0,0,F12/E12-1)</f>
        <v/>
      </c>
      <c r="F27" s="11">
        <f>IF(F12=0,0,G12/F12-1)</f>
        <v/>
      </c>
    </row>
    <row r="28">
      <c r="A28" s="9" t="inlineStr">
        <is>
          <t>Art 8</t>
        </is>
      </c>
      <c r="B28" s="11">
        <f>IF(B13=0,0,C13/B13-1)</f>
        <v/>
      </c>
      <c r="C28" s="11">
        <f>IF(C13=0,0,D13/C13-1)</f>
        <v/>
      </c>
      <c r="D28" s="11">
        <f>IF(D13=0,0,E13/D13-1)</f>
        <v/>
      </c>
      <c r="E28" s="11">
        <f>IF(E13=0,0,F13/E13-1)</f>
        <v/>
      </c>
      <c r="F28" s="11">
        <f>IF(F13=0,0,G13/F13-1)</f>
        <v/>
      </c>
    </row>
    <row r="29">
      <c r="A29" s="9" t="inlineStr">
        <is>
          <t>Art 9</t>
        </is>
      </c>
      <c r="B29" s="11">
        <f>IF(B14=0,0,C14/B14-1)</f>
        <v/>
      </c>
      <c r="C29" s="11">
        <f>IF(C14=0,0,D14/C14-1)</f>
        <v/>
      </c>
      <c r="D29" s="11">
        <f>IF(D14=0,0,E14/D14-1)</f>
        <v/>
      </c>
      <c r="E29" s="11">
        <f>IF(E14=0,0,F14/E14-1)</f>
        <v/>
      </c>
      <c r="F29" s="11">
        <f>IF(F14=0,0,G14/F14-1)</f>
        <v/>
      </c>
    </row>
    <row r="30">
      <c r="A30" s="9" t="inlineStr">
        <is>
          <t>Art 10</t>
        </is>
      </c>
      <c r="B30" s="11">
        <f>IF(B15=0,0,C15/B15-1)</f>
        <v/>
      </c>
      <c r="C30" s="11">
        <f>IF(C15=0,0,D15/C15-1)</f>
        <v/>
      </c>
      <c r="D30" s="11">
        <f>IF(D15=0,0,E15/D15-1)</f>
        <v/>
      </c>
      <c r="E30" s="11">
        <f>IF(E15=0,0,F15/E15-1)</f>
        <v/>
      </c>
      <c r="F30" s="11">
        <f>IF(F15=0,0,G15/F15-1)</f>
        <v/>
      </c>
    </row>
    <row r="31">
      <c r="A31" s="9" t="inlineStr">
        <is>
          <t>Art 11</t>
        </is>
      </c>
      <c r="B31" s="11">
        <f>IF(B16=0,0,C16/B16-1)</f>
        <v/>
      </c>
      <c r="C31" s="11">
        <f>IF(C16=0,0,D16/C16-1)</f>
        <v/>
      </c>
      <c r="D31" s="11">
        <f>IF(D16=0,0,E16/D16-1)</f>
        <v/>
      </c>
      <c r="E31" s="11">
        <f>IF(E16=0,0,F16/E16-1)</f>
        <v/>
      </c>
      <c r="F31" s="11">
        <f>IF(F16=0,0,G16/F16-1)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1 - Regular Instruction</t>
        </is>
      </c>
    </row>
    <row r="2">
      <c r="A2" s="2" t="inlineStr">
        <is>
          <t>Source: FY27 Proposed Budget, RSU 5</t>
        </is>
      </c>
    </row>
    <row r="3">
      <c r="A3" s="2" t="inlineStr">
        <is>
          <t>Verification: UNRECONCILED -- see Summary tab</t>
        </is>
      </c>
    </row>
    <row r="5">
      <c r="A5" s="4" t="inlineStr">
        <is>
          <t>Account</t>
        </is>
      </c>
      <c r="B5" s="4" t="inlineStr">
        <is>
          <t>Description</t>
        </is>
      </c>
      <c r="C5" s="4" t="inlineStr">
        <is>
          <t>FY23 Actual</t>
        </is>
      </c>
      <c r="D5" s="4" t="inlineStr">
        <is>
          <t>FY24 Actual</t>
        </is>
      </c>
      <c r="E5" s="4" t="inlineStr">
        <is>
          <t>FY25 Actual</t>
        </is>
      </c>
      <c r="F5" s="4" t="inlineStr">
        <is>
          <t>FY26 Adopted</t>
        </is>
      </c>
      <c r="G5" s="4" t="inlineStr">
        <is>
          <t>FY27 Proposed</t>
        </is>
      </c>
      <c r="H5" s="4" t="inlineStr">
        <is>
          <t>$ Diff</t>
        </is>
      </c>
      <c r="I5" s="4" t="inlineStr">
        <is>
          <t>% Diff</t>
        </is>
      </c>
    </row>
    <row r="6">
      <c r="A6" s="3" t="inlineStr">
        <is>
          <t>Cost Center: ('010',)</t>
        </is>
      </c>
    </row>
    <row r="7">
      <c r="A7" s="8" t="inlineStr">
        <is>
          <t>1000.1100.1000.51010.010</t>
        </is>
      </c>
      <c r="B7" s="8" t="inlineStr">
        <is>
          <t>Teacher Salary</t>
        </is>
      </c>
      <c r="C7" s="16" t="n">
        <v>1965610</v>
      </c>
      <c r="D7" s="16" t="n">
        <v>2162930.28</v>
      </c>
      <c r="E7" s="16" t="n">
        <v>2432452.6</v>
      </c>
      <c r="F7" s="16" t="n">
        <v>2547024</v>
      </c>
      <c r="G7" s="16" t="n">
        <v>2712435</v>
      </c>
      <c r="H7" s="16">
        <f>G7-F7</f>
        <v/>
      </c>
      <c r="I7" s="14">
        <f>IF(F7=0,0,G7/F7-1)</f>
        <v/>
      </c>
    </row>
    <row r="8">
      <c r="A8" s="8" t="inlineStr">
        <is>
          <t>1000.1100.1000.51020.010</t>
        </is>
      </c>
      <c r="B8" s="8" t="inlineStr">
        <is>
          <t>Ed Tech Salaries</t>
        </is>
      </c>
      <c r="C8" s="16" t="n">
        <v>75146.85000000001</v>
      </c>
      <c r="D8" s="16" t="n">
        <v>103637.11</v>
      </c>
      <c r="E8" s="16" t="n">
        <v>101736.76</v>
      </c>
      <c r="F8" s="16" t="n">
        <v>160739</v>
      </c>
      <c r="G8" s="16" t="n">
        <v>109725</v>
      </c>
      <c r="H8" s="16">
        <f>G8-F8</f>
        <v/>
      </c>
      <c r="I8" s="14">
        <f>IF(F8=0,0,G8/F8-1)</f>
        <v/>
      </c>
    </row>
    <row r="9">
      <c r="A9" s="8" t="inlineStr">
        <is>
          <t>1000.1100.1000.51230.010</t>
        </is>
      </c>
      <c r="B9" s="8" t="inlineStr">
        <is>
          <t>Salaries-Subs</t>
        </is>
      </c>
      <c r="C9" s="16" t="n">
        <v>62373.2</v>
      </c>
      <c r="D9" s="16" t="n">
        <v>81617.16</v>
      </c>
      <c r="E9" s="16" t="n">
        <v>147668.65</v>
      </c>
      <c r="F9" s="16" t="n">
        <v>87330</v>
      </c>
      <c r="G9" s="16" t="n">
        <v>104025</v>
      </c>
      <c r="H9" s="16">
        <f>G9-F9</f>
        <v/>
      </c>
      <c r="I9" s="14">
        <f>IF(F9=0,0,G9/F9-1)</f>
        <v/>
      </c>
    </row>
    <row r="10">
      <c r="A10" s="8" t="inlineStr">
        <is>
          <t>1000.1100.1000.51500.010</t>
        </is>
      </c>
      <c r="B10" s="8" t="inlineStr">
        <is>
          <t>Stipends</t>
        </is>
      </c>
      <c r="C10" s="16" t="n">
        <v>0</v>
      </c>
      <c r="D10" s="16" t="n">
        <v>0</v>
      </c>
      <c r="E10" s="16" t="n">
        <v>0</v>
      </c>
      <c r="F10" s="16" t="n">
        <v>3031</v>
      </c>
      <c r="G10" s="16" t="n">
        <v>3443</v>
      </c>
      <c r="H10" s="16">
        <f>G10-F10</f>
        <v/>
      </c>
      <c r="I10" s="14">
        <f>IF(F10=0,0,G10/F10-1)</f>
        <v/>
      </c>
    </row>
    <row r="11">
      <c r="A11" s="8" t="inlineStr">
        <is>
          <t>1000.1100.1000.52000.010</t>
        </is>
      </c>
      <c r="B11" s="8" t="inlineStr">
        <is>
          <t>Stipend Benefit</t>
        </is>
      </c>
      <c r="C11" s="16" t="n">
        <v>0</v>
      </c>
      <c r="D11" s="16" t="n">
        <v>0</v>
      </c>
      <c r="E11" s="16" t="n">
        <v>0</v>
      </c>
      <c r="F11" s="16" t="n">
        <v>102</v>
      </c>
      <c r="G11" s="16" t="n">
        <v>116</v>
      </c>
      <c r="H11" s="16">
        <f>G11-F11</f>
        <v/>
      </c>
      <c r="I11" s="14">
        <f>IF(F11=0,0,G11/F11-1)</f>
        <v/>
      </c>
    </row>
    <row r="12">
      <c r="A12" s="8" t="inlineStr">
        <is>
          <t>1000.1100.1000.52010.010</t>
        </is>
      </c>
      <c r="B12" s="8" t="inlineStr">
        <is>
          <t>Teacher Benefits</t>
        </is>
      </c>
      <c r="C12" s="16" t="n">
        <v>401404.08</v>
      </c>
      <c r="D12" s="16" t="n">
        <v>515320.17</v>
      </c>
      <c r="E12" s="16" t="n">
        <v>583700.1</v>
      </c>
      <c r="F12" s="16" t="n">
        <v>615313</v>
      </c>
      <c r="G12" s="16" t="n">
        <v>656470</v>
      </c>
      <c r="H12" s="16">
        <f>G12-F12</f>
        <v/>
      </c>
      <c r="I12" s="14">
        <f>IF(F12=0,0,G12/F12-1)</f>
        <v/>
      </c>
    </row>
    <row r="13">
      <c r="A13" s="8" t="inlineStr">
        <is>
          <t>1000.1100.1000.52020.010</t>
        </is>
      </c>
      <c r="B13" s="8" t="inlineStr">
        <is>
          <t>Ed Tech Benefits</t>
        </is>
      </c>
      <c r="C13" s="16" t="n">
        <v>17238.34</v>
      </c>
      <c r="D13" s="16" t="n">
        <v>14018.57</v>
      </c>
      <c r="E13" s="16" t="n">
        <v>16450.93</v>
      </c>
      <c r="F13" s="16" t="n">
        <v>71931</v>
      </c>
      <c r="G13" s="16" t="n">
        <v>67260</v>
      </c>
      <c r="H13" s="16">
        <f>G13-F13</f>
        <v/>
      </c>
      <c r="I13" s="14">
        <f>IF(F13=0,0,G13/F13-1)</f>
        <v/>
      </c>
    </row>
    <row r="14">
      <c r="A14" s="8" t="inlineStr">
        <is>
          <t>1000.1100.1000.52030.010</t>
        </is>
      </c>
      <c r="B14" s="8" t="inlineStr">
        <is>
          <t>Benefits-Subs</t>
        </is>
      </c>
      <c r="C14" s="16" t="n">
        <v>4620.41</v>
      </c>
      <c r="D14" s="16" t="n">
        <v>5320.66</v>
      </c>
      <c r="E14" s="16" t="n">
        <v>9190.65</v>
      </c>
      <c r="F14" s="16" t="n">
        <v>2821</v>
      </c>
      <c r="G14" s="16" t="n">
        <v>9810</v>
      </c>
      <c r="H14" s="16">
        <f>G14-F14</f>
        <v/>
      </c>
      <c r="I14" s="14">
        <f>IF(F14=0,0,G14/F14-1)</f>
        <v/>
      </c>
    </row>
    <row r="15">
      <c r="A15" s="8" t="inlineStr">
        <is>
          <t>1000.1100.1000.52300.010</t>
        </is>
      </c>
      <c r="B15" s="8" t="inlineStr">
        <is>
          <t>Retirement</t>
        </is>
      </c>
      <c r="C15" s="16" t="n">
        <v>0</v>
      </c>
      <c r="D15" s="16" t="n">
        <v>0</v>
      </c>
      <c r="E15" s="16" t="n">
        <v>0</v>
      </c>
      <c r="F15" s="16" t="n">
        <v>135</v>
      </c>
      <c r="G15" s="16" t="n">
        <v>154</v>
      </c>
      <c r="H15" s="16">
        <f>G15-F15</f>
        <v/>
      </c>
      <c r="I15" s="14">
        <f>IF(F15=0,0,G15/F15-1)</f>
        <v/>
      </c>
    </row>
    <row r="16">
      <c r="A16" s="8" t="inlineStr">
        <is>
          <t>1000.1100.1000.52310.010</t>
        </is>
      </c>
      <c r="B16" s="8" t="inlineStr">
        <is>
          <t>Retirement</t>
        </is>
      </c>
      <c r="C16" s="16" t="n">
        <v>82760.72</v>
      </c>
      <c r="D16" s="16" t="n">
        <v>93799.89</v>
      </c>
      <c r="E16" s="16" t="n">
        <v>107738.51</v>
      </c>
      <c r="F16" s="16" t="n">
        <v>113852</v>
      </c>
      <c r="G16" s="16" t="n">
        <v>121246</v>
      </c>
      <c r="H16" s="16">
        <f>G16-F16</f>
        <v/>
      </c>
      <c r="I16" s="14">
        <f>IF(F16=0,0,G16/F16-1)</f>
        <v/>
      </c>
    </row>
    <row r="17">
      <c r="A17" s="8" t="inlineStr">
        <is>
          <t>1000.1100.1000.52320.010</t>
        </is>
      </c>
      <c r="B17" s="8" t="inlineStr">
        <is>
          <t>Retirement</t>
        </is>
      </c>
      <c r="C17" s="16" t="n">
        <v>2894.17</v>
      </c>
      <c r="D17" s="16" t="n">
        <v>4539.97</v>
      </c>
      <c r="E17" s="16" t="n">
        <v>3749.37</v>
      </c>
      <c r="F17" s="16" t="n">
        <v>7174</v>
      </c>
      <c r="G17" s="16" t="n">
        <v>5298</v>
      </c>
      <c r="H17" s="16">
        <f>G17-F17</f>
        <v/>
      </c>
      <c r="I17" s="14">
        <f>IF(F17=0,0,G17/F17-1)</f>
        <v/>
      </c>
    </row>
    <row r="18">
      <c r="A18" s="8" t="inlineStr">
        <is>
          <t>1000.1100.1000.52330.010</t>
        </is>
      </c>
      <c r="B18" s="8" t="inlineStr">
        <is>
          <t>Retirement</t>
        </is>
      </c>
      <c r="C18" s="16" t="n">
        <v>170.1</v>
      </c>
      <c r="D18" s="16" t="n">
        <v>922.04</v>
      </c>
      <c r="E18" s="16" t="n">
        <v>2855.79</v>
      </c>
      <c r="F18" s="16" t="n">
        <v>3904</v>
      </c>
      <c r="G18" s="16" t="n">
        <v>2330</v>
      </c>
      <c r="H18" s="16">
        <f>G18-F18</f>
        <v/>
      </c>
      <c r="I18" s="14">
        <f>IF(F18=0,0,G18/F18-1)</f>
        <v/>
      </c>
    </row>
    <row r="19">
      <c r="A19" s="8" t="inlineStr">
        <is>
          <t>1000.1100.1000.53400.010</t>
        </is>
      </c>
      <c r="B19" s="8" t="inlineStr">
        <is>
          <t>Professional Services</t>
        </is>
      </c>
      <c r="C19" s="16" t="n">
        <v>18774.05</v>
      </c>
      <c r="D19" s="16" t="n">
        <v>23399.07</v>
      </c>
      <c r="E19" s="16" t="n">
        <v>34250.41</v>
      </c>
      <c r="F19" s="16" t="n">
        <v>24321</v>
      </c>
      <c r="G19" s="16" t="n">
        <v>24291</v>
      </c>
      <c r="H19" s="16">
        <f>G19-F19</f>
        <v/>
      </c>
      <c r="I19" s="14">
        <f>IF(F19=0,0,G19/F19-1)</f>
        <v/>
      </c>
    </row>
    <row r="20">
      <c r="A20" s="8" t="inlineStr">
        <is>
          <t>1000.1100.1000.54300.010</t>
        </is>
      </c>
      <c r="B20" s="8" t="inlineStr">
        <is>
          <t>Copiers- Equipment Maint</t>
        </is>
      </c>
      <c r="C20" s="16" t="n">
        <v>9254.83</v>
      </c>
      <c r="D20" s="16" t="n">
        <v>13928.48</v>
      </c>
      <c r="E20" s="16" t="n">
        <v>7958.14</v>
      </c>
      <c r="F20" s="16" t="n">
        <v>15600</v>
      </c>
      <c r="G20" s="16" t="n">
        <v>15600</v>
      </c>
      <c r="H20" s="16">
        <f>G20-F20</f>
        <v/>
      </c>
      <c r="I20" s="14">
        <f>IF(F20=0,0,G20/F20-1)</f>
        <v/>
      </c>
    </row>
    <row r="21">
      <c r="A21" s="8" t="inlineStr">
        <is>
          <t>1000.1100.1000.54330.010</t>
        </is>
      </c>
      <c r="B21" s="8" t="inlineStr">
        <is>
          <t>Software</t>
        </is>
      </c>
      <c r="C21" s="16" t="n">
        <v>6373.46</v>
      </c>
      <c r="D21" s="16" t="n">
        <v>8423.74</v>
      </c>
      <c r="E21" s="16" t="n">
        <v>8762.200000000001</v>
      </c>
      <c r="F21" s="16" t="n">
        <v>12651</v>
      </c>
      <c r="G21" s="16" t="n">
        <v>14129</v>
      </c>
      <c r="H21" s="16">
        <f>G21-F21</f>
        <v/>
      </c>
      <c r="I21" s="14">
        <f>IF(F21=0,0,G21/F21-1)</f>
        <v/>
      </c>
    </row>
    <row r="22">
      <c r="A22" s="8" t="inlineStr">
        <is>
          <t>1000.1100.1000.55800.010</t>
        </is>
      </c>
      <c r="B22" s="8" t="inlineStr">
        <is>
          <t>Travel</t>
        </is>
      </c>
      <c r="C22" s="16" t="n">
        <v>2243.34</v>
      </c>
      <c r="D22" s="16" t="n">
        <v>1286.55</v>
      </c>
      <c r="E22" s="16" t="n">
        <v>2167.88</v>
      </c>
      <c r="F22" s="16" t="n">
        <v>5000</v>
      </c>
      <c r="G22" s="16" t="n">
        <v>5000</v>
      </c>
      <c r="H22" s="16">
        <f>G22-F22</f>
        <v/>
      </c>
      <c r="I22" s="14">
        <f>IF(F22=0,0,G22/F22-1)</f>
        <v/>
      </c>
    </row>
    <row r="23">
      <c r="A23" s="8" t="inlineStr">
        <is>
          <t>1000.1100.1000.56100.010</t>
        </is>
      </c>
      <c r="B23" s="8" t="inlineStr">
        <is>
          <t>Supplies</t>
        </is>
      </c>
      <c r="C23" s="16" t="n">
        <v>61010.49</v>
      </c>
      <c r="D23" s="16" t="n">
        <v>65553.02</v>
      </c>
      <c r="E23" s="16" t="n">
        <v>74802.95</v>
      </c>
      <c r="F23" s="16" t="n">
        <v>73793</v>
      </c>
      <c r="G23" s="16" t="n">
        <v>77331</v>
      </c>
      <c r="H23" s="16">
        <f>G23-F23</f>
        <v/>
      </c>
      <c r="I23" s="14">
        <f>IF(F23=0,0,G23/F23-1)</f>
        <v/>
      </c>
    </row>
    <row r="24">
      <c r="A24" s="8" t="inlineStr">
        <is>
          <t>1000.1100.1000.56110.010</t>
        </is>
      </c>
      <c r="B24" s="8" t="inlineStr">
        <is>
          <t>Equipment &amp; Furniture</t>
        </is>
      </c>
      <c r="C24" s="16" t="n">
        <v>0</v>
      </c>
      <c r="D24" s="16" t="n">
        <v>0</v>
      </c>
      <c r="E24" s="16" t="n">
        <v>9642.34</v>
      </c>
      <c r="F24" s="16" t="n">
        <v>5330</v>
      </c>
      <c r="G24" s="16" t="n">
        <v>6124</v>
      </c>
      <c r="H24" s="16">
        <f>G24-F24</f>
        <v/>
      </c>
      <c r="I24" s="14">
        <f>IF(F24=0,0,G24/F24-1)</f>
        <v/>
      </c>
    </row>
    <row r="25">
      <c r="A25" s="8" t="inlineStr">
        <is>
          <t>1000.1100.1000.56400.010</t>
        </is>
      </c>
      <c r="B25" s="8" t="inlineStr">
        <is>
          <t>Books</t>
        </is>
      </c>
      <c r="C25" s="16" t="n">
        <v>12184.34</v>
      </c>
      <c r="D25" s="16" t="n">
        <v>15676.17</v>
      </c>
      <c r="E25" s="16" t="n">
        <v>14767.43</v>
      </c>
      <c r="F25" s="16" t="n">
        <v>13200</v>
      </c>
      <c r="G25" s="16" t="n">
        <v>13200</v>
      </c>
      <c r="H25" s="16">
        <f>G25-F25</f>
        <v/>
      </c>
      <c r="I25" s="14">
        <f>IF(F25=0,0,G25/F25-1)</f>
        <v/>
      </c>
    </row>
    <row r="26">
      <c r="A26" s="8" t="inlineStr">
        <is>
          <t>1000.1100.1000.57300.010</t>
        </is>
      </c>
      <c r="B26" s="8" t="inlineStr">
        <is>
          <t>Equipment</t>
        </is>
      </c>
      <c r="C26" s="16" t="n">
        <v>8100.47</v>
      </c>
      <c r="D26" s="16" t="n">
        <v>7079.23</v>
      </c>
      <c r="E26" s="16" t="n">
        <v>0</v>
      </c>
      <c r="F26" s="16" t="n">
        <v>0</v>
      </c>
      <c r="G26" s="16" t="n">
        <v>0</v>
      </c>
      <c r="H26" s="16">
        <f>G26-F26</f>
        <v/>
      </c>
      <c r="I26" s="14">
        <f>IF(F26=0,0,G26/F26-1)</f>
        <v/>
      </c>
    </row>
    <row r="27">
      <c r="A27" s="8" t="inlineStr">
        <is>
          <t>1000.1100.1000.58100.010</t>
        </is>
      </c>
      <c r="B27" s="8" t="inlineStr">
        <is>
          <t>Dues &amp; Fees</t>
        </is>
      </c>
      <c r="C27" s="16" t="n">
        <v>200</v>
      </c>
      <c r="D27" s="16" t="n">
        <v>379</v>
      </c>
      <c r="E27" s="16" t="n">
        <v>0</v>
      </c>
      <c r="F27" s="16" t="n">
        <v>472</v>
      </c>
      <c r="G27" s="16" t="n">
        <v>472</v>
      </c>
      <c r="H27" s="16">
        <f>G27-F27</f>
        <v/>
      </c>
      <c r="I27" s="14">
        <f>IF(F27=0,0,G27/F27-1)</f>
        <v/>
      </c>
    </row>
    <row r="28">
      <c r="A28" s="9" t="n"/>
      <c r="B28" s="22" t="inlineStr">
        <is>
          <t>Program 1100 Total</t>
        </is>
      </c>
      <c r="C28" s="23">
        <f>SUM(C7:C27)</f>
        <v/>
      </c>
      <c r="D28" s="23">
        <f>SUM(D7:D27)</f>
        <v/>
      </c>
      <c r="E28" s="23">
        <f>SUM(E7:E27)</f>
        <v/>
      </c>
      <c r="F28" s="23">
        <f>SUM(F7:F27)</f>
        <v/>
      </c>
      <c r="G28" s="23">
        <f>SUM(G7:G27)</f>
        <v/>
      </c>
      <c r="H28" s="23">
        <f>SUM(H7:H27)</f>
        <v/>
      </c>
      <c r="I28" s="23">
        <f>SUM(I7:I27)</f>
        <v/>
      </c>
    </row>
    <row r="29">
      <c r="A29" s="8" t="inlineStr">
        <is>
          <t>1000.1120.1000.51010.010</t>
        </is>
      </c>
      <c r="B29" s="8" t="inlineStr">
        <is>
          <t>Teacher Salaries</t>
        </is>
      </c>
      <c r="C29" s="16" t="n">
        <v>325416.22</v>
      </c>
      <c r="D29" s="16" t="n">
        <v>354783.9</v>
      </c>
      <c r="E29" s="16" t="n">
        <v>379103.79</v>
      </c>
      <c r="F29" s="16" t="n">
        <v>414293</v>
      </c>
      <c r="G29" s="16" t="n">
        <v>444784</v>
      </c>
      <c r="H29" s="16">
        <f>G29-F29</f>
        <v/>
      </c>
      <c r="I29" s="14">
        <f>IF(F29=0,0,G29/F29-1)</f>
        <v/>
      </c>
    </row>
    <row r="30">
      <c r="A30" s="8" t="inlineStr">
        <is>
          <t>1000.1120.1000.51020.010</t>
        </is>
      </c>
      <c r="B30" s="8" t="inlineStr">
        <is>
          <t>Ed Tech Salaries</t>
        </is>
      </c>
      <c r="C30" s="16" t="n">
        <v>26992.52</v>
      </c>
      <c r="D30" s="16" t="n">
        <v>27798.3</v>
      </c>
      <c r="E30" s="16" t="n">
        <v>25571.91</v>
      </c>
      <c r="F30" s="16" t="n">
        <v>28221</v>
      </c>
      <c r="G30" s="16" t="n">
        <v>43401</v>
      </c>
      <c r="H30" s="16">
        <f>G30-F30</f>
        <v/>
      </c>
      <c r="I30" s="14">
        <f>IF(F30=0,0,G30/F30-1)</f>
        <v/>
      </c>
    </row>
    <row r="31">
      <c r="A31" s="8" t="inlineStr">
        <is>
          <t>1000.1120.1000.52010.010</t>
        </is>
      </c>
      <c r="B31" s="8" t="inlineStr">
        <is>
          <t>Teacher Benefits</t>
        </is>
      </c>
      <c r="C31" s="16" t="n">
        <v>73465.67</v>
      </c>
      <c r="D31" s="16" t="n">
        <v>75750.63</v>
      </c>
      <c r="E31" s="16" t="n">
        <v>92497.8</v>
      </c>
      <c r="F31" s="16" t="n">
        <v>106411</v>
      </c>
      <c r="G31" s="16" t="n">
        <v>114275</v>
      </c>
      <c r="H31" s="16">
        <f>G31-F31</f>
        <v/>
      </c>
      <c r="I31" s="14">
        <f>IF(F31=0,0,G31/F31-1)</f>
        <v/>
      </c>
    </row>
    <row r="32">
      <c r="A32" s="8" t="inlineStr">
        <is>
          <t>1000.1120.1000.52020.010</t>
        </is>
      </c>
      <c r="B32" s="8" t="inlineStr">
        <is>
          <t>Ed Tech Benefits</t>
        </is>
      </c>
      <c r="C32" s="16" t="n">
        <v>9552.780000000001</v>
      </c>
      <c r="D32" s="16" t="n">
        <v>9231.01</v>
      </c>
      <c r="E32" s="16" t="n">
        <v>2273.4</v>
      </c>
      <c r="F32" s="16" t="n">
        <v>5453</v>
      </c>
      <c r="G32" s="16" t="n">
        <v>11966</v>
      </c>
      <c r="H32" s="16">
        <f>G32-F32</f>
        <v/>
      </c>
      <c r="I32" s="14">
        <f>IF(F32=0,0,G32/F32-1)</f>
        <v/>
      </c>
    </row>
    <row r="33">
      <c r="A33" s="8" t="inlineStr">
        <is>
          <t>1000.1120.1000.52310.010</t>
        </is>
      </c>
      <c r="B33" s="8" t="inlineStr">
        <is>
          <t>Retirement</t>
        </is>
      </c>
      <c r="C33" s="16" t="n">
        <v>12565.48</v>
      </c>
      <c r="D33" s="16" t="n">
        <v>15333.01</v>
      </c>
      <c r="E33" s="16" t="n">
        <v>16891.33</v>
      </c>
      <c r="F33" s="16" t="n">
        <v>18519</v>
      </c>
      <c r="G33" s="16" t="n">
        <v>19882</v>
      </c>
      <c r="H33" s="16">
        <f>G33-F33</f>
        <v/>
      </c>
      <c r="I33" s="14">
        <f>IF(F33=0,0,G33/F33-1)</f>
        <v/>
      </c>
    </row>
    <row r="34">
      <c r="A34" s="8" t="inlineStr">
        <is>
          <t>1000.1120.1000.52320.010</t>
        </is>
      </c>
      <c r="B34" s="8" t="inlineStr">
        <is>
          <t>Retirement</t>
        </is>
      </c>
      <c r="C34" s="16" t="n">
        <v>1010.81</v>
      </c>
      <c r="D34" s="16" t="n">
        <v>1199.15</v>
      </c>
      <c r="E34" s="16" t="n">
        <v>1035.11</v>
      </c>
      <c r="F34" s="16" t="n">
        <v>1261</v>
      </c>
      <c r="G34" s="16" t="n">
        <v>2095</v>
      </c>
      <c r="H34" s="16">
        <f>G34-F34</f>
        <v/>
      </c>
      <c r="I34" s="14">
        <f>IF(F34=0,0,G34/F34-1)</f>
        <v/>
      </c>
    </row>
    <row r="35">
      <c r="A35" s="9" t="n"/>
      <c r="B35" s="22" t="inlineStr">
        <is>
          <t>Program 1120 Total</t>
        </is>
      </c>
      <c r="C35" s="23">
        <f>SUM(C29:C34)</f>
        <v/>
      </c>
      <c r="D35" s="23">
        <f>SUM(D29:D34)</f>
        <v/>
      </c>
      <c r="E35" s="23">
        <f>SUM(E29:E34)</f>
        <v/>
      </c>
      <c r="F35" s="23">
        <f>SUM(F29:F34)</f>
        <v/>
      </c>
      <c r="G35" s="23">
        <f>SUM(G29:G34)</f>
        <v/>
      </c>
      <c r="H35" s="23">
        <f>SUM(H29:H34)</f>
        <v/>
      </c>
      <c r="I35" s="23">
        <f>SUM(I29:I34)</f>
        <v/>
      </c>
    </row>
    <row r="36">
      <c r="A36" s="8" t="inlineStr">
        <is>
          <t>1000.4200.1000.53000.010</t>
        </is>
      </c>
      <c r="B36" s="8" t="inlineStr">
        <is>
          <t>JMG</t>
        </is>
      </c>
      <c r="C36" s="16" t="n">
        <v>25000</v>
      </c>
      <c r="D36" s="16" t="n">
        <v>27000</v>
      </c>
      <c r="E36" s="16" t="n">
        <v>27000</v>
      </c>
      <c r="F36" s="16" t="n">
        <v>27000</v>
      </c>
      <c r="G36" s="16" t="n">
        <v>27000</v>
      </c>
      <c r="H36" s="16">
        <f>G36-F36</f>
        <v/>
      </c>
      <c r="I36" s="14">
        <f>IF(F36=0,0,G36/F36-1)</f>
        <v/>
      </c>
    </row>
    <row r="37">
      <c r="A37" s="8" t="inlineStr">
        <is>
          <t>1000.4900.1000.51501.010</t>
        </is>
      </c>
      <c r="B37" s="8" t="inlineStr">
        <is>
          <t>GaTE Art Advisor Stipend</t>
        </is>
      </c>
      <c r="C37" s="16" t="n">
        <v>-636</v>
      </c>
      <c r="D37" s="16" t="n">
        <v>0</v>
      </c>
      <c r="E37" s="16" t="n">
        <v>0</v>
      </c>
      <c r="F37" s="16" t="n">
        <v>0</v>
      </c>
      <c r="G37" s="16" t="n">
        <v>0</v>
      </c>
      <c r="H37" s="16">
        <f>G37-F37</f>
        <v/>
      </c>
      <c r="I37" s="14">
        <f>IF(F37=0,0,G37/F37-1)</f>
        <v/>
      </c>
    </row>
    <row r="38">
      <c r="A38" s="8" t="inlineStr">
        <is>
          <t>1000.4900.1000.51502.010</t>
        </is>
      </c>
      <c r="B38" s="8" t="inlineStr">
        <is>
          <t>GaTE Music Advisor</t>
        </is>
      </c>
      <c r="C38" s="16" t="n">
        <v>587.04</v>
      </c>
      <c r="D38" s="16" t="n">
        <v>0</v>
      </c>
      <c r="E38" s="16" t="n">
        <v>0</v>
      </c>
      <c r="F38" s="16" t="n">
        <v>0</v>
      </c>
      <c r="G38" s="16" t="n">
        <v>0</v>
      </c>
      <c r="H38" s="16">
        <f>G38-F38</f>
        <v/>
      </c>
      <c r="I38" s="14">
        <f>IF(F38=0,0,G38/F38-1)</f>
        <v/>
      </c>
    </row>
    <row r="39">
      <c r="A39" s="8" t="inlineStr">
        <is>
          <t>1000.4900.1000.52001.010</t>
        </is>
      </c>
      <c r="B39" s="8" t="inlineStr">
        <is>
          <t>GaTE Art Stipend Benefits</t>
        </is>
      </c>
      <c r="C39" s="16" t="n">
        <v>98.39</v>
      </c>
      <c r="D39" s="16" t="n">
        <v>0</v>
      </c>
      <c r="E39" s="16" t="n">
        <v>0</v>
      </c>
      <c r="F39" s="16" t="n">
        <v>0</v>
      </c>
      <c r="G39" s="16" t="n">
        <v>0</v>
      </c>
      <c r="H39" s="16">
        <f>G39-F39</f>
        <v/>
      </c>
      <c r="I39" s="14">
        <f>IF(F39=0,0,G39/F39-1)</f>
        <v/>
      </c>
    </row>
    <row r="40">
      <c r="A40" s="8" t="inlineStr">
        <is>
          <t>1000.4900.1000.52002.010</t>
        </is>
      </c>
      <c r="B40" s="8" t="inlineStr">
        <is>
          <t>GaTE Music Stipend</t>
        </is>
      </c>
      <c r="C40" s="16" t="n">
        <v>169.59</v>
      </c>
      <c r="D40" s="16" t="n">
        <v>0</v>
      </c>
      <c r="E40" s="16" t="n">
        <v>0</v>
      </c>
      <c r="F40" s="16" t="n">
        <v>0</v>
      </c>
      <c r="G40" s="16" t="n">
        <v>0</v>
      </c>
      <c r="H40" s="16">
        <f>G40-F40</f>
        <v/>
      </c>
      <c r="I40" s="14">
        <f>IF(F40=0,0,G40/F40-1)</f>
        <v/>
      </c>
    </row>
    <row r="41">
      <c r="A41" s="8" t="inlineStr">
        <is>
          <t>1000.4900.1000.52301.010</t>
        </is>
      </c>
      <c r="B41" s="8" t="inlineStr">
        <is>
          <t>GaTE Art Stipend</t>
        </is>
      </c>
      <c r="C41" s="16" t="n">
        <v>24.42</v>
      </c>
      <c r="D41" s="16" t="n">
        <v>0</v>
      </c>
      <c r="E41" s="16" t="n">
        <v>0</v>
      </c>
      <c r="F41" s="16" t="n">
        <v>0</v>
      </c>
      <c r="G41" s="16" t="n">
        <v>0</v>
      </c>
      <c r="H41" s="16">
        <f>G41-F41</f>
        <v/>
      </c>
      <c r="I41" s="14">
        <f>IF(F41=0,0,G41/F41-1)</f>
        <v/>
      </c>
    </row>
    <row r="42">
      <c r="A42" s="8" t="inlineStr">
        <is>
          <t>1000.4900.1000.52302.010</t>
        </is>
      </c>
      <c r="B42" s="8" t="inlineStr">
        <is>
          <t>GaTE Music Stipend</t>
        </is>
      </c>
      <c r="C42" s="16" t="n">
        <v>22.56</v>
      </c>
      <c r="D42" s="16" t="n">
        <v>0</v>
      </c>
      <c r="E42" s="16" t="n">
        <v>0</v>
      </c>
      <c r="F42" s="16" t="n">
        <v>0</v>
      </c>
      <c r="G42" s="16" t="n">
        <v>0</v>
      </c>
      <c r="H42" s="16">
        <f>G42-F42</f>
        <v/>
      </c>
      <c r="I42" s="14">
        <f>IF(F42=0,0,G42/F42-1)</f>
        <v/>
      </c>
    </row>
    <row r="43">
      <c r="A43" s="9" t="n"/>
      <c r="B43" s="22" t="inlineStr">
        <is>
          <t>Program 4900 Total</t>
        </is>
      </c>
      <c r="C43" s="23">
        <f>SUM(C37:C42)</f>
        <v/>
      </c>
      <c r="D43" s="23">
        <f>SUM(D37:D42)</f>
        <v/>
      </c>
      <c r="E43" s="23">
        <f>SUM(E37:E42)</f>
        <v/>
      </c>
      <c r="F43" s="23">
        <f>SUM(F37:F42)</f>
        <v/>
      </c>
      <c r="G43" s="23">
        <f>SUM(G37:G42)</f>
        <v/>
      </c>
      <c r="H43" s="23">
        <f>SUM(H37:H42)</f>
        <v/>
      </c>
      <c r="I43" s="23">
        <f>SUM(I37:I42)</f>
        <v/>
      </c>
    </row>
    <row r="44">
      <c r="A44" s="9" t="n"/>
      <c r="B44" s="24" t="inlineStr">
        <is>
          <t>Function 1000 Total</t>
        </is>
      </c>
      <c r="C44" s="25">
        <f>C28+C35+C43</f>
        <v/>
      </c>
      <c r="D44" s="25">
        <f>D28+D35+D43</f>
        <v/>
      </c>
      <c r="E44" s="25">
        <f>E28+E35+E43</f>
        <v/>
      </c>
      <c r="F44" s="25">
        <f>F28+F35+F43</f>
        <v/>
      </c>
      <c r="G44" s="25">
        <f>G28+G35+G43</f>
        <v/>
      </c>
      <c r="H44" s="25">
        <f>H28+H35+H43</f>
        <v/>
      </c>
      <c r="I44" s="25">
        <f>I28+I35+I43</f>
        <v/>
      </c>
    </row>
    <row r="45">
      <c r="A45" s="9" t="n"/>
      <c r="B45" s="12" t="inlineStr">
        <is>
          <t>Cost Center ('010',) Total</t>
        </is>
      </c>
      <c r="C45" s="26">
        <f>C44</f>
        <v/>
      </c>
      <c r="D45" s="26">
        <f>D44</f>
        <v/>
      </c>
      <c r="E45" s="26">
        <f>E44</f>
        <v/>
      </c>
      <c r="F45" s="26">
        <f>F44</f>
        <v/>
      </c>
      <c r="G45" s="26">
        <f>G44</f>
        <v/>
      </c>
      <c r="H45" s="26">
        <f>H44</f>
        <v/>
      </c>
      <c r="I45" s="26">
        <f>I44</f>
        <v/>
      </c>
    </row>
    <row r="47">
      <c r="A47" s="3" t="inlineStr">
        <is>
          <t>Cost Center: ('020',)</t>
        </is>
      </c>
    </row>
    <row r="48">
      <c r="A48" s="8" t="inlineStr">
        <is>
          <t>1000.1100.1000.51010.020</t>
        </is>
      </c>
      <c r="B48" s="8" t="inlineStr">
        <is>
          <t>Teacher Salary</t>
        </is>
      </c>
      <c r="C48" s="16" t="n">
        <v>1119833.98</v>
      </c>
      <c r="D48" s="16" t="n">
        <v>1109569.36</v>
      </c>
      <c r="E48" s="16" t="n">
        <v>1291609.27</v>
      </c>
      <c r="F48" s="16" t="n">
        <v>1195284</v>
      </c>
      <c r="G48" s="16" t="n">
        <v>1377907</v>
      </c>
      <c r="H48" s="16">
        <f>G48-F48</f>
        <v/>
      </c>
      <c r="I48" s="14">
        <f>IF(F48=0,0,G48/F48-1)</f>
        <v/>
      </c>
    </row>
    <row r="49">
      <c r="A49" s="8" t="inlineStr">
        <is>
          <t>1000.1100.1000.51020.020</t>
        </is>
      </c>
      <c r="B49" s="8" t="inlineStr">
        <is>
          <t>Ed Tech Salaries</t>
        </is>
      </c>
      <c r="C49" s="16" t="n">
        <v>73790.78999999999</v>
      </c>
      <c r="D49" s="16" t="n">
        <v>95366.74000000001</v>
      </c>
      <c r="E49" s="16" t="n">
        <v>96498.38</v>
      </c>
      <c r="F49" s="16" t="n">
        <v>134574</v>
      </c>
      <c r="G49" s="16" t="n">
        <v>102514</v>
      </c>
      <c r="H49" s="16">
        <f>G49-F49</f>
        <v/>
      </c>
      <c r="I49" s="14">
        <f>IF(F49=0,0,G49/F49-1)</f>
        <v/>
      </c>
    </row>
    <row r="50">
      <c r="A50" s="8" t="inlineStr">
        <is>
          <t>1000.1100.1000.51230.020</t>
        </is>
      </c>
      <c r="B50" s="8" t="inlineStr">
        <is>
          <t>Substitute Wages</t>
        </is>
      </c>
      <c r="C50" s="16" t="n">
        <v>90540.23</v>
      </c>
      <c r="D50" s="16" t="n">
        <v>69364.28</v>
      </c>
      <c r="E50" s="16" t="n">
        <v>81523.56</v>
      </c>
      <c r="F50" s="16" t="n">
        <v>74220</v>
      </c>
      <c r="G50" s="16" t="n">
        <v>86109</v>
      </c>
      <c r="H50" s="16">
        <f>G50-F50</f>
        <v/>
      </c>
      <c r="I50" s="14">
        <f>IF(F50=0,0,G50/F50-1)</f>
        <v/>
      </c>
    </row>
    <row r="51">
      <c r="A51" s="8" t="inlineStr">
        <is>
          <t>1000.1100.1000.52010.020</t>
        </is>
      </c>
      <c r="B51" s="8" t="inlineStr">
        <is>
          <t>Teacher Benefits</t>
        </is>
      </c>
      <c r="C51" s="16" t="n">
        <v>205630.56</v>
      </c>
      <c r="D51" s="16" t="n">
        <v>243265.17</v>
      </c>
      <c r="E51" s="16" t="n">
        <v>295156.39</v>
      </c>
      <c r="F51" s="16" t="n">
        <v>248768</v>
      </c>
      <c r="G51" s="16" t="n">
        <v>292118</v>
      </c>
      <c r="H51" s="16">
        <f>G51-F51</f>
        <v/>
      </c>
      <c r="I51" s="14">
        <f>IF(F51=0,0,G51/F51-1)</f>
        <v/>
      </c>
    </row>
    <row r="52">
      <c r="A52" s="8" t="inlineStr">
        <is>
          <t>1000.1100.1000.52020.020</t>
        </is>
      </c>
      <c r="B52" s="8" t="inlineStr">
        <is>
          <t>Ed Tech Benefits</t>
        </is>
      </c>
      <c r="C52" s="16" t="n">
        <v>28127.62</v>
      </c>
      <c r="D52" s="16" t="n">
        <v>27656.3</v>
      </c>
      <c r="E52" s="16" t="n">
        <v>27774.47</v>
      </c>
      <c r="F52" s="16" t="n">
        <v>65781</v>
      </c>
      <c r="G52" s="16" t="n">
        <v>63706</v>
      </c>
      <c r="H52" s="16">
        <f>G52-F52</f>
        <v/>
      </c>
      <c r="I52" s="14">
        <f>IF(F52=0,0,G52/F52-1)</f>
        <v/>
      </c>
    </row>
    <row r="53">
      <c r="A53" s="8" t="inlineStr">
        <is>
          <t>1000.1100.1000.52030.020</t>
        </is>
      </c>
      <c r="B53" s="8" t="inlineStr">
        <is>
          <t>Substitute Benefits</t>
        </is>
      </c>
      <c r="C53" s="16" t="n">
        <v>7381.87</v>
      </c>
      <c r="D53" s="16" t="n">
        <v>3937.92</v>
      </c>
      <c r="E53" s="16" t="n">
        <v>4518.26</v>
      </c>
      <c r="F53" s="16" t="n">
        <v>2397</v>
      </c>
      <c r="G53" s="16" t="n">
        <v>8120</v>
      </c>
      <c r="H53" s="16">
        <f>G53-F53</f>
        <v/>
      </c>
      <c r="I53" s="14">
        <f>IF(F53=0,0,G53/F53-1)</f>
        <v/>
      </c>
    </row>
    <row r="54">
      <c r="A54" s="8" t="inlineStr">
        <is>
          <t>1000.1100.1000.52310.020</t>
        </is>
      </c>
      <c r="B54" s="8" t="inlineStr">
        <is>
          <t>Retirement</t>
        </is>
      </c>
      <c r="C54" s="16" t="n">
        <v>42542.01</v>
      </c>
      <c r="D54" s="16" t="n">
        <v>49047.4</v>
      </c>
      <c r="E54" s="16" t="n">
        <v>57380.18</v>
      </c>
      <c r="F54" s="16" t="n">
        <v>53429</v>
      </c>
      <c r="G54" s="16" t="n">
        <v>61592</v>
      </c>
      <c r="H54" s="16">
        <f>G54-F54</f>
        <v/>
      </c>
      <c r="I54" s="14">
        <f>IF(F54=0,0,G54/F54-1)</f>
        <v/>
      </c>
    </row>
    <row r="55">
      <c r="A55" s="8" t="inlineStr">
        <is>
          <t>1000.1100.1000.52320.020</t>
        </is>
      </c>
      <c r="B55" s="8" t="inlineStr">
        <is>
          <t>Retirement</t>
        </is>
      </c>
      <c r="C55" s="16" t="n">
        <v>6497.29</v>
      </c>
      <c r="D55" s="16" t="n">
        <v>6829.32</v>
      </c>
      <c r="E55" s="16" t="n">
        <v>2828.2</v>
      </c>
      <c r="F55" s="16" t="n">
        <v>6015</v>
      </c>
      <c r="G55" s="16" t="n">
        <v>4949</v>
      </c>
      <c r="H55" s="16">
        <f>G55-F55</f>
        <v/>
      </c>
      <c r="I55" s="14">
        <f>IF(F55=0,0,G55/F55-1)</f>
        <v/>
      </c>
    </row>
    <row r="56">
      <c r="A56" s="8" t="inlineStr">
        <is>
          <t>1000.1100.1000.52330.020</t>
        </is>
      </c>
      <c r="B56" s="8" t="inlineStr">
        <is>
          <t>Retirement</t>
        </is>
      </c>
      <c r="C56" s="16" t="n">
        <v>12.86</v>
      </c>
      <c r="D56" s="16" t="n">
        <v>297.81</v>
      </c>
      <c r="E56" s="16" t="n">
        <v>1370.13</v>
      </c>
      <c r="F56" s="16" t="n">
        <v>3318</v>
      </c>
      <c r="G56" s="16" t="n">
        <v>1929</v>
      </c>
      <c r="H56" s="16">
        <f>G56-F56</f>
        <v/>
      </c>
      <c r="I56" s="14">
        <f>IF(F56=0,0,G56/F56-1)</f>
        <v/>
      </c>
    </row>
    <row r="57">
      <c r="A57" s="8" t="inlineStr">
        <is>
          <t>1000.1100.1000.53400.020</t>
        </is>
      </c>
      <c r="B57" s="8" t="inlineStr">
        <is>
          <t>Professional Servics</t>
        </is>
      </c>
      <c r="C57" s="16" t="n">
        <v>4074</v>
      </c>
      <c r="D57" s="16" t="n">
        <v>5129.48</v>
      </c>
      <c r="E57" s="16" t="n">
        <v>7078.75</v>
      </c>
      <c r="F57" s="16" t="n">
        <v>7810</v>
      </c>
      <c r="G57" s="16" t="n">
        <v>7201</v>
      </c>
      <c r="H57" s="16">
        <f>G57-F57</f>
        <v/>
      </c>
      <c r="I57" s="14">
        <f>IF(F57=0,0,G57/F57-1)</f>
        <v/>
      </c>
    </row>
    <row r="58">
      <c r="A58" s="8" t="inlineStr">
        <is>
          <t>1000.1100.1000.54300.020</t>
        </is>
      </c>
      <c r="B58" s="8" t="inlineStr">
        <is>
          <t>Copiers-Equipment Maint $6,075.21</t>
        </is>
      </c>
      <c r="C58" s="16" t="n">
        <v>8806.059999999999</v>
      </c>
      <c r="D58" s="16" t="n">
        <v>15467.5</v>
      </c>
      <c r="E58" s="16" t="n">
        <v>13000</v>
      </c>
      <c r="F58" s="16" t="n">
        <v>13000</v>
      </c>
      <c r="G58" s="16" t="n">
        <v>0</v>
      </c>
      <c r="H58" s="16">
        <f>G58-F58</f>
        <v/>
      </c>
      <c r="I58" s="14">
        <f>IF(F58=0,0,G58/F58-1)</f>
        <v/>
      </c>
    </row>
    <row r="59">
      <c r="A59" s="8" t="inlineStr">
        <is>
          <t>1000.1100.1000.54330.020</t>
        </is>
      </c>
      <c r="B59" s="8" t="inlineStr">
        <is>
          <t>Software</t>
        </is>
      </c>
      <c r="C59" s="16" t="n">
        <v>4686.63</v>
      </c>
      <c r="D59" s="16" t="n">
        <v>3607.37</v>
      </c>
      <c r="E59" s="16" t="n">
        <v>2645</v>
      </c>
      <c r="F59" s="16" t="n">
        <v>4050</v>
      </c>
      <c r="G59" s="16" t="n">
        <v>1050</v>
      </c>
      <c r="H59" s="16">
        <f>G59-F59</f>
        <v/>
      </c>
      <c r="I59" s="14">
        <f>IF(F59=0,0,G59/F59-1)</f>
        <v/>
      </c>
    </row>
    <row r="60">
      <c r="A60" s="8" t="inlineStr">
        <is>
          <t>1000.1100.1000.55800.020</t>
        </is>
      </c>
      <c r="B60" s="8" t="inlineStr">
        <is>
          <t>Travel</t>
        </is>
      </c>
      <c r="C60" s="16" t="n">
        <v>558.48</v>
      </c>
      <c r="D60" s="16" t="n">
        <v>721.13</v>
      </c>
      <c r="E60" s="16" t="n">
        <v>1016.82</v>
      </c>
      <c r="F60" s="16" t="n">
        <v>700</v>
      </c>
      <c r="G60" s="16" t="n">
        <v>700</v>
      </c>
      <c r="H60" s="16">
        <f>G60-F60</f>
        <v/>
      </c>
      <c r="I60" s="14">
        <f>IF(F60=0,0,G60/F60-1)</f>
        <v/>
      </c>
    </row>
    <row r="61">
      <c r="A61" s="8" t="inlineStr">
        <is>
          <t>1000.1100.1000.56100.020</t>
        </is>
      </c>
      <c r="B61" s="8" t="inlineStr">
        <is>
          <t>Instructional Supplies</t>
        </is>
      </c>
      <c r="C61" s="16" t="n">
        <v>42411.85</v>
      </c>
      <c r="D61" s="16" t="n">
        <v>46471.02</v>
      </c>
      <c r="E61" s="16" t="n">
        <v>39985.18</v>
      </c>
      <c r="F61" s="16" t="n">
        <v>42982</v>
      </c>
      <c r="G61" s="16" t="n">
        <v>40972</v>
      </c>
      <c r="H61" s="16">
        <f>G61-F61</f>
        <v/>
      </c>
      <c r="I61" s="14">
        <f>IF(F61=0,0,G61/F61-1)</f>
        <v/>
      </c>
    </row>
    <row r="62">
      <c r="A62" s="8" t="inlineStr">
        <is>
          <t>1000.1100.1000.56400.020</t>
        </is>
      </c>
      <c r="B62" s="8" t="inlineStr">
        <is>
          <t>BOOKS</t>
        </is>
      </c>
      <c r="C62" s="16" t="n">
        <v>6404.43</v>
      </c>
      <c r="D62" s="16" t="n">
        <v>9422.639999999999</v>
      </c>
      <c r="E62" s="16" t="n">
        <v>9168.969999999999</v>
      </c>
      <c r="F62" s="16" t="n">
        <v>8200</v>
      </c>
      <c r="G62" s="16" t="n">
        <v>7800</v>
      </c>
      <c r="H62" s="16">
        <f>G62-F62</f>
        <v/>
      </c>
      <c r="I62" s="14">
        <f>IF(F62=0,0,G62/F62-1)</f>
        <v/>
      </c>
    </row>
    <row r="63">
      <c r="A63" s="8" t="inlineStr">
        <is>
          <t>1000.1100.1000.57300.020</t>
        </is>
      </c>
      <c r="B63" s="8" t="inlineStr">
        <is>
          <t>Equipment</t>
        </is>
      </c>
      <c r="C63" s="16" t="n">
        <v>1472.17</v>
      </c>
      <c r="D63" s="16" t="n">
        <v>0</v>
      </c>
      <c r="E63" s="16" t="n">
        <v>0</v>
      </c>
      <c r="F63" s="16" t="n">
        <v>0</v>
      </c>
      <c r="G63" s="16" t="n">
        <v>0</v>
      </c>
      <c r="H63" s="16">
        <f>G63-F63</f>
        <v/>
      </c>
      <c r="I63" s="14">
        <f>IF(F63=0,0,G63/F63-1)</f>
        <v/>
      </c>
    </row>
    <row r="64">
      <c r="A64" s="9" t="n"/>
      <c r="B64" s="22" t="inlineStr">
        <is>
          <t>Program 1100 Total</t>
        </is>
      </c>
      <c r="C64" s="23">
        <f>SUM(C48:C63)</f>
        <v/>
      </c>
      <c r="D64" s="23">
        <f>SUM(D48:D63)</f>
        <v/>
      </c>
      <c r="E64" s="23">
        <f>SUM(E48:E63)</f>
        <v/>
      </c>
      <c r="F64" s="23">
        <f>SUM(F48:F63)</f>
        <v/>
      </c>
      <c r="G64" s="23">
        <f>SUM(G48:G63)</f>
        <v/>
      </c>
      <c r="H64" s="23">
        <f>SUM(H48:H63)</f>
        <v/>
      </c>
      <c r="I64" s="23">
        <f>SUM(I48:I63)</f>
        <v/>
      </c>
    </row>
    <row r="65">
      <c r="A65" s="8" t="inlineStr">
        <is>
          <t>1000.1120.1000.51010.020</t>
        </is>
      </c>
      <c r="B65" s="8" t="inlineStr">
        <is>
          <t>Salaries</t>
        </is>
      </c>
      <c r="C65" s="16" t="n">
        <v>316022.08</v>
      </c>
      <c r="D65" s="16" t="n">
        <v>255377.01</v>
      </c>
      <c r="E65" s="16" t="n">
        <v>270495.81</v>
      </c>
      <c r="F65" s="16" t="n">
        <v>314027</v>
      </c>
      <c r="G65" s="16" t="n">
        <v>255102</v>
      </c>
      <c r="H65" s="16">
        <f>G65-F65</f>
        <v/>
      </c>
      <c r="I65" s="14">
        <f>IF(F65=0,0,G65/F65-1)</f>
        <v/>
      </c>
    </row>
    <row r="66">
      <c r="A66" s="8" t="inlineStr">
        <is>
          <t>1000.1120.1000.51020.020</t>
        </is>
      </c>
      <c r="B66" s="8" t="inlineStr">
        <is>
          <t>Ed Tech Salaries</t>
        </is>
      </c>
      <c r="C66" s="16" t="n">
        <v>75933.41</v>
      </c>
      <c r="D66" s="16" t="n">
        <v>53560.59</v>
      </c>
      <c r="E66" s="16" t="n">
        <v>66227.50999999999</v>
      </c>
      <c r="F66" s="16" t="n">
        <v>63334</v>
      </c>
      <c r="G66" s="16" t="n">
        <v>65183</v>
      </c>
      <c r="H66" s="16">
        <f>G66-F66</f>
        <v/>
      </c>
      <c r="I66" s="14">
        <f>IF(F66=0,0,G66/F66-1)</f>
        <v/>
      </c>
    </row>
    <row r="67">
      <c r="A67" s="8" t="inlineStr">
        <is>
          <t>1000.1120.1000.52010.020</t>
        </is>
      </c>
      <c r="B67" s="8" t="inlineStr">
        <is>
          <t>Benefits</t>
        </is>
      </c>
      <c r="C67" s="16" t="n">
        <v>35772.25</v>
      </c>
      <c r="D67" s="16" t="n">
        <v>44459.87</v>
      </c>
      <c r="E67" s="16" t="n">
        <v>45075.2</v>
      </c>
      <c r="F67" s="16" t="n">
        <v>81864</v>
      </c>
      <c r="G67" s="16" t="n">
        <v>84690</v>
      </c>
      <c r="H67" s="16">
        <f>G67-F67</f>
        <v/>
      </c>
      <c r="I67" s="14">
        <f>IF(F67=0,0,G67/F67-1)</f>
        <v/>
      </c>
    </row>
    <row r="68">
      <c r="A68" s="8" t="inlineStr">
        <is>
          <t>1000.1120.1000.52020.020</t>
        </is>
      </c>
      <c r="B68" s="8" t="inlineStr">
        <is>
          <t>Ed Tech Benefit</t>
        </is>
      </c>
      <c r="C68" s="16" t="n">
        <v>12432.65</v>
      </c>
      <c r="D68" s="16" t="n">
        <v>8880.129999999999</v>
      </c>
      <c r="E68" s="16" t="n">
        <v>9729.549999999999</v>
      </c>
      <c r="F68" s="16" t="n">
        <v>11383</v>
      </c>
      <c r="G68" s="16" t="n">
        <v>17086</v>
      </c>
      <c r="H68" s="16">
        <f>G68-F68</f>
        <v/>
      </c>
      <c r="I68" s="14">
        <f>IF(F68=0,0,G68/F68-1)</f>
        <v/>
      </c>
    </row>
    <row r="69">
      <c r="A69" s="8" t="inlineStr">
        <is>
          <t>1000.1120.1000.52310.020</t>
        </is>
      </c>
      <c r="B69" s="8" t="inlineStr">
        <is>
          <t>Retirement</t>
        </is>
      </c>
      <c r="C69" s="16" t="n">
        <v>11407.09</v>
      </c>
      <c r="D69" s="16" t="n">
        <v>11137.66</v>
      </c>
      <c r="E69" s="16" t="n">
        <v>11844.03</v>
      </c>
      <c r="F69" s="16" t="n">
        <v>14037</v>
      </c>
      <c r="G69" s="16" t="n">
        <v>11403</v>
      </c>
      <c r="H69" s="16">
        <f>G69-F69</f>
        <v/>
      </c>
      <c r="I69" s="14">
        <f>IF(F69=0,0,G69/F69-1)</f>
        <v/>
      </c>
    </row>
    <row r="70">
      <c r="A70" s="8" t="inlineStr">
        <is>
          <t>1000.1120.1000.52320.020</t>
        </is>
      </c>
      <c r="B70" s="8" t="inlineStr">
        <is>
          <t>Retirement</t>
        </is>
      </c>
      <c r="C70" s="16" t="n">
        <v>1880.28</v>
      </c>
      <c r="D70" s="16" t="n">
        <v>2250.8</v>
      </c>
      <c r="E70" s="16" t="n">
        <v>2647.52</v>
      </c>
      <c r="F70" s="16" t="n">
        <v>2831</v>
      </c>
      <c r="G70" s="16" t="n">
        <v>3147</v>
      </c>
      <c r="H70" s="16">
        <f>G70-F70</f>
        <v/>
      </c>
      <c r="I70" s="14">
        <f>IF(F70=0,0,G70/F70-1)</f>
        <v/>
      </c>
    </row>
    <row r="71">
      <c r="A71" s="9" t="n"/>
      <c r="B71" s="22" t="inlineStr">
        <is>
          <t>Program 1120 Total</t>
        </is>
      </c>
      <c r="C71" s="23">
        <f>SUM(C65:C70)</f>
        <v/>
      </c>
      <c r="D71" s="23">
        <f>SUM(D65:D70)</f>
        <v/>
      </c>
      <c r="E71" s="23">
        <f>SUM(E65:E70)</f>
        <v/>
      </c>
      <c r="F71" s="23">
        <f>SUM(F65:F70)</f>
        <v/>
      </c>
      <c r="G71" s="23">
        <f>SUM(G65:G70)</f>
        <v/>
      </c>
      <c r="H71" s="23">
        <f>SUM(H65:H70)</f>
        <v/>
      </c>
      <c r="I71" s="23">
        <f>SUM(I65:I70)</f>
        <v/>
      </c>
    </row>
    <row r="72">
      <c r="A72" s="9" t="n"/>
      <c r="B72" s="24" t="inlineStr">
        <is>
          <t>Function 1000 Total</t>
        </is>
      </c>
      <c r="C72" s="25">
        <f>C64+C71</f>
        <v/>
      </c>
      <c r="D72" s="25">
        <f>D64+D71</f>
        <v/>
      </c>
      <c r="E72" s="25">
        <f>E64+E71</f>
        <v/>
      </c>
      <c r="F72" s="25">
        <f>F64+F71</f>
        <v/>
      </c>
      <c r="G72" s="25">
        <f>G64+G71</f>
        <v/>
      </c>
      <c r="H72" s="25">
        <f>H64+H71</f>
        <v/>
      </c>
      <c r="I72" s="25">
        <f>I64+I71</f>
        <v/>
      </c>
    </row>
    <row r="73">
      <c r="A73" s="9" t="n"/>
      <c r="B73" s="12" t="inlineStr">
        <is>
          <t>Cost Center ('020',) Total</t>
        </is>
      </c>
      <c r="C73" s="26">
        <f>C72</f>
        <v/>
      </c>
      <c r="D73" s="26">
        <f>D72</f>
        <v/>
      </c>
      <c r="E73" s="26">
        <f>E72</f>
        <v/>
      </c>
      <c r="F73" s="26">
        <f>F72</f>
        <v/>
      </c>
      <c r="G73" s="26">
        <f>G72</f>
        <v/>
      </c>
      <c r="H73" s="26">
        <f>H72</f>
        <v/>
      </c>
      <c r="I73" s="26">
        <f>I72</f>
        <v/>
      </c>
    </row>
    <row r="75">
      <c r="A75" s="3" t="inlineStr">
        <is>
          <t>Cost Center: ('030',)</t>
        </is>
      </c>
    </row>
    <row r="76">
      <c r="A76" s="8" t="inlineStr">
        <is>
          <t>1000.1100.1000.51010.030</t>
        </is>
      </c>
      <c r="B76" s="8" t="inlineStr">
        <is>
          <t>Teacher Salaries</t>
        </is>
      </c>
      <c r="C76" s="16" t="n">
        <v>558586.1899999999</v>
      </c>
      <c r="D76" s="16" t="n">
        <v>592246.15</v>
      </c>
      <c r="E76" s="16" t="n">
        <v>562328.71</v>
      </c>
      <c r="F76" s="16" t="n">
        <v>726219</v>
      </c>
      <c r="G76" s="16" t="n">
        <v>662647</v>
      </c>
      <c r="H76" s="16">
        <f>G76-F76</f>
        <v/>
      </c>
      <c r="I76" s="14">
        <f>IF(F76=0,0,G76/F76-1)</f>
        <v/>
      </c>
    </row>
    <row r="77">
      <c r="A77" s="8" t="inlineStr">
        <is>
          <t>1000.1100.1000.51020.030</t>
        </is>
      </c>
      <c r="B77" s="8" t="inlineStr">
        <is>
          <t>Ed Tech Salaries</t>
        </is>
      </c>
      <c r="C77" s="16" t="n">
        <v>33042.15</v>
      </c>
      <c r="D77" s="16" t="n">
        <v>44491.02</v>
      </c>
      <c r="E77" s="16" t="n">
        <v>52178.65</v>
      </c>
      <c r="F77" s="16" t="n">
        <v>47154</v>
      </c>
      <c r="G77" s="16" t="n">
        <v>47263</v>
      </c>
      <c r="H77" s="16">
        <f>G77-F77</f>
        <v/>
      </c>
      <c r="I77" s="14">
        <f>IF(F77=0,0,G77/F77-1)</f>
        <v/>
      </c>
    </row>
    <row r="78">
      <c r="A78" s="8" t="inlineStr">
        <is>
          <t>1000.1100.1000.51230.030</t>
        </is>
      </c>
      <c r="B78" s="8" t="inlineStr">
        <is>
          <t>Sub Salaries</t>
        </is>
      </c>
      <c r="C78" s="16" t="n">
        <v>14623.46</v>
      </c>
      <c r="D78" s="16" t="n">
        <v>16140</v>
      </c>
      <c r="E78" s="16" t="n">
        <v>20638.14</v>
      </c>
      <c r="F78" s="16" t="n">
        <v>17270</v>
      </c>
      <c r="G78" s="16" t="n">
        <v>20632</v>
      </c>
      <c r="H78" s="16">
        <f>G78-F78</f>
        <v/>
      </c>
      <c r="I78" s="14">
        <f>IF(F78=0,0,G78/F78-1)</f>
        <v/>
      </c>
    </row>
    <row r="79">
      <c r="A79" s="8" t="inlineStr">
        <is>
          <t>1000.1100.1000.52010.030</t>
        </is>
      </c>
      <c r="B79" s="8" t="inlineStr">
        <is>
          <t>Teacher Benefits</t>
        </is>
      </c>
      <c r="C79" s="16" t="n">
        <v>99417.83</v>
      </c>
      <c r="D79" s="16" t="n">
        <v>110078.17</v>
      </c>
      <c r="E79" s="16" t="n">
        <v>95904.23</v>
      </c>
      <c r="F79" s="16" t="n">
        <v>129905</v>
      </c>
      <c r="G79" s="16" t="n">
        <v>139319</v>
      </c>
      <c r="H79" s="16">
        <f>G79-F79</f>
        <v/>
      </c>
      <c r="I79" s="14">
        <f>IF(F79=0,0,G79/F79-1)</f>
        <v/>
      </c>
    </row>
    <row r="80">
      <c r="A80" s="8" t="inlineStr">
        <is>
          <t>1000.1100.1000.52020.030</t>
        </is>
      </c>
      <c r="B80" s="8" t="inlineStr">
        <is>
          <t>Ed Tech Benefits</t>
        </is>
      </c>
      <c r="C80" s="16" t="n">
        <v>1442.91</v>
      </c>
      <c r="D80" s="16" t="n">
        <v>1715.19</v>
      </c>
      <c r="E80" s="16" t="n">
        <v>2104.53</v>
      </c>
      <c r="F80" s="16" t="n">
        <v>8344</v>
      </c>
      <c r="G80" s="16" t="n">
        <v>12348</v>
      </c>
      <c r="H80" s="16">
        <f>G80-F80</f>
        <v/>
      </c>
      <c r="I80" s="14">
        <f>IF(F80=0,0,G80/F80-1)</f>
        <v/>
      </c>
    </row>
    <row r="81">
      <c r="A81" s="8" t="inlineStr">
        <is>
          <t>1000.1100.1000.52030.030</t>
        </is>
      </c>
      <c r="B81" s="8" t="inlineStr">
        <is>
          <t>Sub Benefits</t>
        </is>
      </c>
      <c r="C81" s="16" t="n">
        <v>1140.15</v>
      </c>
      <c r="D81" s="16" t="n">
        <v>1238.73</v>
      </c>
      <c r="E81" s="16" t="n">
        <v>2327.76</v>
      </c>
      <c r="F81" s="16" t="n">
        <v>558</v>
      </c>
      <c r="G81" s="16" t="n">
        <v>1946</v>
      </c>
      <c r="H81" s="16">
        <f>G81-F81</f>
        <v/>
      </c>
      <c r="I81" s="14">
        <f>IF(F81=0,0,G81/F81-1)</f>
        <v/>
      </c>
    </row>
    <row r="82">
      <c r="A82" s="8" t="inlineStr">
        <is>
          <t>1000.1100.1000.52310.030</t>
        </is>
      </c>
      <c r="B82" s="8" t="inlineStr">
        <is>
          <t>Retirement</t>
        </is>
      </c>
      <c r="C82" s="16" t="n">
        <v>25772.12</v>
      </c>
      <c r="D82" s="16" t="n">
        <v>26866.13</v>
      </c>
      <c r="E82" s="16" t="n">
        <v>24892.54</v>
      </c>
      <c r="F82" s="16" t="n">
        <v>32462</v>
      </c>
      <c r="G82" s="16" t="n">
        <v>29620</v>
      </c>
      <c r="H82" s="16">
        <f>G82-F82</f>
        <v/>
      </c>
      <c r="I82" s="14">
        <f>IF(F82=0,0,G82/F82-1)</f>
        <v/>
      </c>
    </row>
    <row r="83">
      <c r="A83" s="8" t="inlineStr">
        <is>
          <t>1000.1100.1000.52320.030</t>
        </is>
      </c>
      <c r="B83" s="8" t="inlineStr">
        <is>
          <t>Retirement</t>
        </is>
      </c>
      <c r="C83" s="16" t="n">
        <v>1264.76</v>
      </c>
      <c r="D83" s="16" t="n">
        <v>1993.53</v>
      </c>
      <c r="E83" s="16" t="n">
        <v>2019.54</v>
      </c>
      <c r="F83" s="16" t="n">
        <v>2108</v>
      </c>
      <c r="G83" s="16" t="n">
        <v>2282</v>
      </c>
      <c r="H83" s="16">
        <f>G83-F83</f>
        <v/>
      </c>
      <c r="I83" s="14">
        <f>IF(F83=0,0,G83/F83-1)</f>
        <v/>
      </c>
    </row>
    <row r="84">
      <c r="A84" s="8" t="inlineStr">
        <is>
          <t>1000.1100.1000.52330.030</t>
        </is>
      </c>
      <c r="B84" s="8" t="inlineStr">
        <is>
          <t>Retirement</t>
        </is>
      </c>
      <c r="C84" s="16" t="n">
        <v>31.78</v>
      </c>
      <c r="D84" s="16" t="n">
        <v>216.26</v>
      </c>
      <c r="E84" s="16" t="n">
        <v>324.65</v>
      </c>
      <c r="F84" s="16" t="n">
        <v>772</v>
      </c>
      <c r="G84" s="16" t="n">
        <v>462</v>
      </c>
      <c r="H84" s="16">
        <f>G84-F84</f>
        <v/>
      </c>
      <c r="I84" s="14">
        <f>IF(F84=0,0,G84/F84-1)</f>
        <v/>
      </c>
    </row>
    <row r="85">
      <c r="A85" s="8" t="inlineStr">
        <is>
          <t>1000.1100.1000.53400.030</t>
        </is>
      </c>
      <c r="B85" s="8" t="inlineStr">
        <is>
          <t>Professional Services</t>
        </is>
      </c>
      <c r="C85" s="16" t="n">
        <v>7622.99</v>
      </c>
      <c r="D85" s="16" t="n">
        <v>9773.92</v>
      </c>
      <c r="E85" s="16" t="n">
        <v>10827.13</v>
      </c>
      <c r="F85" s="16" t="n">
        <v>12967</v>
      </c>
      <c r="G85" s="16" t="n">
        <v>14687</v>
      </c>
      <c r="H85" s="16">
        <f>G85-F85</f>
        <v/>
      </c>
      <c r="I85" s="14">
        <f>IF(F85=0,0,G85/F85-1)</f>
        <v/>
      </c>
    </row>
    <row r="86">
      <c r="A86" s="8" t="inlineStr">
        <is>
          <t>1000.1100.1000.54300.030</t>
        </is>
      </c>
      <c r="B86" s="8" t="inlineStr">
        <is>
          <t>Copiers Repairs/Maint</t>
        </is>
      </c>
      <c r="C86" s="16" t="n">
        <v>6657.3</v>
      </c>
      <c r="D86" s="16" t="n">
        <v>7255.5</v>
      </c>
      <c r="E86" s="16" t="n">
        <v>6210.19</v>
      </c>
      <c r="F86" s="16" t="n">
        <v>9700</v>
      </c>
      <c r="G86" s="16" t="n">
        <v>9700</v>
      </c>
      <c r="H86" s="16">
        <f>G86-F86</f>
        <v/>
      </c>
      <c r="I86" s="14">
        <f>IF(F86=0,0,G86/F86-1)</f>
        <v/>
      </c>
    </row>
    <row r="87">
      <c r="A87" s="8" t="inlineStr">
        <is>
          <t>1000.1100.1000.54330.030</t>
        </is>
      </c>
      <c r="B87" s="8" t="inlineStr">
        <is>
          <t>Software</t>
        </is>
      </c>
      <c r="C87" s="16" t="n">
        <v>4530.85</v>
      </c>
      <c r="D87" s="16" t="n">
        <v>5780.4</v>
      </c>
      <c r="E87" s="16" t="n">
        <v>4536.33</v>
      </c>
      <c r="F87" s="16" t="n">
        <v>5610</v>
      </c>
      <c r="G87" s="16" t="n">
        <v>4636</v>
      </c>
      <c r="H87" s="16">
        <f>G87-F87</f>
        <v/>
      </c>
      <c r="I87" s="14">
        <f>IF(F87=0,0,G87/F87-1)</f>
        <v/>
      </c>
    </row>
    <row r="88">
      <c r="A88" s="8" t="inlineStr">
        <is>
          <t>1000.1100.1000.55800.030</t>
        </is>
      </c>
      <c r="B88" s="8" t="inlineStr">
        <is>
          <t>Travel</t>
        </is>
      </c>
      <c r="C88" s="16" t="n">
        <v>1125.55</v>
      </c>
      <c r="D88" s="16" t="n">
        <v>1321.62</v>
      </c>
      <c r="E88" s="16" t="n">
        <v>1395.78</v>
      </c>
      <c r="F88" s="16" t="n">
        <v>2000</v>
      </c>
      <c r="G88" s="16" t="n">
        <v>1600</v>
      </c>
      <c r="H88" s="16">
        <f>G88-F88</f>
        <v/>
      </c>
      <c r="I88" s="14">
        <f>IF(F88=0,0,G88/F88-1)</f>
        <v/>
      </c>
    </row>
    <row r="89">
      <c r="A89" s="8" t="inlineStr">
        <is>
          <t>1000.1100.1000.56100.030</t>
        </is>
      </c>
      <c r="B89" s="8" t="inlineStr">
        <is>
          <t>Instructional Supplies</t>
        </is>
      </c>
      <c r="C89" s="16" t="n">
        <v>18272.93</v>
      </c>
      <c r="D89" s="16" t="n">
        <v>18749.27</v>
      </c>
      <c r="E89" s="16" t="n">
        <v>23156.76</v>
      </c>
      <c r="F89" s="16" t="n">
        <v>18405</v>
      </c>
      <c r="G89" s="16" t="n">
        <v>17990</v>
      </c>
      <c r="H89" s="16">
        <f>G89-F89</f>
        <v/>
      </c>
      <c r="I89" s="14">
        <f>IF(F89=0,0,G89/F89-1)</f>
        <v/>
      </c>
    </row>
    <row r="90">
      <c r="A90" s="8" t="inlineStr">
        <is>
          <t>1000.1100.1000.56110.030</t>
        </is>
      </c>
      <c r="B90" s="8" t="inlineStr">
        <is>
          <t>Equipment &amp; Furniture</t>
        </is>
      </c>
      <c r="C90" s="16" t="n">
        <v>1230.15</v>
      </c>
      <c r="D90" s="16" t="n">
        <v>3532.05</v>
      </c>
      <c r="E90" s="16" t="n">
        <v>1689.16</v>
      </c>
      <c r="F90" s="16" t="n">
        <v>2303</v>
      </c>
      <c r="G90" s="16" t="n">
        <v>2620</v>
      </c>
      <c r="H90" s="16">
        <f>G90-F90</f>
        <v/>
      </c>
      <c r="I90" s="14">
        <f>IF(F90=0,0,G90/F90-1)</f>
        <v/>
      </c>
    </row>
    <row r="91">
      <c r="A91" s="8" t="inlineStr">
        <is>
          <t>1000.1100.1000.56400.030</t>
        </is>
      </c>
      <c r="B91" s="8" t="inlineStr">
        <is>
          <t>Books</t>
        </is>
      </c>
      <c r="C91" s="16" t="n">
        <v>2817.18</v>
      </c>
      <c r="D91" s="16" t="n">
        <v>3977.8</v>
      </c>
      <c r="E91" s="16" t="n">
        <v>3184.77</v>
      </c>
      <c r="F91" s="16" t="n">
        <v>3200</v>
      </c>
      <c r="G91" s="16" t="n">
        <v>3000</v>
      </c>
      <c r="H91" s="16">
        <f>G91-F91</f>
        <v/>
      </c>
      <c r="I91" s="14">
        <f>IF(F91=0,0,G91/F91-1)</f>
        <v/>
      </c>
    </row>
    <row r="92">
      <c r="A92" s="8" t="inlineStr">
        <is>
          <t>1000.1100.1000.58100.030</t>
        </is>
      </c>
      <c r="B92" s="8" t="inlineStr">
        <is>
          <t>Dues and Fees</t>
        </is>
      </c>
      <c r="C92" s="16" t="n">
        <v>0</v>
      </c>
      <c r="D92" s="16" t="n">
        <v>0</v>
      </c>
      <c r="E92" s="16" t="n">
        <v>200</v>
      </c>
      <c r="F92" s="16" t="n">
        <v>200</v>
      </c>
      <c r="G92" s="16" t="n">
        <v>200</v>
      </c>
      <c r="H92" s="16">
        <f>G92-F92</f>
        <v/>
      </c>
      <c r="I92" s="14">
        <f>IF(F92=0,0,G92/F92-1)</f>
        <v/>
      </c>
    </row>
    <row r="93">
      <c r="A93" s="9" t="n"/>
      <c r="B93" s="22" t="inlineStr">
        <is>
          <t>Program 1100 Total</t>
        </is>
      </c>
      <c r="C93" s="23">
        <f>SUM(C76:C92)</f>
        <v/>
      </c>
      <c r="D93" s="23">
        <f>SUM(D76:D92)</f>
        <v/>
      </c>
      <c r="E93" s="23">
        <f>SUM(E76:E92)</f>
        <v/>
      </c>
      <c r="F93" s="23">
        <f>SUM(F76:F92)</f>
        <v/>
      </c>
      <c r="G93" s="23">
        <f>SUM(G76:G92)</f>
        <v/>
      </c>
      <c r="H93" s="23">
        <f>SUM(H76:H92)</f>
        <v/>
      </c>
      <c r="I93" s="23">
        <f>SUM(I76:I92)</f>
        <v/>
      </c>
    </row>
    <row r="94">
      <c r="A94" s="8" t="inlineStr">
        <is>
          <t>1000.1120.1000.51010.030</t>
        </is>
      </c>
      <c r="B94" s="8" t="inlineStr">
        <is>
          <t>Teacher Salaries</t>
        </is>
      </c>
      <c r="C94" s="16" t="n">
        <v>113825.05</v>
      </c>
      <c r="D94" s="16" t="n">
        <v>119668.34</v>
      </c>
      <c r="E94" s="16" t="n">
        <v>126108.99</v>
      </c>
      <c r="F94" s="16" t="n">
        <v>132314</v>
      </c>
      <c r="G94" s="16" t="n">
        <v>145313</v>
      </c>
      <c r="H94" s="16">
        <f>G94-F94</f>
        <v/>
      </c>
      <c r="I94" s="14">
        <f>IF(F94=0,0,G94/F94-1)</f>
        <v/>
      </c>
    </row>
    <row r="95">
      <c r="A95" s="8" t="inlineStr">
        <is>
          <t>1000.1120.1000.51020.030</t>
        </is>
      </c>
      <c r="B95" s="8" t="inlineStr">
        <is>
          <t>Ed Tech Salaries</t>
        </is>
      </c>
      <c r="C95" s="16" t="n">
        <v>15491.81</v>
      </c>
      <c r="D95" s="16" t="n">
        <v>14636.95</v>
      </c>
      <c r="E95" s="16" t="n">
        <v>14611.03</v>
      </c>
      <c r="F95" s="16" t="n">
        <v>29432</v>
      </c>
      <c r="G95" s="16" t="n">
        <v>29232</v>
      </c>
      <c r="H95" s="16">
        <f>G95-F95</f>
        <v/>
      </c>
      <c r="I95" s="14">
        <f>IF(F95=0,0,G95/F95-1)</f>
        <v/>
      </c>
    </row>
    <row r="96">
      <c r="A96" s="8" t="inlineStr">
        <is>
          <t>1000.1120.1000.52010.030</t>
        </is>
      </c>
      <c r="B96" s="8" t="inlineStr">
        <is>
          <t>Teacher Benefits</t>
        </is>
      </c>
      <c r="C96" s="16" t="n">
        <v>20397.3</v>
      </c>
      <c r="D96" s="16" t="n">
        <v>21572.14</v>
      </c>
      <c r="E96" s="16" t="n">
        <v>26999.56</v>
      </c>
      <c r="F96" s="16" t="n">
        <v>32713</v>
      </c>
      <c r="G96" s="16" t="n">
        <v>35257</v>
      </c>
      <c r="H96" s="16">
        <f>G96-F96</f>
        <v/>
      </c>
      <c r="I96" s="14">
        <f>IF(F96=0,0,G96/F96-1)</f>
        <v/>
      </c>
    </row>
    <row r="97">
      <c r="A97" s="8" t="inlineStr">
        <is>
          <t>1000.1120.1000.52020.030</t>
        </is>
      </c>
      <c r="B97" s="8" t="inlineStr">
        <is>
          <t>Ed Tech Benefits</t>
        </is>
      </c>
      <c r="C97" s="16" t="n">
        <v>13328.88</v>
      </c>
      <c r="D97" s="16" t="n">
        <v>4650.61</v>
      </c>
      <c r="E97" s="16" t="n">
        <v>370.36</v>
      </c>
      <c r="F97" s="16" t="n">
        <v>5537</v>
      </c>
      <c r="G97" s="16" t="n">
        <v>8023</v>
      </c>
      <c r="H97" s="16">
        <f>G97-F97</f>
        <v/>
      </c>
      <c r="I97" s="14">
        <f>IF(F97=0,0,G97/F97-1)</f>
        <v/>
      </c>
    </row>
    <row r="98">
      <c r="A98" s="8" t="inlineStr">
        <is>
          <t>1000.1120.1000.52310.030</t>
        </is>
      </c>
      <c r="B98" s="8" t="inlineStr">
        <is>
          <t>Retirement</t>
        </is>
      </c>
      <c r="C98" s="16" t="n">
        <v>11528.32</v>
      </c>
      <c r="D98" s="16" t="n">
        <v>6065.38</v>
      </c>
      <c r="E98" s="16" t="n">
        <v>5459.94</v>
      </c>
      <c r="F98" s="16" t="n">
        <v>5914</v>
      </c>
      <c r="G98" s="16" t="n">
        <v>6495</v>
      </c>
      <c r="H98" s="16">
        <f>G98-F98</f>
        <v/>
      </c>
      <c r="I98" s="14">
        <f>IF(F98=0,0,G98/F98-1)</f>
        <v/>
      </c>
    </row>
    <row r="99">
      <c r="A99" s="8" t="inlineStr">
        <is>
          <t>1000.1120.1000.52320.030</t>
        </is>
      </c>
      <c r="B99" s="8" t="inlineStr">
        <is>
          <t>Retirement</t>
        </is>
      </c>
      <c r="C99" s="16" t="n">
        <v>601.29</v>
      </c>
      <c r="D99" s="16" t="n">
        <v>565.1</v>
      </c>
      <c r="E99" s="16" t="n">
        <v>653.12</v>
      </c>
      <c r="F99" s="16" t="n">
        <v>1316</v>
      </c>
      <c r="G99" s="16" t="n">
        <v>1411</v>
      </c>
      <c r="H99" s="16">
        <f>G99-F99</f>
        <v/>
      </c>
      <c r="I99" s="14">
        <f>IF(F99=0,0,G99/F99-1)</f>
        <v/>
      </c>
    </row>
    <row r="100">
      <c r="A100" s="9" t="n"/>
      <c r="B100" s="22" t="inlineStr">
        <is>
          <t>Program 1120 Total</t>
        </is>
      </c>
      <c r="C100" s="23">
        <f>SUM(C94:C99)</f>
        <v/>
      </c>
      <c r="D100" s="23">
        <f>SUM(D94:D99)</f>
        <v/>
      </c>
      <c r="E100" s="23">
        <f>SUM(E94:E99)</f>
        <v/>
      </c>
      <c r="F100" s="23">
        <f>SUM(F94:F99)</f>
        <v/>
      </c>
      <c r="G100" s="23">
        <f>SUM(G94:G99)</f>
        <v/>
      </c>
      <c r="H100" s="23">
        <f>SUM(H94:H99)</f>
        <v/>
      </c>
      <c r="I100" s="23">
        <f>SUM(I94:I99)</f>
        <v/>
      </c>
    </row>
    <row r="101">
      <c r="A101" s="9" t="n"/>
      <c r="B101" s="24" t="inlineStr">
        <is>
          <t>Function 1000 Total</t>
        </is>
      </c>
      <c r="C101" s="25">
        <f>C93+C100</f>
        <v/>
      </c>
      <c r="D101" s="25">
        <f>D93+D100</f>
        <v/>
      </c>
      <c r="E101" s="25">
        <f>E93+E100</f>
        <v/>
      </c>
      <c r="F101" s="25">
        <f>F93+F100</f>
        <v/>
      </c>
      <c r="G101" s="25">
        <f>G93+G100</f>
        <v/>
      </c>
      <c r="H101" s="25">
        <f>H93+H100</f>
        <v/>
      </c>
      <c r="I101" s="25">
        <f>I93+I100</f>
        <v/>
      </c>
    </row>
    <row r="102">
      <c r="A102" s="9" t="n"/>
      <c r="B102" s="12" t="inlineStr">
        <is>
          <t>Cost Center ('030',) Total</t>
        </is>
      </c>
      <c r="C102" s="26">
        <f>C101</f>
        <v/>
      </c>
      <c r="D102" s="26">
        <f>D101</f>
        <v/>
      </c>
      <c r="E102" s="26">
        <f>E101</f>
        <v/>
      </c>
      <c r="F102" s="26">
        <f>F101</f>
        <v/>
      </c>
      <c r="G102" s="26">
        <f>G101</f>
        <v/>
      </c>
      <c r="H102" s="26">
        <f>H101</f>
        <v/>
      </c>
      <c r="I102" s="26">
        <f>I101</f>
        <v/>
      </c>
    </row>
    <row r="104">
      <c r="A104" s="3" t="inlineStr">
        <is>
          <t>Cost Center: ('040',)</t>
        </is>
      </c>
    </row>
    <row r="105">
      <c r="A105" s="8" t="inlineStr">
        <is>
          <t>1000.1100.1000.51010.040</t>
        </is>
      </c>
      <c r="B105" s="8" t="inlineStr">
        <is>
          <t>Teacher Salaries</t>
        </is>
      </c>
      <c r="C105" s="16" t="n">
        <v>1347635.74</v>
      </c>
      <c r="D105" s="16" t="n">
        <v>1382269.93</v>
      </c>
      <c r="E105" s="16" t="n">
        <v>1535640.93</v>
      </c>
      <c r="F105" s="16" t="n">
        <v>1771344</v>
      </c>
      <c r="G105" s="16" t="n">
        <v>1673143</v>
      </c>
      <c r="H105" s="16">
        <f>G105-F105</f>
        <v/>
      </c>
      <c r="I105" s="14">
        <f>IF(F105=0,0,G105/F105-1)</f>
        <v/>
      </c>
    </row>
    <row r="106">
      <c r="A106" s="8" t="inlineStr">
        <is>
          <t>1000.1100.1000.51020.040</t>
        </is>
      </c>
      <c r="B106" s="8" t="inlineStr">
        <is>
          <t>Ed Tech Salaries</t>
        </is>
      </c>
      <c r="C106" s="16" t="n">
        <v>52422.61</v>
      </c>
      <c r="D106" s="16" t="n">
        <v>80864.99000000001</v>
      </c>
      <c r="E106" s="16" t="n">
        <v>64206.95</v>
      </c>
      <c r="F106" s="16" t="n">
        <v>29472</v>
      </c>
      <c r="G106" s="16" t="n">
        <v>0</v>
      </c>
      <c r="H106" s="16">
        <f>G106-F106</f>
        <v/>
      </c>
      <c r="I106" s="14">
        <f>IF(F106=0,0,G106/F106-1)</f>
        <v/>
      </c>
    </row>
    <row r="107">
      <c r="A107" s="8" t="inlineStr">
        <is>
          <t>1000.1100.1000.51230.040</t>
        </is>
      </c>
      <c r="B107" s="8" t="inlineStr">
        <is>
          <t>Substitute Wages</t>
        </is>
      </c>
      <c r="C107" s="16" t="n">
        <v>32974.25</v>
      </c>
      <c r="D107" s="16" t="n">
        <v>40866.08</v>
      </c>
      <c r="E107" s="16" t="n">
        <v>73039.64</v>
      </c>
      <c r="F107" s="16" t="n">
        <v>43727</v>
      </c>
      <c r="G107" s="16" t="n">
        <v>52387</v>
      </c>
      <c r="H107" s="16">
        <f>G107-F107</f>
        <v/>
      </c>
      <c r="I107" s="14">
        <f>IF(F107=0,0,G107/F107-1)</f>
        <v/>
      </c>
    </row>
    <row r="108">
      <c r="A108" s="8" t="inlineStr">
        <is>
          <t>1000.1100.1000.51500.040</t>
        </is>
      </c>
      <c r="B108" s="8" t="inlineStr">
        <is>
          <t>Stipends</t>
        </is>
      </c>
      <c r="C108" s="16" t="n">
        <v>0</v>
      </c>
      <c r="D108" s="16" t="n">
        <v>0</v>
      </c>
      <c r="E108" s="16" t="n">
        <v>0</v>
      </c>
      <c r="F108" s="16" t="n">
        <v>2400</v>
      </c>
      <c r="G108" s="16" t="n">
        <v>2400</v>
      </c>
      <c r="H108" s="16">
        <f>G108-F108</f>
        <v/>
      </c>
      <c r="I108" s="14">
        <f>IF(F108=0,0,G108/F108-1)</f>
        <v/>
      </c>
    </row>
    <row r="109">
      <c r="A109" s="8" t="inlineStr">
        <is>
          <t>1000.1100.1000.52000.040</t>
        </is>
      </c>
      <c r="B109" s="8" t="inlineStr">
        <is>
          <t>Stipend Benefits</t>
        </is>
      </c>
      <c r="C109" s="16" t="n">
        <v>0</v>
      </c>
      <c r="D109" s="16" t="n">
        <v>0</v>
      </c>
      <c r="E109" s="16" t="n">
        <v>0</v>
      </c>
      <c r="F109" s="16" t="n">
        <v>81</v>
      </c>
      <c r="G109" s="16" t="n">
        <v>81</v>
      </c>
      <c r="H109" s="16">
        <f>G109-F109</f>
        <v/>
      </c>
      <c r="I109" s="14">
        <f>IF(F109=0,0,G109/F109-1)</f>
        <v/>
      </c>
    </row>
    <row r="110">
      <c r="A110" s="8" t="inlineStr">
        <is>
          <t>1000.1100.1000.52010.040</t>
        </is>
      </c>
      <c r="B110" s="8" t="inlineStr">
        <is>
          <t>Teacher Benefits</t>
        </is>
      </c>
      <c r="C110" s="16" t="n">
        <v>312984.83</v>
      </c>
      <c r="D110" s="16" t="n">
        <v>341645.17</v>
      </c>
      <c r="E110" s="16" t="n">
        <v>344789.21</v>
      </c>
      <c r="F110" s="16" t="n">
        <v>443878</v>
      </c>
      <c r="G110" s="16" t="n">
        <v>440473</v>
      </c>
      <c r="H110" s="16">
        <f>G110-F110</f>
        <v/>
      </c>
      <c r="I110" s="14">
        <f>IF(F110=0,0,G110/F110-1)</f>
        <v/>
      </c>
    </row>
    <row r="111">
      <c r="A111" s="8" t="inlineStr">
        <is>
          <t>1000.1100.1000.52020.040</t>
        </is>
      </c>
      <c r="B111" s="8" t="inlineStr">
        <is>
          <t>Ed Tech Benefits</t>
        </is>
      </c>
      <c r="C111" s="16" t="n">
        <v>8359.799999999999</v>
      </c>
      <c r="D111" s="16" t="n">
        <v>11232.62</v>
      </c>
      <c r="E111" s="16" t="n">
        <v>2315.68</v>
      </c>
      <c r="F111" s="16" t="n">
        <v>6118</v>
      </c>
      <c r="G111" s="16" t="n">
        <v>0</v>
      </c>
      <c r="H111" s="16">
        <f>G111-F111</f>
        <v/>
      </c>
      <c r="I111" s="14">
        <f>IF(F111=0,0,G111/F111-1)</f>
        <v/>
      </c>
    </row>
    <row r="112">
      <c r="A112" s="8" t="inlineStr">
        <is>
          <t>1000.1100.1000.52030.040</t>
        </is>
      </c>
      <c r="B112" s="8" t="inlineStr">
        <is>
          <t>Substitute Benefits</t>
        </is>
      </c>
      <c r="C112" s="16" t="n">
        <v>2178.14</v>
      </c>
      <c r="D112" s="16" t="n">
        <v>2302.62</v>
      </c>
      <c r="E112" s="16" t="n">
        <v>5551.17</v>
      </c>
      <c r="F112" s="16" t="n">
        <v>1412</v>
      </c>
      <c r="G112" s="16" t="n">
        <v>4940</v>
      </c>
      <c r="H112" s="16">
        <f>G112-F112</f>
        <v/>
      </c>
      <c r="I112" s="14">
        <f>IF(F112=0,0,G112/F112-1)</f>
        <v/>
      </c>
    </row>
    <row r="113">
      <c r="A113" s="8" t="inlineStr">
        <is>
          <t>1000.1100.1000.52300.040</t>
        </is>
      </c>
      <c r="B113" s="8" t="inlineStr">
        <is>
          <t>Retirement - Stipends</t>
        </is>
      </c>
      <c r="C113" s="16" t="n">
        <v>0</v>
      </c>
      <c r="D113" s="16" t="n">
        <v>0</v>
      </c>
      <c r="E113" s="16" t="n">
        <v>0</v>
      </c>
      <c r="F113" s="16" t="n">
        <v>107</v>
      </c>
      <c r="G113" s="16" t="n">
        <v>107</v>
      </c>
      <c r="H113" s="16">
        <f>G113-F113</f>
        <v/>
      </c>
      <c r="I113" s="14">
        <f>IF(F113=0,0,G113/F113-1)</f>
        <v/>
      </c>
    </row>
    <row r="114">
      <c r="A114" s="8" t="inlineStr">
        <is>
          <t>1000.1100.1000.52310.040</t>
        </is>
      </c>
      <c r="B114" s="8" t="inlineStr">
        <is>
          <t>Retirement</t>
        </is>
      </c>
      <c r="C114" s="16" t="n">
        <v>58257.41</v>
      </c>
      <c r="D114" s="16" t="n">
        <v>62425.79</v>
      </c>
      <c r="E114" s="16" t="n">
        <v>71171.19</v>
      </c>
      <c r="F114" s="16" t="n">
        <v>79179</v>
      </c>
      <c r="G114" s="16" t="n">
        <v>74789</v>
      </c>
      <c r="H114" s="16">
        <f>G114-F114</f>
        <v/>
      </c>
      <c r="I114" s="14">
        <f>IF(F114=0,0,G114/F114-1)</f>
        <v/>
      </c>
    </row>
    <row r="115">
      <c r="A115" s="8" t="inlineStr">
        <is>
          <t>1000.1100.1000.52320.040</t>
        </is>
      </c>
      <c r="B115" s="8" t="inlineStr">
        <is>
          <t>Retirement</t>
        </is>
      </c>
      <c r="C115" s="16" t="n">
        <v>898.14</v>
      </c>
      <c r="D115" s="16" t="n">
        <v>2112.59</v>
      </c>
      <c r="E115" s="16" t="n">
        <v>1251.26</v>
      </c>
      <c r="F115" s="16" t="n">
        <v>1328</v>
      </c>
      <c r="G115" s="16" t="n">
        <v>0</v>
      </c>
      <c r="H115" s="16">
        <f>G115-F115</f>
        <v/>
      </c>
      <c r="I115" s="14">
        <f>IF(F115=0,0,G115/F115-1)</f>
        <v/>
      </c>
    </row>
    <row r="116">
      <c r="A116" s="8" t="inlineStr">
        <is>
          <t>1000.1100.1000.52330.040</t>
        </is>
      </c>
      <c r="B116" s="8" t="inlineStr">
        <is>
          <t>Retirement</t>
        </is>
      </c>
      <c r="C116" s="16" t="n">
        <v>320.97</v>
      </c>
      <c r="D116" s="16" t="n">
        <v>195.08</v>
      </c>
      <c r="E116" s="16" t="n">
        <v>383.81</v>
      </c>
      <c r="F116" s="16" t="n">
        <v>1955</v>
      </c>
      <c r="G116" s="16" t="n">
        <v>1173</v>
      </c>
      <c r="H116" s="16">
        <f>G116-F116</f>
        <v/>
      </c>
      <c r="I116" s="14">
        <f>IF(F116=0,0,G116/F116-1)</f>
        <v/>
      </c>
    </row>
    <row r="117">
      <c r="A117" s="8" t="inlineStr">
        <is>
          <t>1000.1100.1000.53400.040</t>
        </is>
      </c>
      <c r="B117" s="8" t="inlineStr">
        <is>
          <t>Purchased Professional</t>
        </is>
      </c>
      <c r="C117" s="16" t="n">
        <v>15932.2</v>
      </c>
      <c r="D117" s="16" t="n">
        <v>13963</v>
      </c>
      <c r="E117" s="16" t="n">
        <v>19026.89</v>
      </c>
      <c r="F117" s="16" t="n">
        <v>19078</v>
      </c>
      <c r="G117" s="16" t="n">
        <v>17395</v>
      </c>
      <c r="H117" s="16">
        <f>G117-F117</f>
        <v/>
      </c>
      <c r="I117" s="14">
        <f>IF(F117=0,0,G117/F117-1)</f>
        <v/>
      </c>
    </row>
    <row r="118">
      <c r="A118" s="8" t="inlineStr">
        <is>
          <t>1000.1100.1000.54300.040</t>
        </is>
      </c>
      <c r="B118" s="8" t="inlineStr">
        <is>
          <t>Copiers Repair/Maint</t>
        </is>
      </c>
      <c r="C118" s="16" t="n">
        <v>3870.12</v>
      </c>
      <c r="D118" s="16" t="n">
        <v>7952.46</v>
      </c>
      <c r="E118" s="16" t="n">
        <v>15332.62</v>
      </c>
      <c r="F118" s="16" t="n">
        <v>11800</v>
      </c>
      <c r="G118" s="16" t="n">
        <v>11800</v>
      </c>
      <c r="H118" s="16">
        <f>G118-F118</f>
        <v/>
      </c>
      <c r="I118" s="14">
        <f>IF(F118=0,0,G118/F118-1)</f>
        <v/>
      </c>
    </row>
    <row r="119">
      <c r="A119" s="8" t="inlineStr">
        <is>
          <t>1000.1100.1000.54330.040</t>
        </is>
      </c>
      <c r="B119" s="8" t="inlineStr">
        <is>
          <t>Software</t>
        </is>
      </c>
      <c r="C119" s="16" t="n">
        <v>4008.63</v>
      </c>
      <c r="D119" s="16" t="n">
        <v>5128.62</v>
      </c>
      <c r="E119" s="16" t="n">
        <v>5893</v>
      </c>
      <c r="F119" s="16" t="n">
        <v>6542.14</v>
      </c>
      <c r="G119" s="16" t="n">
        <v>6147</v>
      </c>
      <c r="H119" s="16">
        <f>G119-F119</f>
        <v/>
      </c>
      <c r="I119" s="14">
        <f>IF(F119=0,0,G119/F119-1)</f>
        <v/>
      </c>
    </row>
    <row r="120">
      <c r="A120" s="8" t="inlineStr">
        <is>
          <t>1000.1100.1000.55800.040</t>
        </is>
      </c>
      <c r="B120" s="8" t="inlineStr">
        <is>
          <t>Travel</t>
        </is>
      </c>
      <c r="C120" s="16" t="n">
        <v>558.66</v>
      </c>
      <c r="D120" s="16" t="n">
        <v>244.87</v>
      </c>
      <c r="E120" s="16" t="n">
        <v>707.23</v>
      </c>
      <c r="F120" s="16" t="n">
        <v>1810</v>
      </c>
      <c r="G120" s="16" t="n">
        <v>1810</v>
      </c>
      <c r="H120" s="16">
        <f>G120-F120</f>
        <v/>
      </c>
      <c r="I120" s="14">
        <f>IF(F120=0,0,G120/F120-1)</f>
        <v/>
      </c>
    </row>
    <row r="121">
      <c r="A121" s="8" t="inlineStr">
        <is>
          <t>1000.1100.1000.56100.040</t>
        </is>
      </c>
      <c r="B121" s="8" t="inlineStr">
        <is>
          <t>Instructional Supplies</t>
        </is>
      </c>
      <c r="C121" s="16" t="n">
        <v>36693.73</v>
      </c>
      <c r="D121" s="16" t="n">
        <v>37130.04</v>
      </c>
      <c r="E121" s="16" t="n">
        <v>40254.94</v>
      </c>
      <c r="F121" s="16" t="n">
        <v>40747.39</v>
      </c>
      <c r="G121" s="16" t="n">
        <v>41663</v>
      </c>
      <c r="H121" s="16">
        <f>G121-F121</f>
        <v/>
      </c>
      <c r="I121" s="14">
        <f>IF(F121=0,0,G121/F121-1)</f>
        <v/>
      </c>
    </row>
    <row r="122">
      <c r="A122" s="8" t="inlineStr">
        <is>
          <t>1000.1100.1000.56110.040</t>
        </is>
      </c>
      <c r="B122" s="8" t="inlineStr">
        <is>
          <t>Equipment &amp; Furniture</t>
        </is>
      </c>
      <c r="C122" s="16" t="n">
        <v>0</v>
      </c>
      <c r="D122" s="16" t="n">
        <v>0</v>
      </c>
      <c r="E122" s="16" t="n">
        <v>0</v>
      </c>
      <c r="F122" s="16" t="n">
        <v>6554</v>
      </c>
      <c r="G122" s="16" t="n">
        <v>3806</v>
      </c>
      <c r="H122" s="16">
        <f>G122-F122</f>
        <v/>
      </c>
      <c r="I122" s="14">
        <f>IF(F122=0,0,G122/F122-1)</f>
        <v/>
      </c>
    </row>
    <row r="123">
      <c r="A123" s="8" t="inlineStr">
        <is>
          <t>1000.1100.1000.56400.040</t>
        </is>
      </c>
      <c r="B123" s="8" t="inlineStr">
        <is>
          <t>Books</t>
        </is>
      </c>
      <c r="C123" s="16" t="n">
        <v>5868.48</v>
      </c>
      <c r="D123" s="16" t="n">
        <v>6274.45</v>
      </c>
      <c r="E123" s="16" t="n">
        <v>8806.059999999999</v>
      </c>
      <c r="F123" s="16" t="n">
        <v>8214.469999999999</v>
      </c>
      <c r="G123" s="16" t="n">
        <v>6000</v>
      </c>
      <c r="H123" s="16">
        <f>G123-F123</f>
        <v/>
      </c>
      <c r="I123" s="14">
        <f>IF(F123=0,0,G123/F123-1)</f>
        <v/>
      </c>
    </row>
    <row r="124">
      <c r="A124" s="8" t="inlineStr">
        <is>
          <t>1000.1100.1000.57300.040</t>
        </is>
      </c>
      <c r="B124" s="8" t="inlineStr">
        <is>
          <t>Equipment</t>
        </is>
      </c>
      <c r="C124" s="16" t="n">
        <v>7524.05</v>
      </c>
      <c r="D124" s="16" t="n">
        <v>4967.24</v>
      </c>
      <c r="E124" s="16" t="n">
        <v>15887.03</v>
      </c>
      <c r="F124" s="16" t="n">
        <v>0</v>
      </c>
      <c r="G124" s="16" t="n">
        <v>0</v>
      </c>
      <c r="H124" s="16">
        <f>G124-F124</f>
        <v/>
      </c>
      <c r="I124" s="14">
        <f>IF(F124=0,0,G124/F124-1)</f>
        <v/>
      </c>
    </row>
    <row r="125">
      <c r="A125" s="8" t="inlineStr">
        <is>
          <t>1000.1100.1000.58100.040</t>
        </is>
      </c>
      <c r="B125" s="8" t="inlineStr">
        <is>
          <t>Dues and Fees</t>
        </is>
      </c>
      <c r="C125" s="16" t="n">
        <v>0</v>
      </c>
      <c r="D125" s="16" t="n">
        <v>150</v>
      </c>
      <c r="E125" s="16" t="n">
        <v>0</v>
      </c>
      <c r="F125" s="16" t="n">
        <v>0</v>
      </c>
      <c r="G125" s="16" t="n">
        <v>0</v>
      </c>
      <c r="H125" s="16">
        <f>G125-F125</f>
        <v/>
      </c>
      <c r="I125" s="14">
        <f>IF(F125=0,0,G125/F125-1)</f>
        <v/>
      </c>
    </row>
    <row r="126">
      <c r="A126" s="9" t="n"/>
      <c r="B126" s="22" t="inlineStr">
        <is>
          <t>Program 1100 Total</t>
        </is>
      </c>
      <c r="C126" s="23">
        <f>SUM(C105:C125)</f>
        <v/>
      </c>
      <c r="D126" s="23">
        <f>SUM(D105:D125)</f>
        <v/>
      </c>
      <c r="E126" s="23">
        <f>SUM(E105:E125)</f>
        <v/>
      </c>
      <c r="F126" s="23">
        <f>SUM(F105:F125)</f>
        <v/>
      </c>
      <c r="G126" s="23">
        <f>SUM(G105:G125)</f>
        <v/>
      </c>
      <c r="H126" s="23">
        <f>SUM(H105:H125)</f>
        <v/>
      </c>
      <c r="I126" s="23">
        <f>SUM(I105:I125)</f>
        <v/>
      </c>
    </row>
    <row r="127">
      <c r="A127" s="9" t="n"/>
      <c r="B127" s="12" t="inlineStr">
        <is>
          <t>Cost Center ('040',) Total</t>
        </is>
      </c>
      <c r="C127" s="26">
        <f>C126</f>
        <v/>
      </c>
      <c r="D127" s="26">
        <f>D126</f>
        <v/>
      </c>
      <c r="E127" s="26">
        <f>E126</f>
        <v/>
      </c>
      <c r="F127" s="26">
        <f>F126</f>
        <v/>
      </c>
      <c r="G127" s="26">
        <f>G126</f>
        <v/>
      </c>
      <c r="H127" s="26">
        <f>H126</f>
        <v/>
      </c>
      <c r="I127" s="26">
        <f>I126</f>
        <v/>
      </c>
    </row>
    <row r="129">
      <c r="A129" s="3" t="inlineStr">
        <is>
          <t>Cost Center: ('050',)</t>
        </is>
      </c>
    </row>
    <row r="130">
      <c r="A130" s="8" t="inlineStr">
        <is>
          <t>1000.1100.1000.51010.050</t>
        </is>
      </c>
      <c r="B130" s="8" t="inlineStr">
        <is>
          <t>Teacher Salaries</t>
        </is>
      </c>
      <c r="C130" s="16" t="n">
        <v>1778436.68</v>
      </c>
      <c r="D130" s="16" t="n">
        <v>1878258.46</v>
      </c>
      <c r="E130" s="16" t="n">
        <v>1981698.26</v>
      </c>
      <c r="F130" s="16" t="n">
        <v>2154906</v>
      </c>
      <c r="G130" s="16" t="n">
        <v>2193163</v>
      </c>
      <c r="H130" s="16">
        <f>G130-F130</f>
        <v/>
      </c>
      <c r="I130" s="14">
        <f>IF(F130=0,0,G130/F130-1)</f>
        <v/>
      </c>
    </row>
    <row r="131">
      <c r="A131" s="8" t="inlineStr">
        <is>
          <t>1000.1100.1000.51020.050</t>
        </is>
      </c>
      <c r="B131" s="8" t="inlineStr">
        <is>
          <t>Ed Tech Salaries</t>
        </is>
      </c>
      <c r="C131" s="16" t="n">
        <v>93896.2</v>
      </c>
      <c r="D131" s="16" t="n">
        <v>97910.57000000001</v>
      </c>
      <c r="E131" s="16" t="n">
        <v>110106.05</v>
      </c>
      <c r="F131" s="16" t="n">
        <v>104576</v>
      </c>
      <c r="G131" s="16" t="n">
        <v>44491</v>
      </c>
      <c r="H131" s="16">
        <f>G131-F131</f>
        <v/>
      </c>
      <c r="I131" s="14">
        <f>IF(F131=0,0,G131/F131-1)</f>
        <v/>
      </c>
    </row>
    <row r="132">
      <c r="A132" s="8" t="inlineStr">
        <is>
          <t>1000.1100.1000.51230.050</t>
        </is>
      </c>
      <c r="B132" s="8" t="inlineStr">
        <is>
          <t>Substitute Wages</t>
        </is>
      </c>
      <c r="C132" s="16" t="n">
        <v>44853.8</v>
      </c>
      <c r="D132" s="16" t="n">
        <v>51024.28</v>
      </c>
      <c r="E132" s="16" t="n">
        <v>102489.31</v>
      </c>
      <c r="F132" s="16" t="n">
        <v>54596</v>
      </c>
      <c r="G132" s="16" t="n">
        <v>70751</v>
      </c>
      <c r="H132" s="16">
        <f>G132-F132</f>
        <v/>
      </c>
      <c r="I132" s="14">
        <f>IF(F132=0,0,G132/F132-1)</f>
        <v/>
      </c>
    </row>
    <row r="133">
      <c r="A133" s="8" t="inlineStr">
        <is>
          <t>1000.1100.1000.51500.050</t>
        </is>
      </c>
      <c r="B133" s="8" t="inlineStr">
        <is>
          <t>Stipends</t>
        </is>
      </c>
      <c r="C133" s="16" t="n">
        <v>0</v>
      </c>
      <c r="D133" s="16" t="n">
        <v>0</v>
      </c>
      <c r="E133" s="16" t="n">
        <v>1405.08</v>
      </c>
      <c r="F133" s="16" t="n">
        <v>5250</v>
      </c>
      <c r="G133" s="16" t="n">
        <v>5250</v>
      </c>
      <c r="H133" s="16">
        <f>G133-F133</f>
        <v/>
      </c>
      <c r="I133" s="14">
        <f>IF(F133=0,0,G133/F133-1)</f>
        <v/>
      </c>
    </row>
    <row r="134">
      <c r="A134" s="8" t="inlineStr">
        <is>
          <t>1000.1100.1000.52000.050</t>
        </is>
      </c>
      <c r="B134" s="8" t="inlineStr">
        <is>
          <t>Stipend Benefits</t>
        </is>
      </c>
      <c r="C134" s="16" t="n">
        <v>0</v>
      </c>
      <c r="D134" s="16" t="n">
        <v>0</v>
      </c>
      <c r="E134" s="16" t="n">
        <v>39.65</v>
      </c>
      <c r="F134" s="16" t="n">
        <v>176</v>
      </c>
      <c r="G134" s="16" t="n">
        <v>176</v>
      </c>
      <c r="H134" s="16">
        <f>G134-F134</f>
        <v/>
      </c>
      <c r="I134" s="14">
        <f>IF(F134=0,0,G134/F134-1)</f>
        <v/>
      </c>
    </row>
    <row r="135">
      <c r="A135" s="8" t="inlineStr">
        <is>
          <t>1000.1100.1000.52010.050</t>
        </is>
      </c>
      <c r="B135" s="8" t="inlineStr">
        <is>
          <t>Teacher Benefits</t>
        </is>
      </c>
      <c r="C135" s="16" t="n">
        <v>376462.4</v>
      </c>
      <c r="D135" s="16" t="n">
        <v>462548.17</v>
      </c>
      <c r="E135" s="16" t="n">
        <v>478973.05</v>
      </c>
      <c r="F135" s="16" t="n">
        <v>554470</v>
      </c>
      <c r="G135" s="16" t="n">
        <v>590738</v>
      </c>
      <c r="H135" s="16">
        <f>G135-F135</f>
        <v/>
      </c>
      <c r="I135" s="14">
        <f>IF(F135=0,0,G135/F135-1)</f>
        <v/>
      </c>
    </row>
    <row r="136">
      <c r="A136" s="8" t="inlineStr">
        <is>
          <t>1000.1100.1000.52020.050</t>
        </is>
      </c>
      <c r="B136" s="8" t="inlineStr">
        <is>
          <t>Ed Tech Benefits</t>
        </is>
      </c>
      <c r="C136" s="16" t="n">
        <v>21740.47</v>
      </c>
      <c r="D136" s="16" t="n">
        <v>21627.48</v>
      </c>
      <c r="E136" s="16" t="n">
        <v>14125.1</v>
      </c>
      <c r="F136" s="16" t="n">
        <v>14815</v>
      </c>
      <c r="G136" s="16" t="n">
        <v>15100</v>
      </c>
      <c r="H136" s="16">
        <f>G136-F136</f>
        <v/>
      </c>
      <c r="I136" s="14">
        <f>IF(F136=0,0,G136/F136-1)</f>
        <v/>
      </c>
    </row>
    <row r="137">
      <c r="A137" s="8" t="inlineStr">
        <is>
          <t>1000.1100.1000.52030.050</t>
        </is>
      </c>
      <c r="B137" s="8" t="inlineStr">
        <is>
          <t>Substitute Benefits</t>
        </is>
      </c>
      <c r="C137" s="16" t="n">
        <v>3926.91</v>
      </c>
      <c r="D137" s="16" t="n">
        <v>3200.48</v>
      </c>
      <c r="E137" s="16" t="n">
        <v>6025</v>
      </c>
      <c r="F137" s="16" t="n">
        <v>1763</v>
      </c>
      <c r="G137" s="16" t="n">
        <v>6672</v>
      </c>
      <c r="H137" s="16">
        <f>G137-F137</f>
        <v/>
      </c>
      <c r="I137" s="14">
        <f>IF(F137=0,0,G137/F137-1)</f>
        <v/>
      </c>
    </row>
    <row r="138">
      <c r="A138" s="8" t="inlineStr">
        <is>
          <t>1000.1100.1000.52300.050</t>
        </is>
      </c>
      <c r="B138" s="8" t="inlineStr">
        <is>
          <t>Retirement</t>
        </is>
      </c>
      <c r="C138" s="16" t="n">
        <v>0</v>
      </c>
      <c r="D138" s="16" t="n">
        <v>0</v>
      </c>
      <c r="E138" s="16" t="n">
        <v>62.79</v>
      </c>
      <c r="F138" s="16" t="n">
        <v>235</v>
      </c>
      <c r="G138" s="16" t="n">
        <v>235</v>
      </c>
      <c r="H138" s="16">
        <f>G138-F138</f>
        <v/>
      </c>
      <c r="I138" s="14">
        <f>IF(F138=0,0,G138/F138-1)</f>
        <v/>
      </c>
    </row>
    <row r="139">
      <c r="A139" s="8" t="inlineStr">
        <is>
          <t>1000.1100.1000.52310.050</t>
        </is>
      </c>
      <c r="B139" s="8" t="inlineStr">
        <is>
          <t>Retirement</t>
        </is>
      </c>
      <c r="C139" s="16" t="n">
        <v>67968.73</v>
      </c>
      <c r="D139" s="16" t="n">
        <v>84044.72</v>
      </c>
      <c r="E139" s="16" t="n">
        <v>88300.95</v>
      </c>
      <c r="F139" s="16" t="n">
        <v>96324</v>
      </c>
      <c r="G139" s="16" t="n">
        <v>96771</v>
      </c>
      <c r="H139" s="16">
        <f>G139-F139</f>
        <v/>
      </c>
      <c r="I139" s="14">
        <f>IF(F139=0,0,G139/F139-1)</f>
        <v/>
      </c>
    </row>
    <row r="140">
      <c r="A140" s="8" t="inlineStr">
        <is>
          <t>1000.1100.1000.52320.050</t>
        </is>
      </c>
      <c r="B140" s="8" t="inlineStr">
        <is>
          <t>Retirement</t>
        </is>
      </c>
      <c r="C140" s="16" t="n">
        <v>3380.49</v>
      </c>
      <c r="D140" s="16" t="n">
        <v>4063.71</v>
      </c>
      <c r="E140" s="16" t="n">
        <v>4478.51</v>
      </c>
      <c r="F140" s="16" t="n">
        <v>4685</v>
      </c>
      <c r="G140" s="16" t="n">
        <v>2149</v>
      </c>
      <c r="H140" s="16">
        <f>G140-F140</f>
        <v/>
      </c>
      <c r="I140" s="14">
        <f>IF(F140=0,0,G140/F140-1)</f>
        <v/>
      </c>
    </row>
    <row r="141">
      <c r="A141" s="8" t="inlineStr">
        <is>
          <t>1000.1100.1000.52330.050</t>
        </is>
      </c>
      <c r="B141" s="8" t="inlineStr">
        <is>
          <t>Retirement</t>
        </is>
      </c>
      <c r="C141" s="16" t="n">
        <v>448.26</v>
      </c>
      <c r="D141" s="16" t="n">
        <v>554.92</v>
      </c>
      <c r="E141" s="16" t="n">
        <v>578.27</v>
      </c>
      <c r="F141" s="16" t="n">
        <v>2440</v>
      </c>
      <c r="G141" s="16" t="n">
        <v>1585</v>
      </c>
      <c r="H141" s="16">
        <f>G141-F141</f>
        <v/>
      </c>
      <c r="I141" s="14">
        <f>IF(F141=0,0,G141/F141-1)</f>
        <v/>
      </c>
    </row>
    <row r="142">
      <c r="A142" s="8" t="inlineStr">
        <is>
          <t>1000.1100.1000.53400.050</t>
        </is>
      </c>
      <c r="B142" s="8" t="inlineStr">
        <is>
          <t>Purchased Professional</t>
        </is>
      </c>
      <c r="C142" s="16" t="n">
        <v>21664.8</v>
      </c>
      <c r="D142" s="16" t="n">
        <v>22955.17</v>
      </c>
      <c r="E142" s="16" t="n">
        <v>20666.14</v>
      </c>
      <c r="F142" s="16" t="n">
        <v>21688</v>
      </c>
      <c r="G142" s="16" t="n">
        <v>21188</v>
      </c>
      <c r="H142" s="16">
        <f>G142-F142</f>
        <v/>
      </c>
      <c r="I142" s="14">
        <f>IF(F142=0,0,G142/F142-1)</f>
        <v/>
      </c>
    </row>
    <row r="143">
      <c r="A143" s="8" t="inlineStr">
        <is>
          <t>1000.1100.1000.54300.050</t>
        </is>
      </c>
      <c r="B143" s="8" t="inlineStr">
        <is>
          <t>Copiers Repair/Maint</t>
        </is>
      </c>
      <c r="C143" s="16" t="n">
        <v>6566.37</v>
      </c>
      <c r="D143" s="16" t="n">
        <v>23102.72</v>
      </c>
      <c r="E143" s="16" t="n">
        <v>9473.860000000001</v>
      </c>
      <c r="F143" s="16" t="n">
        <v>16100</v>
      </c>
      <c r="G143" s="16" t="n">
        <v>16100</v>
      </c>
      <c r="H143" s="16">
        <f>G143-F143</f>
        <v/>
      </c>
      <c r="I143" s="14">
        <f>IF(F143=0,0,G143/F143-1)</f>
        <v/>
      </c>
    </row>
    <row r="144">
      <c r="A144" s="8" t="inlineStr">
        <is>
          <t>1000.1100.1000.54330.050</t>
        </is>
      </c>
      <c r="B144" s="8" t="inlineStr">
        <is>
          <t>Software</t>
        </is>
      </c>
      <c r="C144" s="16" t="n">
        <v>5705.67</v>
      </c>
      <c r="D144" s="16" t="n">
        <v>6136.92</v>
      </c>
      <c r="E144" s="16" t="n">
        <v>3760.67</v>
      </c>
      <c r="F144" s="16" t="n">
        <v>3820</v>
      </c>
      <c r="G144" s="16" t="n">
        <v>3620</v>
      </c>
      <c r="H144" s="16">
        <f>G144-F144</f>
        <v/>
      </c>
      <c r="I144" s="14">
        <f>IF(F144=0,0,G144/F144-1)</f>
        <v/>
      </c>
    </row>
    <row r="145">
      <c r="A145" s="8" t="inlineStr">
        <is>
          <t>1000.1100.1000.55800.050</t>
        </is>
      </c>
      <c r="B145" s="8" t="inlineStr">
        <is>
          <t>Travel</t>
        </is>
      </c>
      <c r="C145" s="16" t="n">
        <v>2364.82</v>
      </c>
      <c r="D145" s="16" t="n">
        <v>2364.03</v>
      </c>
      <c r="E145" s="16" t="n">
        <v>2248.25</v>
      </c>
      <c r="F145" s="16" t="n">
        <v>3500</v>
      </c>
      <c r="G145" s="16" t="n">
        <v>3500</v>
      </c>
      <c r="H145" s="16">
        <f>G145-F145</f>
        <v/>
      </c>
      <c r="I145" s="14">
        <f>IF(F145=0,0,G145/F145-1)</f>
        <v/>
      </c>
    </row>
    <row r="146">
      <c r="A146" s="8" t="inlineStr">
        <is>
          <t>1000.1100.1000.56100.050</t>
        </is>
      </c>
      <c r="B146" s="8" t="inlineStr">
        <is>
          <t>Instructional Supplies</t>
        </is>
      </c>
      <c r="C146" s="16" t="n">
        <v>43581.32</v>
      </c>
      <c r="D146" s="16" t="n">
        <v>43131.14</v>
      </c>
      <c r="E146" s="16" t="n">
        <v>36951.3</v>
      </c>
      <c r="F146" s="16" t="n">
        <v>43313</v>
      </c>
      <c r="G146" s="16" t="n">
        <v>66369</v>
      </c>
      <c r="H146" s="16">
        <f>G146-F146</f>
        <v/>
      </c>
      <c r="I146" s="14">
        <f>IF(F146=0,0,G146/F146-1)</f>
        <v/>
      </c>
    </row>
    <row r="147">
      <c r="A147" s="8" t="inlineStr">
        <is>
          <t>1000.1100.1000.56110.050</t>
        </is>
      </c>
      <c r="B147" s="8" t="inlineStr">
        <is>
          <t>Equipment &amp; Furniture</t>
        </is>
      </c>
      <c r="C147" s="16" t="n">
        <v>0</v>
      </c>
      <c r="D147" s="16" t="n">
        <v>0</v>
      </c>
      <c r="E147" s="16" t="n">
        <v>0</v>
      </c>
      <c r="F147" s="16" t="n">
        <v>22782</v>
      </c>
      <c r="G147" s="16" t="n">
        <v>21750</v>
      </c>
      <c r="H147" s="16">
        <f>G147-F147</f>
        <v/>
      </c>
      <c r="I147" s="14">
        <f>IF(F147=0,0,G147/F147-1)</f>
        <v/>
      </c>
    </row>
    <row r="148">
      <c r="A148" s="8" t="inlineStr">
        <is>
          <t>1000.1100.1000.56400.050</t>
        </is>
      </c>
      <c r="B148" s="8" t="inlineStr">
        <is>
          <t>Books</t>
        </is>
      </c>
      <c r="C148" s="16" t="n">
        <v>9537.620000000001</v>
      </c>
      <c r="D148" s="16" t="n">
        <v>11999.66</v>
      </c>
      <c r="E148" s="16" t="n">
        <v>11957</v>
      </c>
      <c r="F148" s="16" t="n">
        <v>13200</v>
      </c>
      <c r="G148" s="16" t="n">
        <v>13200</v>
      </c>
      <c r="H148" s="16">
        <f>G148-F148</f>
        <v/>
      </c>
      <c r="I148" s="14">
        <f>IF(F148=0,0,G148/F148-1)</f>
        <v/>
      </c>
    </row>
    <row r="149">
      <c r="A149" s="8" t="inlineStr">
        <is>
          <t>1000.1100.1000.57300.050</t>
        </is>
      </c>
      <c r="B149" s="8" t="inlineStr">
        <is>
          <t>Equipment</t>
        </is>
      </c>
      <c r="C149" s="16" t="n">
        <v>18474.45</v>
      </c>
      <c r="D149" s="16" t="n">
        <v>21454.06</v>
      </c>
      <c r="E149" s="16" t="n">
        <v>21058.36</v>
      </c>
      <c r="F149" s="16" t="n">
        <v>0</v>
      </c>
      <c r="G149" s="16" t="n">
        <v>0</v>
      </c>
      <c r="H149" s="16">
        <f>G149-F149</f>
        <v/>
      </c>
      <c r="I149" s="14">
        <f>IF(F149=0,0,G149/F149-1)</f>
        <v/>
      </c>
    </row>
    <row r="150">
      <c r="A150" s="8" t="inlineStr">
        <is>
          <t>1000.1100.1000.58100.050</t>
        </is>
      </c>
      <c r="B150" s="8" t="inlineStr">
        <is>
          <t>Dues &amp; Fees</t>
        </is>
      </c>
      <c r="C150" s="16" t="n">
        <v>1465.74</v>
      </c>
      <c r="D150" s="16" t="n">
        <v>2110.73</v>
      </c>
      <c r="E150" s="16" t="n">
        <v>1034.91</v>
      </c>
      <c r="F150" s="16" t="n">
        <v>2120</v>
      </c>
      <c r="G150" s="16" t="n">
        <v>2120</v>
      </c>
      <c r="H150" s="16">
        <f>G150-F150</f>
        <v/>
      </c>
      <c r="I150" s="14">
        <f>IF(F150=0,0,G150/F150-1)</f>
        <v/>
      </c>
    </row>
    <row r="151">
      <c r="A151" s="9" t="n"/>
      <c r="B151" s="22" t="inlineStr">
        <is>
          <t>Program 1100 Total</t>
        </is>
      </c>
      <c r="C151" s="23">
        <f>SUM(C130:C150)</f>
        <v/>
      </c>
      <c r="D151" s="23">
        <f>SUM(D130:D150)</f>
        <v/>
      </c>
      <c r="E151" s="23">
        <f>SUM(E130:E150)</f>
        <v/>
      </c>
      <c r="F151" s="23">
        <f>SUM(F130:F150)</f>
        <v/>
      </c>
      <c r="G151" s="23">
        <f>SUM(G130:G150)</f>
        <v/>
      </c>
      <c r="H151" s="23">
        <f>SUM(H130:H150)</f>
        <v/>
      </c>
      <c r="I151" s="23">
        <f>SUM(I130:I150)</f>
        <v/>
      </c>
    </row>
    <row r="152">
      <c r="A152" s="8" t="inlineStr">
        <is>
          <t>1000.4200.1000.53000.050</t>
        </is>
      </c>
      <c r="B152" s="8" t="inlineStr">
        <is>
          <t>JMG</t>
        </is>
      </c>
      <c r="C152" s="16" t="n">
        <v>25000</v>
      </c>
      <c r="D152" s="16" t="n">
        <v>27000</v>
      </c>
      <c r="E152" s="16" t="n">
        <v>27000</v>
      </c>
      <c r="F152" s="16" t="n">
        <v>27000</v>
      </c>
      <c r="G152" s="16" t="n">
        <v>27000</v>
      </c>
      <c r="H152" s="16">
        <f>G152-F152</f>
        <v/>
      </c>
      <c r="I152" s="14">
        <f>IF(F152=0,0,G152/F152-1)</f>
        <v/>
      </c>
    </row>
    <row r="153">
      <c r="A153" s="8" t="inlineStr">
        <is>
          <t>1000.4900.1000.51501.050</t>
        </is>
      </c>
      <c r="B153" s="8" t="inlineStr">
        <is>
          <t>GaTE Art Advisor Stipend -</t>
        </is>
      </c>
      <c r="C153" s="16" t="n">
        <v>636</v>
      </c>
      <c r="D153" s="16" t="n">
        <v>0</v>
      </c>
      <c r="E153" s="16" t="n">
        <v>0</v>
      </c>
      <c r="F153" s="16" t="n">
        <v>0</v>
      </c>
      <c r="G153" s="16" t="n">
        <v>0</v>
      </c>
      <c r="H153" s="16">
        <f>G153-F153</f>
        <v/>
      </c>
      <c r="I153" s="14">
        <f>IF(F153=0,0,G153/F153-1)</f>
        <v/>
      </c>
    </row>
    <row r="154">
      <c r="A154" s="8" t="inlineStr">
        <is>
          <t>1000.4900.1000.51502.050</t>
        </is>
      </c>
      <c r="B154" s="8" t="inlineStr">
        <is>
          <t>GaTE Music Advisor</t>
        </is>
      </c>
      <c r="C154" s="16" t="n">
        <v>423.99</v>
      </c>
      <c r="D154" s="16" t="n">
        <v>0</v>
      </c>
      <c r="E154" s="16" t="n">
        <v>0</v>
      </c>
      <c r="F154" s="16" t="n">
        <v>0</v>
      </c>
      <c r="G154" s="16" t="n">
        <v>0</v>
      </c>
      <c r="H154" s="16">
        <f>G154-F154</f>
        <v/>
      </c>
      <c r="I154" s="14">
        <f>IF(F154=0,0,G154/F154-1)</f>
        <v/>
      </c>
    </row>
    <row r="155">
      <c r="A155" s="8" t="inlineStr">
        <is>
          <t>1000.4900.1000.52001.050</t>
        </is>
      </c>
      <c r="B155" s="8" t="inlineStr">
        <is>
          <t>GaTE Art Stipend Benefits -</t>
        </is>
      </c>
      <c r="C155" s="16" t="n">
        <v>162.17</v>
      </c>
      <c r="D155" s="16" t="n">
        <v>0</v>
      </c>
      <c r="E155" s="16" t="n">
        <v>0</v>
      </c>
      <c r="F155" s="16" t="n">
        <v>0</v>
      </c>
      <c r="G155" s="16" t="n">
        <v>0</v>
      </c>
      <c r="H155" s="16">
        <f>G155-F155</f>
        <v/>
      </c>
      <c r="I155" s="14">
        <f>IF(F155=0,0,G155/F155-1)</f>
        <v/>
      </c>
    </row>
    <row r="156">
      <c r="A156" s="8" t="inlineStr">
        <is>
          <t>1000.4900.1000.52002.050</t>
        </is>
      </c>
      <c r="B156" s="8" t="inlineStr">
        <is>
          <t>GaTE Music Advisor</t>
        </is>
      </c>
      <c r="C156" s="16" t="n">
        <v>123.86</v>
      </c>
      <c r="D156" s="16" t="n">
        <v>0</v>
      </c>
      <c r="E156" s="16" t="n">
        <v>0</v>
      </c>
      <c r="F156" s="16" t="n">
        <v>0</v>
      </c>
      <c r="G156" s="16" t="n">
        <v>0</v>
      </c>
      <c r="H156" s="16">
        <f>G156-F156</f>
        <v/>
      </c>
      <c r="I156" s="14">
        <f>IF(F156=0,0,G156/F156-1)</f>
        <v/>
      </c>
    </row>
    <row r="157">
      <c r="A157" s="8" t="inlineStr">
        <is>
          <t>1000.4900.1000.52301.050</t>
        </is>
      </c>
      <c r="B157" s="8" t="inlineStr">
        <is>
          <t>GaTE Art Stipend</t>
        </is>
      </c>
      <c r="C157" s="16" t="n">
        <v>24.43</v>
      </c>
      <c r="D157" s="16" t="n">
        <v>0</v>
      </c>
      <c r="E157" s="16" t="n">
        <v>0</v>
      </c>
      <c r="F157" s="16" t="n">
        <v>0</v>
      </c>
      <c r="G157" s="16" t="n">
        <v>0</v>
      </c>
      <c r="H157" s="16">
        <f>G157-F157</f>
        <v/>
      </c>
      <c r="I157" s="14">
        <f>IF(F157=0,0,G157/F157-1)</f>
        <v/>
      </c>
    </row>
    <row r="158">
      <c r="A158" s="8" t="inlineStr">
        <is>
          <t>1000.4900.1000.52302.050</t>
        </is>
      </c>
      <c r="B158" s="8" t="inlineStr">
        <is>
          <t>GaTE Music Advisor</t>
        </is>
      </c>
      <c r="C158" s="16" t="n">
        <v>16.24</v>
      </c>
      <c r="D158" s="16" t="n">
        <v>0</v>
      </c>
      <c r="E158" s="16" t="n">
        <v>0</v>
      </c>
      <c r="F158" s="16" t="n">
        <v>0</v>
      </c>
      <c r="G158" s="16" t="n">
        <v>0</v>
      </c>
      <c r="H158" s="16">
        <f>G158-F158</f>
        <v/>
      </c>
      <c r="I158" s="14">
        <f>IF(F158=0,0,G158/F158-1)</f>
        <v/>
      </c>
    </row>
    <row r="159">
      <c r="A159" s="9" t="n"/>
      <c r="B159" s="22" t="inlineStr">
        <is>
          <t>Program 4900 Total</t>
        </is>
      </c>
      <c r="C159" s="23">
        <f>SUM(C153:C158)</f>
        <v/>
      </c>
      <c r="D159" s="23">
        <f>SUM(D153:D158)</f>
        <v/>
      </c>
      <c r="E159" s="23">
        <f>SUM(E153:E158)</f>
        <v/>
      </c>
      <c r="F159" s="23">
        <f>SUM(F153:F158)</f>
        <v/>
      </c>
      <c r="G159" s="23">
        <f>SUM(G153:G158)</f>
        <v/>
      </c>
      <c r="H159" s="23">
        <f>SUM(H153:H158)</f>
        <v/>
      </c>
      <c r="I159" s="23">
        <f>SUM(I153:I158)</f>
        <v/>
      </c>
    </row>
    <row r="160">
      <c r="A160" s="9" t="n"/>
      <c r="B160" s="24" t="inlineStr">
        <is>
          <t>Function 1000 Total</t>
        </is>
      </c>
      <c r="C160" s="25">
        <f>C151+C159</f>
        <v/>
      </c>
      <c r="D160" s="25">
        <f>D151+D159</f>
        <v/>
      </c>
      <c r="E160" s="25">
        <f>E151+E159</f>
        <v/>
      </c>
      <c r="F160" s="25">
        <f>F151+F159</f>
        <v/>
      </c>
      <c r="G160" s="25">
        <f>G151+G159</f>
        <v/>
      </c>
      <c r="H160" s="25">
        <f>H151+H159</f>
        <v/>
      </c>
      <c r="I160" s="25">
        <f>I151+I159</f>
        <v/>
      </c>
    </row>
    <row r="161">
      <c r="A161" s="9" t="n"/>
      <c r="B161" s="12" t="inlineStr">
        <is>
          <t>Cost Center ('050',) Total</t>
        </is>
      </c>
      <c r="C161" s="26">
        <f>C160</f>
        <v/>
      </c>
      <c r="D161" s="26">
        <f>D160</f>
        <v/>
      </c>
      <c r="E161" s="26">
        <f>E160</f>
        <v/>
      </c>
      <c r="F161" s="26">
        <f>F160</f>
        <v/>
      </c>
      <c r="G161" s="26">
        <f>G160</f>
        <v/>
      </c>
      <c r="H161" s="26">
        <f>H160</f>
        <v/>
      </c>
      <c r="I161" s="26">
        <f>I160</f>
        <v/>
      </c>
    </row>
    <row r="163">
      <c r="A163" s="3" t="inlineStr">
        <is>
          <t>Cost Center: ('300',)</t>
        </is>
      </c>
    </row>
    <row r="164">
      <c r="A164" s="8" t="inlineStr">
        <is>
          <t>1000.1200.1000.51010.300</t>
        </is>
      </c>
      <c r="B164" s="8" t="inlineStr">
        <is>
          <t>Teacher Salaries</t>
        </is>
      </c>
      <c r="C164" s="16" t="n">
        <v>2977757.08</v>
      </c>
      <c r="D164" s="16" t="n">
        <v>3190467.1</v>
      </c>
      <c r="E164" s="16" t="n">
        <v>3490644.57</v>
      </c>
      <c r="F164" s="16" t="n">
        <v>3672467</v>
      </c>
      <c r="G164" s="16" t="n">
        <v>3775742</v>
      </c>
      <c r="H164" s="16">
        <f>G164-F164</f>
        <v/>
      </c>
      <c r="I164" s="14">
        <f>IF(F164=0,0,G164/F164-1)</f>
        <v/>
      </c>
    </row>
    <row r="165">
      <c r="A165" s="8" t="inlineStr">
        <is>
          <t>1000.1200.1000.51020.300</t>
        </is>
      </c>
      <c r="B165" s="8" t="inlineStr">
        <is>
          <t>Ed Tech Salaries</t>
        </is>
      </c>
      <c r="C165" s="16" t="n">
        <v>111030.66</v>
      </c>
      <c r="D165" s="16" t="n">
        <v>87617.84</v>
      </c>
      <c r="E165" s="16" t="n">
        <v>81822.35000000001</v>
      </c>
      <c r="F165" s="16" t="n">
        <v>8576</v>
      </c>
      <c r="G165" s="16" t="n">
        <v>59232</v>
      </c>
      <c r="H165" s="16">
        <f>G165-F165</f>
        <v/>
      </c>
      <c r="I165" s="14">
        <f>IF(F165=0,0,G165/F165-1)</f>
        <v/>
      </c>
    </row>
    <row r="166">
      <c r="A166" s="8" t="inlineStr">
        <is>
          <t>1000.1200.1000.51230.300</t>
        </is>
      </c>
      <c r="B166" s="8" t="inlineStr">
        <is>
          <t>Substitute Wages</t>
        </is>
      </c>
      <c r="C166" s="16" t="n">
        <v>61140.04</v>
      </c>
      <c r="D166" s="16" t="n">
        <v>109556.29</v>
      </c>
      <c r="E166" s="16" t="n">
        <v>129694.6</v>
      </c>
      <c r="F166" s="16" t="n">
        <v>117225</v>
      </c>
      <c r="G166" s="16" t="n">
        <v>111146</v>
      </c>
      <c r="H166" s="16">
        <f>G166-F166</f>
        <v/>
      </c>
      <c r="I166" s="14">
        <f>IF(F166=0,0,G166/F166-1)</f>
        <v/>
      </c>
    </row>
    <row r="167">
      <c r="A167" s="8" t="inlineStr">
        <is>
          <t>1000.1200.1000.51500.300</t>
        </is>
      </c>
      <c r="B167" s="8" t="inlineStr">
        <is>
          <t>Stipends</t>
        </is>
      </c>
      <c r="C167" s="16" t="n">
        <v>674.0599999999999</v>
      </c>
      <c r="D167" s="16" t="n">
        <v>2760</v>
      </c>
      <c r="E167" s="16" t="n">
        <v>2263.7</v>
      </c>
      <c r="F167" s="16" t="n">
        <v>19546</v>
      </c>
      <c r="G167" s="16" t="n">
        <v>22808</v>
      </c>
      <c r="H167" s="16">
        <f>G167-F167</f>
        <v/>
      </c>
      <c r="I167" s="14">
        <f>IF(F167=0,0,G167/F167-1)</f>
        <v/>
      </c>
    </row>
    <row r="168">
      <c r="A168" s="8" t="inlineStr">
        <is>
          <t>1000.1200.1000.52000.300</t>
        </is>
      </c>
      <c r="B168" s="8" t="inlineStr">
        <is>
          <t>Stipend Benefits</t>
        </is>
      </c>
      <c r="C168" s="16" t="n">
        <v>24.08</v>
      </c>
      <c r="D168" s="16" t="n">
        <v>48.62</v>
      </c>
      <c r="E168" s="16" t="n">
        <v>55.13</v>
      </c>
      <c r="F168" s="16" t="n">
        <v>657</v>
      </c>
      <c r="G168" s="16" t="n">
        <v>766</v>
      </c>
      <c r="H168" s="16">
        <f>G168-F168</f>
        <v/>
      </c>
      <c r="I168" s="14">
        <f>IF(F168=0,0,G168/F168-1)</f>
        <v/>
      </c>
    </row>
    <row r="169">
      <c r="A169" s="8" t="inlineStr">
        <is>
          <t>1000.1200.1000.52010.300</t>
        </is>
      </c>
      <c r="B169" s="8" t="inlineStr">
        <is>
          <t>Teacher Benefits</t>
        </is>
      </c>
      <c r="C169" s="16" t="n">
        <v>641733.25</v>
      </c>
      <c r="D169" s="16" t="n">
        <v>715203.16</v>
      </c>
      <c r="E169" s="16" t="n">
        <v>777671.45</v>
      </c>
      <c r="F169" s="16" t="n">
        <v>848424</v>
      </c>
      <c r="G169" s="16" t="n">
        <v>897541</v>
      </c>
      <c r="H169" s="16">
        <f>G169-F169</f>
        <v/>
      </c>
      <c r="I169" s="14">
        <f>IF(F169=0,0,G169/F169-1)</f>
        <v/>
      </c>
    </row>
    <row r="170">
      <c r="A170" s="8" t="inlineStr">
        <is>
          <t>1000.1200.1000.52020.300</t>
        </is>
      </c>
      <c r="B170" s="8" t="inlineStr">
        <is>
          <t>Ed Tech Benefits</t>
        </is>
      </c>
      <c r="C170" s="16" t="n">
        <v>24641.34</v>
      </c>
      <c r="D170" s="16" t="n">
        <v>9327.85</v>
      </c>
      <c r="E170" s="16" t="n">
        <v>12301.11</v>
      </c>
      <c r="F170" s="16" t="n">
        <v>4657</v>
      </c>
      <c r="G170" s="16" t="n">
        <v>23222</v>
      </c>
      <c r="H170" s="16">
        <f>G170-F170</f>
        <v/>
      </c>
      <c r="I170" s="14">
        <f>IF(F170=0,0,G170/F170-1)</f>
        <v/>
      </c>
    </row>
    <row r="171">
      <c r="A171" s="8" t="inlineStr">
        <is>
          <t>1000.1200.1000.52030.300</t>
        </is>
      </c>
      <c r="B171" s="8" t="inlineStr">
        <is>
          <t>Substitute Benefits</t>
        </is>
      </c>
      <c r="C171" s="16" t="n">
        <v>3695.22</v>
      </c>
      <c r="D171" s="16" t="n">
        <v>7540.44</v>
      </c>
      <c r="E171" s="16" t="n">
        <v>8644.620000000001</v>
      </c>
      <c r="F171" s="16" t="n">
        <v>3786</v>
      </c>
      <c r="G171" s="16" t="n">
        <v>10481</v>
      </c>
      <c r="H171" s="16">
        <f>G171-F171</f>
        <v/>
      </c>
      <c r="I171" s="14">
        <f>IF(F171=0,0,G171/F171-1)</f>
        <v/>
      </c>
    </row>
    <row r="172">
      <c r="A172" s="8" t="inlineStr">
        <is>
          <t>1000.1200.1000.52300.300</t>
        </is>
      </c>
      <c r="B172" s="8" t="inlineStr">
        <is>
          <t>Retirement</t>
        </is>
      </c>
      <c r="C172" s="16" t="n">
        <v>25.88</v>
      </c>
      <c r="D172" s="16" t="n">
        <v>120.44</v>
      </c>
      <c r="E172" s="16" t="n">
        <v>101.17</v>
      </c>
      <c r="F172" s="16" t="n">
        <v>874</v>
      </c>
      <c r="G172" s="16" t="n">
        <v>1020</v>
      </c>
      <c r="H172" s="16">
        <f>G172-F172</f>
        <v/>
      </c>
      <c r="I172" s="14">
        <f>IF(F172=0,0,G172/F172-1)</f>
        <v/>
      </c>
    </row>
    <row r="173">
      <c r="A173" s="8" t="inlineStr">
        <is>
          <t>1000.1200.1000.52310.300</t>
        </is>
      </c>
      <c r="B173" s="8" t="inlineStr">
        <is>
          <t>Retirement</t>
        </is>
      </c>
      <c r="C173" s="16" t="n">
        <v>113708.87</v>
      </c>
      <c r="D173" s="16" t="n">
        <v>141591.43</v>
      </c>
      <c r="E173" s="16" t="n">
        <v>153662.68</v>
      </c>
      <c r="F173" s="16" t="n">
        <v>164159</v>
      </c>
      <c r="G173" s="16" t="n">
        <v>168776</v>
      </c>
      <c r="H173" s="16">
        <f>G173-F173</f>
        <v/>
      </c>
      <c r="I173" s="14">
        <f>IF(F173=0,0,G173/F173-1)</f>
        <v/>
      </c>
    </row>
    <row r="174">
      <c r="A174" s="8" t="inlineStr">
        <is>
          <t>1000.1200.1000.52320.300</t>
        </is>
      </c>
      <c r="B174" s="8" t="inlineStr">
        <is>
          <t>Retirement</t>
        </is>
      </c>
      <c r="C174" s="16" t="n">
        <v>4270.58</v>
      </c>
      <c r="D174" s="16" t="n">
        <v>3636.56</v>
      </c>
      <c r="E174" s="16" t="n">
        <v>3401.23</v>
      </c>
      <c r="F174" s="16" t="n">
        <v>773</v>
      </c>
      <c r="G174" s="16" t="n">
        <v>2859</v>
      </c>
      <c r="H174" s="16">
        <f>G174-F174</f>
        <v/>
      </c>
      <c r="I174" s="14">
        <f>IF(F174=0,0,G174/F174-1)</f>
        <v/>
      </c>
    </row>
    <row r="175">
      <c r="A175" s="8" t="inlineStr">
        <is>
          <t>1000.1200.1000.52330.300</t>
        </is>
      </c>
      <c r="B175" s="8" t="inlineStr">
        <is>
          <t>Retirement</t>
        </is>
      </c>
      <c r="C175" s="16" t="n">
        <v>656.4</v>
      </c>
      <c r="D175" s="16" t="n">
        <v>823.9400000000001</v>
      </c>
      <c r="E175" s="16" t="n">
        <v>1087.05</v>
      </c>
      <c r="F175" s="16" t="n">
        <v>5240</v>
      </c>
      <c r="G175" s="16" t="n">
        <v>2490</v>
      </c>
      <c r="H175" s="16">
        <f>G175-F175</f>
        <v/>
      </c>
      <c r="I175" s="14">
        <f>IF(F175=0,0,G175/F175-1)</f>
        <v/>
      </c>
    </row>
    <row r="176">
      <c r="A176" s="8" t="inlineStr">
        <is>
          <t>1000.1200.1000.53000.300</t>
        </is>
      </c>
      <c r="B176" s="8" t="inlineStr">
        <is>
          <t>School Resource Officer</t>
        </is>
      </c>
      <c r="C176" s="16" t="n">
        <v>34000</v>
      </c>
      <c r="D176" s="16" t="n">
        <v>35412.5</v>
      </c>
      <c r="E176" s="16" t="n">
        <v>36237.24</v>
      </c>
      <c r="F176" s="16" t="n">
        <v>39000</v>
      </c>
      <c r="G176" s="16" t="n">
        <v>41500</v>
      </c>
      <c r="H176" s="16">
        <f>G176-F176</f>
        <v/>
      </c>
      <c r="I176" s="14">
        <f>IF(F176=0,0,G176/F176-1)</f>
        <v/>
      </c>
    </row>
    <row r="177">
      <c r="A177" s="8" t="inlineStr">
        <is>
          <t>1000.1200.1000.53400.300</t>
        </is>
      </c>
      <c r="B177" s="8" t="inlineStr">
        <is>
          <t>Purchased Professional</t>
        </is>
      </c>
      <c r="C177" s="16" t="n">
        <v>44601.39</v>
      </c>
      <c r="D177" s="16" t="n">
        <v>24008.83</v>
      </c>
      <c r="E177" s="16" t="n">
        <v>44909.02</v>
      </c>
      <c r="F177" s="16" t="n">
        <v>49497</v>
      </c>
      <c r="G177" s="16" t="n">
        <v>39536</v>
      </c>
      <c r="H177" s="16">
        <f>G177-F177</f>
        <v/>
      </c>
      <c r="I177" s="14">
        <f>IF(F177=0,0,G177/F177-1)</f>
        <v/>
      </c>
    </row>
    <row r="178">
      <c r="A178" s="8" t="inlineStr">
        <is>
          <t>1000.1200.1000.54300.300</t>
        </is>
      </c>
      <c r="B178" s="8" t="inlineStr">
        <is>
          <t>Copier Repair/Maint</t>
        </is>
      </c>
      <c r="C178" s="16" t="n">
        <v>40597.85</v>
      </c>
      <c r="D178" s="16" t="n">
        <v>42092.73</v>
      </c>
      <c r="E178" s="16" t="n">
        <v>42596.95</v>
      </c>
      <c r="F178" s="16" t="n">
        <v>40000</v>
      </c>
      <c r="G178" s="16" t="n">
        <v>40000</v>
      </c>
      <c r="H178" s="16">
        <f>G178-F178</f>
        <v/>
      </c>
      <c r="I178" s="14">
        <f>IF(F178=0,0,G178/F178-1)</f>
        <v/>
      </c>
    </row>
    <row r="179">
      <c r="A179" s="8" t="inlineStr">
        <is>
          <t>1000.1200.1000.54330.300</t>
        </is>
      </c>
      <c r="B179" s="8" t="inlineStr">
        <is>
          <t>Software</t>
        </is>
      </c>
      <c r="C179" s="16" t="n">
        <v>0</v>
      </c>
      <c r="D179" s="16" t="n">
        <v>1167.56</v>
      </c>
      <c r="E179" s="16" t="n">
        <v>0</v>
      </c>
      <c r="F179" s="16" t="n">
        <v>200</v>
      </c>
      <c r="G179" s="16" t="n">
        <v>200</v>
      </c>
      <c r="H179" s="16">
        <f>G179-F179</f>
        <v/>
      </c>
      <c r="I179" s="14">
        <f>IF(F179=0,0,G179/F179-1)</f>
        <v/>
      </c>
    </row>
    <row r="180">
      <c r="A180" s="8" t="inlineStr">
        <is>
          <t>1000.1200.1000.55800.300</t>
        </is>
      </c>
      <c r="B180" s="8" t="inlineStr">
        <is>
          <t>Travel</t>
        </is>
      </c>
      <c r="C180" s="16" t="n">
        <v>1398.9</v>
      </c>
      <c r="D180" s="16" t="n">
        <v>268.08</v>
      </c>
      <c r="E180" s="16" t="n">
        <v>877.09</v>
      </c>
      <c r="F180" s="16" t="n">
        <v>1500</v>
      </c>
      <c r="G180" s="16" t="n">
        <v>1500</v>
      </c>
      <c r="H180" s="16">
        <f>G180-F180</f>
        <v/>
      </c>
      <c r="I180" s="14">
        <f>IF(F180=0,0,G180/F180-1)</f>
        <v/>
      </c>
    </row>
    <row r="181">
      <c r="A181" s="8" t="inlineStr">
        <is>
          <t>1000.1200.1000.56100.300</t>
        </is>
      </c>
      <c r="B181" s="8" t="inlineStr">
        <is>
          <t>Instructional Supplies High</t>
        </is>
      </c>
      <c r="C181" s="16" t="n">
        <v>55902.35</v>
      </c>
      <c r="D181" s="16" t="n">
        <v>56736.15</v>
      </c>
      <c r="E181" s="16" t="n">
        <v>50631.22</v>
      </c>
      <c r="F181" s="16" t="n">
        <v>54490</v>
      </c>
      <c r="G181" s="16" t="n">
        <v>57499</v>
      </c>
      <c r="H181" s="16">
        <f>G181-F181</f>
        <v/>
      </c>
      <c r="I181" s="14">
        <f>IF(F181=0,0,G181/F181-1)</f>
        <v/>
      </c>
    </row>
    <row r="182">
      <c r="A182" s="8" t="inlineStr">
        <is>
          <t>1000.1200.1000.56110.300</t>
        </is>
      </c>
      <c r="B182" s="8" t="inlineStr">
        <is>
          <t>Equipment &amp; Furniture</t>
        </is>
      </c>
      <c r="C182" s="16" t="n">
        <v>0</v>
      </c>
      <c r="D182" s="16" t="n">
        <v>0</v>
      </c>
      <c r="E182" s="16" t="n">
        <v>0</v>
      </c>
      <c r="F182" s="16" t="n">
        <v>4769</v>
      </c>
      <c r="G182" s="16" t="n">
        <v>12373</v>
      </c>
      <c r="H182" s="16">
        <f>G182-F182</f>
        <v/>
      </c>
      <c r="I182" s="14">
        <f>IF(F182=0,0,G182/F182-1)</f>
        <v/>
      </c>
    </row>
    <row r="183">
      <c r="A183" s="8" t="inlineStr">
        <is>
          <t>1000.1200.1000.56400.300</t>
        </is>
      </c>
      <c r="B183" s="8" t="inlineStr">
        <is>
          <t>Books High School</t>
        </is>
      </c>
      <c r="C183" s="16" t="n">
        <v>8330.58</v>
      </c>
      <c r="D183" s="16" t="n">
        <v>5615.94</v>
      </c>
      <c r="E183" s="16" t="n">
        <v>8820.129999999999</v>
      </c>
      <c r="F183" s="16" t="n">
        <v>21780</v>
      </c>
      <c r="G183" s="16" t="n">
        <v>12665</v>
      </c>
      <c r="H183" s="16">
        <f>G183-F183</f>
        <v/>
      </c>
      <c r="I183" s="14">
        <f>IF(F183=0,0,G183/F183-1)</f>
        <v/>
      </c>
    </row>
    <row r="184">
      <c r="A184" s="8" t="inlineStr">
        <is>
          <t>1000.1200.1000.57300.300</t>
        </is>
      </c>
      <c r="B184" s="8" t="inlineStr">
        <is>
          <t>Equipment High School</t>
        </is>
      </c>
      <c r="C184" s="16" t="n">
        <v>17646.45</v>
      </c>
      <c r="D184" s="16" t="n">
        <v>15215.8</v>
      </c>
      <c r="E184" s="16" t="n">
        <v>5200.52</v>
      </c>
      <c r="F184" s="16" t="n">
        <v>0</v>
      </c>
      <c r="G184" s="16" t="n">
        <v>0</v>
      </c>
      <c r="H184" s="16">
        <f>G184-F184</f>
        <v/>
      </c>
      <c r="I184" s="14">
        <f>IF(F184=0,0,G184/F184-1)</f>
        <v/>
      </c>
    </row>
    <row r="185">
      <c r="A185" s="8" t="inlineStr">
        <is>
          <t>1000.1200.1000.58100.300</t>
        </is>
      </c>
      <c r="B185" s="8" t="inlineStr">
        <is>
          <t>Dues and Fees</t>
        </is>
      </c>
      <c r="C185" s="16" t="n">
        <v>215</v>
      </c>
      <c r="D185" s="16" t="n">
        <v>275</v>
      </c>
      <c r="E185" s="16" t="n">
        <v>653.76</v>
      </c>
      <c r="F185" s="16" t="n">
        <v>1264</v>
      </c>
      <c r="G185" s="16" t="n">
        <v>1784</v>
      </c>
      <c r="H185" s="16">
        <f>G185-F185</f>
        <v/>
      </c>
      <c r="I185" s="14">
        <f>IF(F185=0,0,G185/F185-1)</f>
        <v/>
      </c>
    </row>
    <row r="186">
      <c r="A186" s="9" t="n"/>
      <c r="B186" s="22" t="inlineStr">
        <is>
          <t>Program 1200 Total</t>
        </is>
      </c>
      <c r="C186" s="23">
        <f>SUM(C164:C185)</f>
        <v/>
      </c>
      <c r="D186" s="23">
        <f>SUM(D164:D185)</f>
        <v/>
      </c>
      <c r="E186" s="23">
        <f>SUM(E164:E185)</f>
        <v/>
      </c>
      <c r="F186" s="23">
        <f>SUM(F164:F185)</f>
        <v/>
      </c>
      <c r="G186" s="23">
        <f>SUM(G164:G185)</f>
        <v/>
      </c>
      <c r="H186" s="23">
        <f>SUM(H164:H185)</f>
        <v/>
      </c>
      <c r="I186" s="23">
        <f>SUM(I164:I185)</f>
        <v/>
      </c>
    </row>
    <row r="187">
      <c r="A187" s="8" t="inlineStr">
        <is>
          <t>1000.4200.1000.53000.300</t>
        </is>
      </c>
      <c r="B187" s="8" t="inlineStr">
        <is>
          <t>JMG</t>
        </is>
      </c>
      <c r="C187" s="16" t="n">
        <v>25000</v>
      </c>
      <c r="D187" s="16" t="n">
        <v>27000</v>
      </c>
      <c r="E187" s="16" t="n">
        <v>27000</v>
      </c>
      <c r="F187" s="16" t="n">
        <v>27000</v>
      </c>
      <c r="G187" s="16" t="n">
        <v>27000</v>
      </c>
      <c r="H187" s="16">
        <f>G187-F187</f>
        <v/>
      </c>
      <c r="I187" s="14">
        <f>IF(F187=0,0,G187/F187-1)</f>
        <v/>
      </c>
    </row>
    <row r="188">
      <c r="A188" s="9" t="n"/>
      <c r="B188" s="24" t="inlineStr">
        <is>
          <t>Function 1000 Total</t>
        </is>
      </c>
      <c r="C188" s="25">
        <f>C186</f>
        <v/>
      </c>
      <c r="D188" s="25">
        <f>D186</f>
        <v/>
      </c>
      <c r="E188" s="25">
        <f>E186</f>
        <v/>
      </c>
      <c r="F188" s="25">
        <f>F186</f>
        <v/>
      </c>
      <c r="G188" s="25">
        <f>G186</f>
        <v/>
      </c>
      <c r="H188" s="25">
        <f>H186</f>
        <v/>
      </c>
      <c r="I188" s="25">
        <f>I186</f>
        <v/>
      </c>
    </row>
    <row r="189">
      <c r="A189" s="9" t="n"/>
      <c r="B189" s="12" t="inlineStr">
        <is>
          <t>Cost Center ('300',) Total</t>
        </is>
      </c>
      <c r="C189" s="26">
        <f>C188</f>
        <v/>
      </c>
      <c r="D189" s="26">
        <f>D188</f>
        <v/>
      </c>
      <c r="E189" s="26">
        <f>E188</f>
        <v/>
      </c>
      <c r="F189" s="26">
        <f>F188</f>
        <v/>
      </c>
      <c r="G189" s="26">
        <f>G188</f>
        <v/>
      </c>
      <c r="H189" s="26">
        <f>H188</f>
        <v/>
      </c>
      <c r="I189" s="26">
        <f>I188</f>
        <v/>
      </c>
    </row>
    <row r="191">
      <c r="A191" s="3" t="inlineStr">
        <is>
          <t>Cost Center: ('900',)</t>
        </is>
      </c>
    </row>
    <row r="192">
      <c r="A192" s="8" t="inlineStr">
        <is>
          <t>1000.4100.1000.53000.900</t>
        </is>
      </c>
      <c r="B192" s="8" t="inlineStr">
        <is>
          <t>Purchased Professional</t>
        </is>
      </c>
      <c r="C192" s="16" t="n">
        <v>0</v>
      </c>
      <c r="D192" s="16" t="n">
        <v>0</v>
      </c>
      <c r="E192" s="16" t="n">
        <v>6181.65</v>
      </c>
      <c r="F192" s="16" t="n">
        <v>0</v>
      </c>
      <c r="G192" s="16" t="n">
        <v>0</v>
      </c>
      <c r="H192" s="16">
        <f>G192-F192</f>
        <v/>
      </c>
      <c r="I192" s="14">
        <f>IF(F192=0,0,G192/F192-1)</f>
        <v/>
      </c>
    </row>
    <row r="193">
      <c r="A193" s="8" t="inlineStr">
        <is>
          <t>1000.4100.1000.53300.900</t>
        </is>
      </c>
      <c r="B193" s="8" t="inlineStr">
        <is>
          <t>Employee Training &amp;</t>
        </is>
      </c>
      <c r="C193" s="16" t="n">
        <v>0</v>
      </c>
      <c r="D193" s="16" t="n">
        <v>1200</v>
      </c>
      <c r="E193" s="16" t="n">
        <v>0</v>
      </c>
      <c r="F193" s="16" t="n">
        <v>0</v>
      </c>
      <c r="G193" s="16" t="n">
        <v>0</v>
      </c>
      <c r="H193" s="16">
        <f>G193-F193</f>
        <v/>
      </c>
      <c r="I193" s="14">
        <f>IF(F193=0,0,G193/F193-1)</f>
        <v/>
      </c>
    </row>
    <row r="194">
      <c r="A194" s="8" t="inlineStr">
        <is>
          <t>1000.4100.1000.55800.900</t>
        </is>
      </c>
      <c r="B194" s="8" t="inlineStr">
        <is>
          <t>Travel - district wide</t>
        </is>
      </c>
      <c r="C194" s="16" t="n">
        <v>0</v>
      </c>
      <c r="D194" s="16" t="n">
        <v>0</v>
      </c>
      <c r="E194" s="16" t="n">
        <v>171.44</v>
      </c>
      <c r="F194" s="16" t="n">
        <v>0</v>
      </c>
      <c r="G194" s="16" t="n">
        <v>0</v>
      </c>
      <c r="H194" s="16">
        <f>G194-F194</f>
        <v/>
      </c>
      <c r="I194" s="14">
        <f>IF(F194=0,0,G194/F194-1)</f>
        <v/>
      </c>
    </row>
    <row r="195">
      <c r="A195" s="9" t="n"/>
      <c r="B195" s="22" t="inlineStr">
        <is>
          <t>Program 4100 Total</t>
        </is>
      </c>
      <c r="C195" s="23">
        <f>SUM(C192:C194)</f>
        <v/>
      </c>
      <c r="D195" s="23">
        <f>SUM(D192:D194)</f>
        <v/>
      </c>
      <c r="E195" s="23">
        <f>SUM(E192:E194)</f>
        <v/>
      </c>
      <c r="F195" s="23">
        <f>SUM(F192:F194)</f>
        <v/>
      </c>
      <c r="G195" s="23">
        <f>SUM(G192:G194)</f>
        <v/>
      </c>
      <c r="H195" s="23">
        <f>SUM(H192:H194)</f>
        <v/>
      </c>
      <c r="I195" s="23">
        <f>SUM(I192:I194)</f>
        <v/>
      </c>
    </row>
    <row r="196">
      <c r="A196" s="9" t="n"/>
      <c r="B196" s="12" t="inlineStr">
        <is>
          <t>Cost Center ('900',) Total</t>
        </is>
      </c>
      <c r="C196" s="26">
        <f>C195</f>
        <v/>
      </c>
      <c r="D196" s="26">
        <f>D195</f>
        <v/>
      </c>
      <c r="E196" s="26">
        <f>E195</f>
        <v/>
      </c>
      <c r="F196" s="26">
        <f>F195</f>
        <v/>
      </c>
      <c r="G196" s="26">
        <f>G195</f>
        <v/>
      </c>
      <c r="H196" s="26">
        <f>H195</f>
        <v/>
      </c>
      <c r="I196" s="26">
        <f>I195</f>
        <v/>
      </c>
    </row>
    <row r="198">
      <c r="A198" s="3" t="inlineStr">
        <is>
          <t>Cost Center: ('950',)</t>
        </is>
      </c>
    </row>
    <row r="199">
      <c r="A199" s="8" t="inlineStr">
        <is>
          <t>1000.4100.1000.51010.950</t>
        </is>
      </c>
      <c r="B199" s="8" t="inlineStr">
        <is>
          <t>Teachers Salary</t>
        </is>
      </c>
      <c r="C199" s="16" t="n">
        <v>35051.1</v>
      </c>
      <c r="D199" s="16" t="n">
        <v>116794.34</v>
      </c>
      <c r="E199" s="16" t="n">
        <v>180208.33</v>
      </c>
      <c r="F199" s="16" t="n">
        <v>185619</v>
      </c>
      <c r="G199" s="16" t="n">
        <v>122731</v>
      </c>
      <c r="H199" s="16">
        <f>G199-F199</f>
        <v/>
      </c>
      <c r="I199" s="14">
        <f>IF(F199=0,0,G199/F199-1)</f>
        <v/>
      </c>
    </row>
    <row r="200">
      <c r="A200" s="8" t="inlineStr">
        <is>
          <t>1000.4100.1000.52010.950</t>
        </is>
      </c>
      <c r="B200" s="8" t="inlineStr">
        <is>
          <t>Teacher Benefits</t>
        </is>
      </c>
      <c r="C200" s="16" t="n">
        <v>2397.81</v>
      </c>
      <c r="D200" s="16" t="n">
        <v>14501.41</v>
      </c>
      <c r="E200" s="16" t="n">
        <v>30526.29</v>
      </c>
      <c r="F200" s="16" t="n">
        <v>14153</v>
      </c>
      <c r="G200" s="16" t="n">
        <v>14575</v>
      </c>
      <c r="H200" s="16">
        <f>G200-F200</f>
        <v/>
      </c>
      <c r="I200" s="14">
        <f>IF(F200=0,0,G200/F200-1)</f>
        <v/>
      </c>
    </row>
    <row r="201">
      <c r="A201" s="8" t="inlineStr">
        <is>
          <t>1000.4100.1000.52310.950</t>
        </is>
      </c>
      <c r="B201" s="8" t="inlineStr">
        <is>
          <t>Retirement</t>
        </is>
      </c>
      <c r="C201" s="16" t="n">
        <v>1345.96</v>
      </c>
      <c r="D201" s="16" t="n">
        <v>5220.58</v>
      </c>
      <c r="E201" s="16" t="n">
        <v>8040</v>
      </c>
      <c r="F201" s="16" t="n">
        <v>8297</v>
      </c>
      <c r="G201" s="16" t="n">
        <v>5486</v>
      </c>
      <c r="H201" s="16">
        <f>G201-F201</f>
        <v/>
      </c>
      <c r="I201" s="14">
        <f>IF(F201=0,0,G201/F201-1)</f>
        <v/>
      </c>
    </row>
    <row r="202">
      <c r="A202" s="8" t="inlineStr">
        <is>
          <t>1000.4100.1000.53000.950</t>
        </is>
      </c>
      <c r="B202" s="8" t="inlineStr">
        <is>
          <t>Purchased Professional</t>
        </is>
      </c>
      <c r="C202" s="16" t="n">
        <v>0</v>
      </c>
      <c r="D202" s="16" t="n">
        <v>5698.8</v>
      </c>
      <c r="E202" s="16" t="n">
        <v>0</v>
      </c>
      <c r="F202" s="16" t="n">
        <v>3150</v>
      </c>
      <c r="G202" s="16" t="n">
        <v>16800</v>
      </c>
      <c r="H202" s="16">
        <f>G202-F202</f>
        <v/>
      </c>
      <c r="I202" s="14">
        <f>IF(F202=0,0,G202/F202-1)</f>
        <v/>
      </c>
    </row>
    <row r="203">
      <c r="A203" s="8" t="inlineStr">
        <is>
          <t>1000.4100.1000.53400.950</t>
        </is>
      </c>
      <c r="B203" s="8" t="inlineStr">
        <is>
          <t>Professional Services</t>
        </is>
      </c>
      <c r="C203" s="16" t="n">
        <v>0</v>
      </c>
      <c r="D203" s="16" t="n">
        <v>167.28</v>
      </c>
      <c r="E203" s="16" t="n">
        <v>0</v>
      </c>
      <c r="F203" s="16" t="n">
        <v>0</v>
      </c>
      <c r="G203" s="16" t="n">
        <v>0</v>
      </c>
      <c r="H203" s="16">
        <f>G203-F203</f>
        <v/>
      </c>
      <c r="I203" s="14">
        <f>IF(F203=0,0,G203/F203-1)</f>
        <v/>
      </c>
    </row>
    <row r="204">
      <c r="A204" s="8" t="inlineStr">
        <is>
          <t>1000.4100.1000.55800.950</t>
        </is>
      </c>
      <c r="B204" s="8" t="inlineStr">
        <is>
          <t>Travel</t>
        </is>
      </c>
      <c r="C204" s="16" t="n">
        <v>263.26</v>
      </c>
      <c r="D204" s="16" t="n">
        <v>617.1900000000001</v>
      </c>
      <c r="E204" s="16" t="n">
        <v>0</v>
      </c>
      <c r="F204" s="16" t="n">
        <v>100</v>
      </c>
      <c r="G204" s="16" t="n">
        <v>100</v>
      </c>
      <c r="H204" s="16">
        <f>G204-F204</f>
        <v/>
      </c>
      <c r="I204" s="14">
        <f>IF(F204=0,0,G204/F204-1)</f>
        <v/>
      </c>
    </row>
    <row r="205">
      <c r="A205" s="8" t="inlineStr">
        <is>
          <t>1000.4100.1000.56000.950</t>
        </is>
      </c>
      <c r="B205" s="8" t="inlineStr">
        <is>
          <t>Supplies</t>
        </is>
      </c>
      <c r="C205" s="16" t="n">
        <v>0</v>
      </c>
      <c r="D205" s="16" t="n">
        <v>132.64</v>
      </c>
      <c r="E205" s="16" t="n">
        <v>0</v>
      </c>
      <c r="F205" s="16" t="n">
        <v>0</v>
      </c>
      <c r="G205" s="16" t="n">
        <v>0</v>
      </c>
      <c r="H205" s="16">
        <f>G205-F205</f>
        <v/>
      </c>
      <c r="I205" s="14">
        <f>IF(F205=0,0,G205/F205-1)</f>
        <v/>
      </c>
    </row>
    <row r="206">
      <c r="A206" s="8" t="inlineStr">
        <is>
          <t>1000.4100.1000.56100.950</t>
        </is>
      </c>
      <c r="B206" s="8" t="inlineStr">
        <is>
          <t>Instructional Supplies</t>
        </is>
      </c>
      <c r="C206" s="16" t="n">
        <v>509.27</v>
      </c>
      <c r="D206" s="16" t="n">
        <v>0</v>
      </c>
      <c r="E206" s="16" t="n">
        <v>0</v>
      </c>
      <c r="F206" s="16" t="n">
        <v>250</v>
      </c>
      <c r="G206" s="16" t="n">
        <v>525</v>
      </c>
      <c r="H206" s="16">
        <f>G206-F206</f>
        <v/>
      </c>
      <c r="I206" s="14">
        <f>IF(F206=0,0,G206/F206-1)</f>
        <v/>
      </c>
    </row>
    <row r="207">
      <c r="A207" s="9" t="n"/>
      <c r="B207" s="22" t="inlineStr">
        <is>
          <t>Program 4100 Total</t>
        </is>
      </c>
      <c r="C207" s="23">
        <f>SUM(C199:C206)</f>
        <v/>
      </c>
      <c r="D207" s="23">
        <f>SUM(D199:D206)</f>
        <v/>
      </c>
      <c r="E207" s="23">
        <f>SUM(E199:E206)</f>
        <v/>
      </c>
      <c r="F207" s="23">
        <f>SUM(F199:F206)</f>
        <v/>
      </c>
      <c r="G207" s="23">
        <f>SUM(G199:G206)</f>
        <v/>
      </c>
      <c r="H207" s="23">
        <f>SUM(H199:H206)</f>
        <v/>
      </c>
      <c r="I207" s="23">
        <f>SUM(I199:I206)</f>
        <v/>
      </c>
    </row>
    <row r="208">
      <c r="A208" s="8" t="inlineStr">
        <is>
          <t>1000.4900.1000.51010.950</t>
        </is>
      </c>
      <c r="B208" s="8" t="inlineStr">
        <is>
          <t>Teacher Salaries</t>
        </is>
      </c>
      <c r="C208" s="16" t="n">
        <v>201446.16</v>
      </c>
      <c r="D208" s="16" t="n">
        <v>214473.33</v>
      </c>
      <c r="E208" s="16" t="n">
        <v>214397.15</v>
      </c>
      <c r="F208" s="16" t="n">
        <v>244329</v>
      </c>
      <c r="G208" s="16" t="n">
        <v>178585</v>
      </c>
      <c r="H208" s="16">
        <f>G208-F208</f>
        <v/>
      </c>
      <c r="I208" s="14">
        <f>IF(F208=0,0,G208/F208-1)</f>
        <v/>
      </c>
    </row>
    <row r="209">
      <c r="A209" s="8" t="inlineStr">
        <is>
          <t>1000.4900.1000.51500.950</t>
        </is>
      </c>
      <c r="B209" s="8" t="inlineStr">
        <is>
          <t>Stipends</t>
        </is>
      </c>
      <c r="C209" s="16" t="n">
        <v>6142.12</v>
      </c>
      <c r="D209" s="16" t="n">
        <v>7788</v>
      </c>
      <c r="E209" s="16" t="n">
        <v>8020.92</v>
      </c>
      <c r="F209" s="16" t="n">
        <v>13388</v>
      </c>
      <c r="G209" s="16" t="n">
        <v>13388</v>
      </c>
      <c r="H209" s="16">
        <f>G209-F209</f>
        <v/>
      </c>
      <c r="I209" s="14">
        <f>IF(F209=0,0,G209/F209-1)</f>
        <v/>
      </c>
    </row>
    <row r="210">
      <c r="A210" s="8" t="inlineStr">
        <is>
          <t>1000.4900.1000.52000.950</t>
        </is>
      </c>
      <c r="B210" s="8" t="inlineStr">
        <is>
          <t>Stipends</t>
        </is>
      </c>
      <c r="C210" s="16" t="n">
        <v>963.49</v>
      </c>
      <c r="D210" s="16" t="n">
        <v>1403.36</v>
      </c>
      <c r="E210" s="16" t="n">
        <v>1552.6</v>
      </c>
      <c r="F210" s="16" t="n">
        <v>450</v>
      </c>
      <c r="G210" s="16" t="n">
        <v>450</v>
      </c>
      <c r="H210" s="16">
        <f>G210-F210</f>
        <v/>
      </c>
      <c r="I210" s="14">
        <f>IF(F210=0,0,G210/F210-1)</f>
        <v/>
      </c>
    </row>
    <row r="211">
      <c r="A211" s="8" t="inlineStr">
        <is>
          <t>1000.4900.1000.52010.950</t>
        </is>
      </c>
      <c r="B211" s="8" t="inlineStr">
        <is>
          <t>Teacher Benefits</t>
        </is>
      </c>
      <c r="C211" s="16" t="n">
        <v>37079.24</v>
      </c>
      <c r="D211" s="16" t="n">
        <v>36835.3</v>
      </c>
      <c r="E211" s="16" t="n">
        <v>46662.79</v>
      </c>
      <c r="F211" s="16" t="n">
        <v>57183</v>
      </c>
      <c r="G211" s="16" t="n">
        <v>35525</v>
      </c>
      <c r="H211" s="16">
        <f>G211-F211</f>
        <v/>
      </c>
      <c r="I211" s="14">
        <f>IF(F211=0,0,G211/F211-1)</f>
        <v/>
      </c>
    </row>
    <row r="212">
      <c r="A212" s="8" t="inlineStr">
        <is>
          <t>1000.4900.1000.52300.950</t>
        </is>
      </c>
      <c r="B212" s="8" t="inlineStr">
        <is>
          <t>Retirement</t>
        </is>
      </c>
      <c r="C212" s="16" t="n">
        <v>247.28</v>
      </c>
      <c r="D212" s="16" t="n">
        <v>361.72</v>
      </c>
      <c r="E212" s="16" t="n">
        <v>372.99</v>
      </c>
      <c r="F212" s="16" t="n">
        <v>598</v>
      </c>
      <c r="G212" s="16" t="n">
        <v>598</v>
      </c>
      <c r="H212" s="16">
        <f>G212-F212</f>
        <v/>
      </c>
      <c r="I212" s="14">
        <f>IF(F212=0,0,G212/F212-1)</f>
        <v/>
      </c>
    </row>
    <row r="213">
      <c r="A213" s="8" t="inlineStr">
        <is>
          <t>1000.4900.1000.52310.950</t>
        </is>
      </c>
      <c r="B213" s="8" t="inlineStr">
        <is>
          <t>Retirement</t>
        </is>
      </c>
      <c r="C213" s="16" t="n">
        <v>7627.26</v>
      </c>
      <c r="D213" s="16" t="n">
        <v>9461.700000000001</v>
      </c>
      <c r="E213" s="16" t="n">
        <v>9457.969999999999</v>
      </c>
      <c r="F213" s="16" t="n">
        <v>10921</v>
      </c>
      <c r="G213" s="16" t="n">
        <v>7983</v>
      </c>
      <c r="H213" s="16">
        <f>G213-F213</f>
        <v/>
      </c>
      <c r="I213" s="14">
        <f>IF(F213=0,0,G213/F213-1)</f>
        <v/>
      </c>
    </row>
    <row r="214">
      <c r="A214" s="8" t="inlineStr">
        <is>
          <t>1000.4900.1000.53000.950</t>
        </is>
      </c>
      <c r="B214" s="8" t="inlineStr">
        <is>
          <t>Purchased Professional</t>
        </is>
      </c>
      <c r="C214" s="16" t="n">
        <v>2238.52</v>
      </c>
      <c r="D214" s="16" t="n">
        <v>0</v>
      </c>
      <c r="E214" s="16" t="n">
        <v>87</v>
      </c>
      <c r="F214" s="16" t="n">
        <v>4038</v>
      </c>
      <c r="G214" s="16" t="n">
        <v>4038</v>
      </c>
      <c r="H214" s="16">
        <f>G214-F214</f>
        <v/>
      </c>
      <c r="I214" s="14">
        <f>IF(F214=0,0,G214/F214-1)</f>
        <v/>
      </c>
    </row>
    <row r="215">
      <c r="A215" s="8" t="inlineStr">
        <is>
          <t>1000.4900.1000.53400.950</t>
        </is>
      </c>
      <c r="B215" s="8" t="inlineStr">
        <is>
          <t>Professional Services</t>
        </is>
      </c>
      <c r="C215" s="16" t="n">
        <v>0</v>
      </c>
      <c r="D215" s="16" t="n">
        <v>1272.95</v>
      </c>
      <c r="E215" s="16" t="n">
        <v>1539.31</v>
      </c>
      <c r="F215" s="16" t="n">
        <v>2014</v>
      </c>
      <c r="G215" s="16" t="n">
        <v>8489</v>
      </c>
      <c r="H215" s="16">
        <f>G215-F215</f>
        <v/>
      </c>
      <c r="I215" s="14">
        <f>IF(F215=0,0,G215/F215-1)</f>
        <v/>
      </c>
    </row>
    <row r="216">
      <c r="A216" s="8" t="inlineStr">
        <is>
          <t>1000.4900.1000.53440.950</t>
        </is>
      </c>
      <c r="B216" s="8" t="inlineStr">
        <is>
          <t>GaTE K-8 Professional</t>
        </is>
      </c>
      <c r="C216" s="16" t="n">
        <v>0</v>
      </c>
      <c r="D216" s="16" t="n">
        <v>70</v>
      </c>
      <c r="E216" s="16" t="n">
        <v>984</v>
      </c>
      <c r="F216" s="16" t="n">
        <v>2629</v>
      </c>
      <c r="G216" s="16" t="n">
        <v>2579</v>
      </c>
      <c r="H216" s="16">
        <f>G216-F216</f>
        <v/>
      </c>
      <c r="I216" s="14">
        <f>IF(F216=0,0,G216/F216-1)</f>
        <v/>
      </c>
    </row>
    <row r="217">
      <c r="A217" s="8" t="inlineStr">
        <is>
          <t>1000.4900.1000.55800.950</t>
        </is>
      </c>
      <c r="B217" s="8" t="inlineStr">
        <is>
          <t>Travel</t>
        </is>
      </c>
      <c r="C217" s="16" t="n">
        <v>123.78</v>
      </c>
      <c r="D217" s="16" t="n">
        <v>298.44</v>
      </c>
      <c r="E217" s="16" t="n">
        <v>128.24</v>
      </c>
      <c r="F217" s="16" t="n">
        <v>920</v>
      </c>
      <c r="G217" s="16" t="n">
        <v>1000</v>
      </c>
      <c r="H217" s="16">
        <f>G217-F217</f>
        <v/>
      </c>
      <c r="I217" s="14">
        <f>IF(F217=0,0,G217/F217-1)</f>
        <v/>
      </c>
    </row>
    <row r="218">
      <c r="A218" s="8" t="inlineStr">
        <is>
          <t>1000.4900.1000.56100.950</t>
        </is>
      </c>
      <c r="B218" s="8" t="inlineStr">
        <is>
          <t>GaTE K-8 Instructional</t>
        </is>
      </c>
      <c r="C218" s="16" t="n">
        <v>2127.9</v>
      </c>
      <c r="D218" s="16" t="n">
        <v>1815.66</v>
      </c>
      <c r="E218" s="16" t="n">
        <v>1243.18</v>
      </c>
      <c r="F218" s="16" t="n">
        <v>1145</v>
      </c>
      <c r="G218" s="16" t="n">
        <v>1845</v>
      </c>
      <c r="H218" s="16">
        <f>G218-F218</f>
        <v/>
      </c>
      <c r="I218" s="14">
        <f>IF(F218=0,0,G218/F218-1)</f>
        <v/>
      </c>
    </row>
    <row r="219">
      <c r="A219" s="8" t="inlineStr">
        <is>
          <t>1000.4900.1000.56400.950</t>
        </is>
      </c>
      <c r="B219" s="8" t="inlineStr">
        <is>
          <t>GaTE K-8 Books</t>
        </is>
      </c>
      <c r="C219" s="16" t="n">
        <v>407.1</v>
      </c>
      <c r="D219" s="16" t="n">
        <v>1206.93</v>
      </c>
      <c r="E219" s="16" t="n">
        <v>881.34</v>
      </c>
      <c r="F219" s="16" t="n">
        <v>1200</v>
      </c>
      <c r="G219" s="16" t="n">
        <v>1200</v>
      </c>
      <c r="H219" s="16">
        <f>G219-F219</f>
        <v/>
      </c>
      <c r="I219" s="14">
        <f>IF(F219=0,0,G219/F219-1)</f>
        <v/>
      </c>
    </row>
    <row r="220">
      <c r="A220" s="8" t="inlineStr">
        <is>
          <t>1000.4900.1000.58100.950</t>
        </is>
      </c>
      <c r="B220" s="8" t="inlineStr">
        <is>
          <t>Dues and Fees</t>
        </is>
      </c>
      <c r="C220" s="16" t="n">
        <v>1394</v>
      </c>
      <c r="D220" s="16" t="n">
        <v>2273.23</v>
      </c>
      <c r="E220" s="16" t="n">
        <v>2302.6</v>
      </c>
      <c r="F220" s="16" t="n">
        <v>4955</v>
      </c>
      <c r="G220" s="16" t="n">
        <v>4955</v>
      </c>
      <c r="H220" s="16">
        <f>G220-F220</f>
        <v/>
      </c>
      <c r="I220" s="14">
        <f>IF(F220=0,0,G220/F220-1)</f>
        <v/>
      </c>
    </row>
    <row r="221">
      <c r="A221" s="9" t="n"/>
      <c r="B221" s="22" t="inlineStr">
        <is>
          <t>Program 4900 Total</t>
        </is>
      </c>
      <c r="C221" s="23">
        <f>SUM(C208:C220)</f>
        <v/>
      </c>
      <c r="D221" s="23">
        <f>SUM(D208:D220)</f>
        <v/>
      </c>
      <c r="E221" s="23">
        <f>SUM(E208:E220)</f>
        <v/>
      </c>
      <c r="F221" s="23">
        <f>SUM(F208:F220)</f>
        <v/>
      </c>
      <c r="G221" s="23">
        <f>SUM(G208:G220)</f>
        <v/>
      </c>
      <c r="H221" s="23">
        <f>SUM(H208:H220)</f>
        <v/>
      </c>
      <c r="I221" s="23">
        <f>SUM(I208:I220)</f>
        <v/>
      </c>
    </row>
    <row r="222">
      <c r="A222" s="9" t="n"/>
      <c r="B222" s="24" t="inlineStr">
        <is>
          <t>Function 1000 Total</t>
        </is>
      </c>
      <c r="C222" s="25">
        <f>C207+C221</f>
        <v/>
      </c>
      <c r="D222" s="25">
        <f>D207+D221</f>
        <v/>
      </c>
      <c r="E222" s="25">
        <f>E207+E221</f>
        <v/>
      </c>
      <c r="F222" s="25">
        <f>F207+F221</f>
        <v/>
      </c>
      <c r="G222" s="25">
        <f>G207+G221</f>
        <v/>
      </c>
      <c r="H222" s="25">
        <f>H207+H221</f>
        <v/>
      </c>
      <c r="I222" s="25">
        <f>I207+I221</f>
        <v/>
      </c>
    </row>
    <row r="223">
      <c r="A223" s="9" t="n"/>
      <c r="B223" s="12" t="inlineStr">
        <is>
          <t>Cost Center ('950',) Total</t>
        </is>
      </c>
      <c r="C223" s="26">
        <f>C222</f>
        <v/>
      </c>
      <c r="D223" s="26">
        <f>D222</f>
        <v/>
      </c>
      <c r="E223" s="26">
        <f>E222</f>
        <v/>
      </c>
      <c r="F223" s="26">
        <f>F222</f>
        <v/>
      </c>
      <c r="G223" s="26">
        <f>G222</f>
        <v/>
      </c>
      <c r="H223" s="26">
        <f>H222</f>
        <v/>
      </c>
      <c r="I223" s="26">
        <f>I222</f>
        <v/>
      </c>
    </row>
    <row r="225">
      <c r="A225" s="3" t="inlineStr">
        <is>
          <t>Cost Center: ('990',)</t>
        </is>
      </c>
    </row>
    <row r="226">
      <c r="A226" s="8" t="inlineStr">
        <is>
          <t>1000.4100.1000.51010.990</t>
        </is>
      </c>
      <c r="B226" s="8" t="inlineStr">
        <is>
          <t>Teacher Salaries</t>
        </is>
      </c>
      <c r="C226" s="16" t="n">
        <v>174712.45</v>
      </c>
      <c r="D226" s="16" t="n">
        <v>152830.28</v>
      </c>
      <c r="E226" s="16" t="n">
        <v>87297.91</v>
      </c>
      <c r="F226" s="16" t="n">
        <v>92936</v>
      </c>
      <c r="G226" s="16" t="n">
        <v>99209</v>
      </c>
      <c r="H226" s="16">
        <f>G226-F226</f>
        <v/>
      </c>
      <c r="I226" s="14">
        <f>IF(F226=0,0,G226/F226-1)</f>
        <v/>
      </c>
    </row>
    <row r="227">
      <c r="A227" s="8" t="inlineStr">
        <is>
          <t>1000.4100.1000.52010.990</t>
        </is>
      </c>
      <c r="B227" s="8" t="inlineStr">
        <is>
          <t>Teacher Benefits</t>
        </is>
      </c>
      <c r="C227" s="16" t="n">
        <v>25422.51</v>
      </c>
      <c r="D227" s="16" t="n">
        <v>14977.9</v>
      </c>
      <c r="E227" s="16" t="n">
        <v>27244.69</v>
      </c>
      <c r="F227" s="16" t="n">
        <v>20861</v>
      </c>
      <c r="G227" s="16" t="n">
        <v>22388</v>
      </c>
      <c r="H227" s="16">
        <f>G227-F227</f>
        <v/>
      </c>
      <c r="I227" s="14">
        <f>IF(F227=0,0,G227/F227-1)</f>
        <v/>
      </c>
    </row>
    <row r="228">
      <c r="A228" s="8" t="inlineStr">
        <is>
          <t>1000.4100.1000.52310.990</t>
        </is>
      </c>
      <c r="B228" s="8" t="inlineStr">
        <is>
          <t>Retirement</t>
        </is>
      </c>
      <c r="C228" s="16" t="n">
        <v>6696.71</v>
      </c>
      <c r="D228" s="16" t="n">
        <v>6804.94</v>
      </c>
      <c r="E228" s="16" t="n">
        <v>3881.26</v>
      </c>
      <c r="F228" s="16" t="n">
        <v>4154</v>
      </c>
      <c r="G228" s="16" t="n">
        <v>4435</v>
      </c>
      <c r="H228" s="16">
        <f>G228-F228</f>
        <v/>
      </c>
      <c r="I228" s="14">
        <f>IF(F228=0,0,G228/F228-1)</f>
        <v/>
      </c>
    </row>
    <row r="229">
      <c r="A229" s="8" t="inlineStr">
        <is>
          <t>1000.4100.1000.53000.990</t>
        </is>
      </c>
      <c r="B229" s="8" t="inlineStr">
        <is>
          <t>Purchased Professional</t>
        </is>
      </c>
      <c r="C229" s="16" t="n">
        <v>0</v>
      </c>
      <c r="D229" s="16" t="n">
        <v>4686.75</v>
      </c>
      <c r="E229" s="16" t="n">
        <v>0</v>
      </c>
      <c r="F229" s="16" t="n">
        <v>3150</v>
      </c>
      <c r="G229" s="16" t="n">
        <v>16803</v>
      </c>
      <c r="H229" s="16">
        <f>G229-F229</f>
        <v/>
      </c>
      <c r="I229" s="14">
        <f>IF(F229=0,0,G229/F229-1)</f>
        <v/>
      </c>
    </row>
    <row r="230">
      <c r="A230" s="8" t="inlineStr">
        <is>
          <t>1000.4100.1000.55800.990</t>
        </is>
      </c>
      <c r="B230" s="8" t="inlineStr">
        <is>
          <t>Travel-Other</t>
        </is>
      </c>
      <c r="C230" s="16" t="n">
        <v>0</v>
      </c>
      <c r="D230" s="16" t="n">
        <v>0</v>
      </c>
      <c r="E230" s="16" t="n">
        <v>0</v>
      </c>
      <c r="F230" s="16" t="n">
        <v>100</v>
      </c>
      <c r="G230" s="16" t="n">
        <v>100</v>
      </c>
      <c r="H230" s="16">
        <f>G230-F230</f>
        <v/>
      </c>
      <c r="I230" s="14">
        <f>IF(F230=0,0,G230/F230-1)</f>
        <v/>
      </c>
    </row>
    <row r="231">
      <c r="A231" s="8" t="inlineStr">
        <is>
          <t>1000.4100.1000.56100.990</t>
        </is>
      </c>
      <c r="B231" s="8" t="inlineStr">
        <is>
          <t>Instructional Supplies</t>
        </is>
      </c>
      <c r="C231" s="16" t="n">
        <v>304.99</v>
      </c>
      <c r="D231" s="16" t="n">
        <v>0</v>
      </c>
      <c r="E231" s="16" t="n">
        <v>0</v>
      </c>
      <c r="F231" s="16" t="n">
        <v>250</v>
      </c>
      <c r="G231" s="16" t="n">
        <v>525</v>
      </c>
      <c r="H231" s="16">
        <f>G231-F231</f>
        <v/>
      </c>
      <c r="I231" s="14">
        <f>IF(F231=0,0,G231/F231-1)</f>
        <v/>
      </c>
    </row>
    <row r="232">
      <c r="A232" s="9" t="n"/>
      <c r="B232" s="22" t="inlineStr">
        <is>
          <t>Program 4100 Total</t>
        </is>
      </c>
      <c r="C232" s="23">
        <f>SUM(C226:C231)</f>
        <v/>
      </c>
      <c r="D232" s="23">
        <f>SUM(D226:D231)</f>
        <v/>
      </c>
      <c r="E232" s="23">
        <f>SUM(E226:E231)</f>
        <v/>
      </c>
      <c r="F232" s="23">
        <f>SUM(F226:F231)</f>
        <v/>
      </c>
      <c r="G232" s="23">
        <f>SUM(G226:G231)</f>
        <v/>
      </c>
      <c r="H232" s="23">
        <f>SUM(H226:H231)</f>
        <v/>
      </c>
      <c r="I232" s="23">
        <f>SUM(I226:I231)</f>
        <v/>
      </c>
    </row>
    <row r="233">
      <c r="A233" s="8" t="inlineStr">
        <is>
          <t>1000.4900.1000.51010.990</t>
        </is>
      </c>
      <c r="B233" s="8" t="inlineStr">
        <is>
          <t>Teacher Salaries</t>
        </is>
      </c>
      <c r="C233" s="16" t="n">
        <v>11203.93</v>
      </c>
      <c r="D233" s="16" t="n">
        <v>11742.39</v>
      </c>
      <c r="E233" s="16" t="n">
        <v>12662</v>
      </c>
      <c r="F233" s="16" t="n">
        <v>13587</v>
      </c>
      <c r="G233" s="16" t="n">
        <v>96727</v>
      </c>
      <c r="H233" s="16">
        <f>G233-F233</f>
        <v/>
      </c>
      <c r="I233" s="14">
        <f>IF(F233=0,0,G233/F233-1)</f>
        <v/>
      </c>
    </row>
    <row r="234">
      <c r="A234" s="8" t="inlineStr">
        <is>
          <t>1000.4900.1000.51500.990</t>
        </is>
      </c>
      <c r="B234" s="8" t="inlineStr">
        <is>
          <t>Stipends</t>
        </is>
      </c>
      <c r="C234" s="16" t="n">
        <v>0</v>
      </c>
      <c r="D234" s="16" t="n">
        <v>0</v>
      </c>
      <c r="E234" s="16" t="n">
        <v>0</v>
      </c>
      <c r="F234" s="16" t="n">
        <v>300</v>
      </c>
      <c r="G234" s="16" t="n">
        <v>300</v>
      </c>
      <c r="H234" s="16">
        <f>G234-F234</f>
        <v/>
      </c>
      <c r="I234" s="14">
        <f>IF(F234=0,0,G234/F234-1)</f>
        <v/>
      </c>
    </row>
    <row r="235">
      <c r="A235" s="8" t="inlineStr">
        <is>
          <t>1000.4900.1000.52000.990</t>
        </is>
      </c>
      <c r="B235" s="8" t="inlineStr">
        <is>
          <t>Stipends</t>
        </is>
      </c>
      <c r="C235" s="16" t="n">
        <v>0</v>
      </c>
      <c r="D235" s="16" t="n">
        <v>0</v>
      </c>
      <c r="E235" s="16" t="n">
        <v>0</v>
      </c>
      <c r="F235" s="16" t="n">
        <v>10</v>
      </c>
      <c r="G235" s="16" t="n">
        <v>10</v>
      </c>
      <c r="H235" s="16">
        <f>G235-F235</f>
        <v/>
      </c>
      <c r="I235" s="14">
        <f>IF(F235=0,0,G235/F235-1)</f>
        <v/>
      </c>
    </row>
    <row r="236">
      <c r="A236" s="8" t="inlineStr">
        <is>
          <t>1000.4900.1000.52010.990</t>
        </is>
      </c>
      <c r="B236" s="8" t="inlineStr">
        <is>
          <t>Teacher Benefits</t>
        </is>
      </c>
      <c r="C236" s="16" t="n">
        <v>2805.35</v>
      </c>
      <c r="D236" s="16" t="n">
        <v>2895.58</v>
      </c>
      <c r="E236" s="16" t="n">
        <v>3735.08</v>
      </c>
      <c r="F236" s="16" t="n">
        <v>4693</v>
      </c>
      <c r="G236" s="16" t="n">
        <v>30674</v>
      </c>
      <c r="H236" s="16">
        <f>G236-F236</f>
        <v/>
      </c>
      <c r="I236" s="14">
        <f>IF(F236=0,0,G236/F236-1)</f>
        <v/>
      </c>
    </row>
    <row r="237">
      <c r="A237" s="8" t="inlineStr">
        <is>
          <t>1000.4900.1000.52300.990</t>
        </is>
      </c>
      <c r="B237" s="8" t="inlineStr">
        <is>
          <t>Retirement</t>
        </is>
      </c>
      <c r="C237" s="16" t="n">
        <v>0</v>
      </c>
      <c r="D237" s="16" t="n">
        <v>0</v>
      </c>
      <c r="E237" s="16" t="n">
        <v>0</v>
      </c>
      <c r="F237" s="16" t="n">
        <v>13</v>
      </c>
      <c r="G237" s="16" t="n">
        <v>13</v>
      </c>
      <c r="H237" s="16">
        <f>G237-F237</f>
        <v/>
      </c>
      <c r="I237" s="14">
        <f>IF(F237=0,0,G237/F237-1)</f>
        <v/>
      </c>
    </row>
    <row r="238">
      <c r="A238" s="8" t="inlineStr">
        <is>
          <t>1000.4900.1000.52310.990</t>
        </is>
      </c>
      <c r="B238" s="8" t="inlineStr">
        <is>
          <t>Retirement</t>
        </is>
      </c>
      <c r="C238" s="16" t="n">
        <v>430.3</v>
      </c>
      <c r="D238" s="16" t="n">
        <v>524.9400000000001</v>
      </c>
      <c r="E238" s="16" t="n">
        <v>563.86</v>
      </c>
      <c r="F238" s="16" t="n">
        <v>607</v>
      </c>
      <c r="G238" s="16" t="n">
        <v>4324</v>
      </c>
      <c r="H238" s="16">
        <f>G238-F238</f>
        <v/>
      </c>
      <c r="I238" s="14">
        <f>IF(F238=0,0,G238/F238-1)</f>
        <v/>
      </c>
    </row>
    <row r="239">
      <c r="A239" s="8" t="inlineStr">
        <is>
          <t>1000.4900.1000.53000.990</t>
        </is>
      </c>
      <c r="B239" s="8" t="inlineStr">
        <is>
          <t>Purchase Professional</t>
        </is>
      </c>
      <c r="C239" s="16" t="n">
        <v>442.25</v>
      </c>
      <c r="D239" s="16" t="n">
        <v>0</v>
      </c>
      <c r="E239" s="16" t="n">
        <v>38</v>
      </c>
      <c r="F239" s="16" t="n">
        <v>38</v>
      </c>
      <c r="G239" s="16" t="n">
        <v>38</v>
      </c>
      <c r="H239" s="16">
        <f>G239-F239</f>
        <v/>
      </c>
      <c r="I239" s="14">
        <f>IF(F239=0,0,G239/F239-1)</f>
        <v/>
      </c>
    </row>
    <row r="240">
      <c r="A240" s="8" t="inlineStr">
        <is>
          <t>1000.4900.1000.53440.990</t>
        </is>
      </c>
      <c r="B240" s="8" t="inlineStr">
        <is>
          <t>GaTE HS Professional</t>
        </is>
      </c>
      <c r="C240" s="16" t="n">
        <v>2242.14</v>
      </c>
      <c r="D240" s="16" t="n">
        <v>0</v>
      </c>
      <c r="E240" s="16" t="n">
        <v>4667.52</v>
      </c>
      <c r="F240" s="16" t="n">
        <v>11190</v>
      </c>
      <c r="G240" s="16" t="n">
        <v>11190</v>
      </c>
      <c r="H240" s="16">
        <f>G240-F240</f>
        <v/>
      </c>
      <c r="I240" s="14">
        <f>IF(F240=0,0,G240/F240-1)</f>
        <v/>
      </c>
    </row>
    <row r="241">
      <c r="A241" s="8" t="inlineStr">
        <is>
          <t>1000.4900.1000.56100.990</t>
        </is>
      </c>
      <c r="B241" s="8" t="inlineStr">
        <is>
          <t>GaTE HS Instructional</t>
        </is>
      </c>
      <c r="C241" s="16" t="n">
        <v>0</v>
      </c>
      <c r="D241" s="16" t="n">
        <v>0</v>
      </c>
      <c r="E241" s="16" t="n">
        <v>0</v>
      </c>
      <c r="F241" s="16" t="n">
        <v>105</v>
      </c>
      <c r="G241" s="16" t="n">
        <v>350</v>
      </c>
      <c r="H241" s="16">
        <f>G241-F241</f>
        <v/>
      </c>
      <c r="I241" s="14">
        <f>IF(F241=0,0,G241/F241-1)</f>
        <v/>
      </c>
    </row>
    <row r="242">
      <c r="A242" s="8" t="inlineStr">
        <is>
          <t>1000.4900.1000.58100.990</t>
        </is>
      </c>
      <c r="B242" s="8" t="inlineStr">
        <is>
          <t>GaTE Dues &amp; Fees - Sec</t>
        </is>
      </c>
      <c r="C242" s="16" t="n">
        <v>0</v>
      </c>
      <c r="D242" s="16" t="n">
        <v>0</v>
      </c>
      <c r="E242" s="16" t="n">
        <v>0</v>
      </c>
      <c r="F242" s="16" t="n">
        <v>250</v>
      </c>
      <c r="G242" s="16" t="n">
        <v>250</v>
      </c>
      <c r="H242" s="16">
        <f>G242-F242</f>
        <v/>
      </c>
      <c r="I242" s="14">
        <f>IF(F242=0,0,G242/F242-1)</f>
        <v/>
      </c>
    </row>
    <row r="243">
      <c r="A243" s="9" t="n"/>
      <c r="B243" s="22" t="inlineStr">
        <is>
          <t>Program 4900 Total</t>
        </is>
      </c>
      <c r="C243" s="23">
        <f>SUM(C233:C242)</f>
        <v/>
      </c>
      <c r="D243" s="23">
        <f>SUM(D233:D242)</f>
        <v/>
      </c>
      <c r="E243" s="23">
        <f>SUM(E233:E242)</f>
        <v/>
      </c>
      <c r="F243" s="23">
        <f>SUM(F233:F242)</f>
        <v/>
      </c>
      <c r="G243" s="23">
        <f>SUM(G233:G242)</f>
        <v/>
      </c>
      <c r="H243" s="23">
        <f>SUM(H233:H242)</f>
        <v/>
      </c>
      <c r="I243" s="23">
        <f>SUM(I233:I242)</f>
        <v/>
      </c>
    </row>
    <row r="244">
      <c r="A244" s="9" t="n"/>
      <c r="B244" s="24" t="inlineStr">
        <is>
          <t>Function 1000 Total</t>
        </is>
      </c>
      <c r="C244" s="25">
        <f>C232+C243</f>
        <v/>
      </c>
      <c r="D244" s="25">
        <f>D232+D243</f>
        <v/>
      </c>
      <c r="E244" s="25">
        <f>E232+E243</f>
        <v/>
      </c>
      <c r="F244" s="25">
        <f>F232+F243</f>
        <v/>
      </c>
      <c r="G244" s="25">
        <f>G232+G243</f>
        <v/>
      </c>
      <c r="H244" s="25">
        <f>H232+H243</f>
        <v/>
      </c>
      <c r="I244" s="25">
        <f>I232+I243</f>
        <v/>
      </c>
    </row>
    <row r="245">
      <c r="A245" s="9" t="n"/>
      <c r="B245" s="12" t="inlineStr">
        <is>
          <t>Cost Center ('990',) Total</t>
        </is>
      </c>
      <c r="C245" s="26">
        <f>C244</f>
        <v/>
      </c>
      <c r="D245" s="26">
        <f>D244</f>
        <v/>
      </c>
      <c r="E245" s="26">
        <f>E244</f>
        <v/>
      </c>
      <c r="F245" s="26">
        <f>F244</f>
        <v/>
      </c>
      <c r="G245" s="26">
        <f>G244</f>
        <v/>
      </c>
      <c r="H245" s="26">
        <f>H244</f>
        <v/>
      </c>
      <c r="I245" s="26">
        <f>I244</f>
        <v/>
      </c>
    </row>
    <row r="247">
      <c r="A247" s="9" t="n"/>
      <c r="B247" s="27" t="inlineStr">
        <is>
          <t>ARTICLE 1 TOTAL</t>
        </is>
      </c>
      <c r="C247" s="28">
        <f>C45+C73+C102+C127+C161+C189+C196+C223+C245</f>
        <v/>
      </c>
      <c r="D247" s="28">
        <f>D45+D73+D102+D127+D161+D189+D196+D223+D245</f>
        <v/>
      </c>
      <c r="E247" s="28">
        <f>E45+E73+E102+E127+E161+E189+E196+E223+E245</f>
        <v/>
      </c>
      <c r="F247" s="28">
        <f>F45+F73+F102+F127+F161+F189+F196+F223+F245</f>
        <v/>
      </c>
      <c r="G247" s="28">
        <f>G45+G73+G102+G127+G161+G189+G196+G223+G245</f>
        <v/>
      </c>
      <c r="H247" s="28">
        <f>H45+H73+H102+H127+H161+H189+H196+H223+H245</f>
        <v/>
      </c>
      <c r="I247" s="28">
        <f>I45+I73+I102+I127+I161+I189+I196+I223+I245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I31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2 - Special Education</t>
        </is>
      </c>
    </row>
    <row r="2">
      <c r="A2" s="2" t="inlineStr">
        <is>
          <t>Source: FY27 Proposed Budget, RSU 5</t>
        </is>
      </c>
    </row>
    <row r="3">
      <c r="A3" s="2" t="inlineStr">
        <is>
          <t>Verification: UNRECONCILED -- see Summary tab</t>
        </is>
      </c>
    </row>
    <row r="5">
      <c r="A5" s="4" t="inlineStr">
        <is>
          <t>Account</t>
        </is>
      </c>
      <c r="B5" s="4" t="inlineStr">
        <is>
          <t>Description</t>
        </is>
      </c>
      <c r="C5" s="4" t="inlineStr">
        <is>
          <t>FY23 Actual</t>
        </is>
      </c>
      <c r="D5" s="4" t="inlineStr">
        <is>
          <t>FY24 Actual</t>
        </is>
      </c>
      <c r="E5" s="4" t="inlineStr">
        <is>
          <t>FY25 Actual</t>
        </is>
      </c>
      <c r="F5" s="4" t="inlineStr">
        <is>
          <t>FY26 Adopted</t>
        </is>
      </c>
      <c r="G5" s="4" t="inlineStr">
        <is>
          <t>FY27 Proposed</t>
        </is>
      </c>
      <c r="H5" s="4" t="inlineStr">
        <is>
          <t>$ Diff</t>
        </is>
      </c>
      <c r="I5" s="4" t="inlineStr">
        <is>
          <t>% Diff</t>
        </is>
      </c>
    </row>
    <row r="6">
      <c r="A6" s="3" t="inlineStr">
        <is>
          <t>Cost Center: ('010',)</t>
        </is>
      </c>
    </row>
    <row r="7">
      <c r="A7" s="8" t="inlineStr">
        <is>
          <t>1000.2200.1000.51010.010</t>
        </is>
      </c>
      <c r="B7" s="8" t="inlineStr">
        <is>
          <t>Teacher Salaries</t>
        </is>
      </c>
      <c r="C7" s="16" t="n">
        <v>215267.51</v>
      </c>
      <c r="D7" s="16" t="n">
        <v>237537.92</v>
      </c>
      <c r="E7" s="16" t="n">
        <v>259502.11</v>
      </c>
      <c r="F7" s="16" t="n">
        <v>279351</v>
      </c>
      <c r="G7" s="16" t="n">
        <v>380596</v>
      </c>
      <c r="H7" s="16">
        <f>G7-F7</f>
        <v/>
      </c>
      <c r="I7" s="14">
        <f>IF(F7=0,0,G7/F7-1)</f>
        <v/>
      </c>
    </row>
    <row r="8">
      <c r="A8" s="8" t="inlineStr">
        <is>
          <t>1000.2200.1000.51020.010</t>
        </is>
      </c>
      <c r="B8" s="8" t="inlineStr">
        <is>
          <t>Ed Tech Salaries</t>
        </is>
      </c>
      <c r="C8" s="16" t="n">
        <v>182366.37</v>
      </c>
      <c r="D8" s="16" t="n">
        <v>184480.17</v>
      </c>
      <c r="E8" s="16" t="n">
        <v>185549.87</v>
      </c>
      <c r="F8" s="16" t="n">
        <v>131428</v>
      </c>
      <c r="G8" s="16" t="n">
        <v>198454</v>
      </c>
      <c r="H8" s="16">
        <f>G8-F8</f>
        <v/>
      </c>
      <c r="I8" s="14">
        <f>IF(F8=0,0,G8/F8-1)</f>
        <v/>
      </c>
    </row>
    <row r="9">
      <c r="A9" s="8" t="inlineStr">
        <is>
          <t>1000.2200.1000.52010.010</t>
        </is>
      </c>
      <c r="B9" s="8" t="inlineStr">
        <is>
          <t>Teacher Benefits</t>
        </is>
      </c>
      <c r="C9" s="16" t="n">
        <v>47544.6</v>
      </c>
      <c r="D9" s="16" t="n">
        <v>44160.97</v>
      </c>
      <c r="E9" s="16" t="n">
        <v>65353.17</v>
      </c>
      <c r="F9" s="16" t="n">
        <v>64261</v>
      </c>
      <c r="G9" s="16" t="n">
        <v>98590</v>
      </c>
      <c r="H9" s="16">
        <f>G9-F9</f>
        <v/>
      </c>
      <c r="I9" s="14">
        <f>IF(F9=0,0,G9/F9-1)</f>
        <v/>
      </c>
    </row>
    <row r="10">
      <c r="A10" s="8" t="inlineStr">
        <is>
          <t>1000.2200.1000.52020.010</t>
        </is>
      </c>
      <c r="B10" s="8" t="inlineStr">
        <is>
          <t>Ed Tech Benefits</t>
        </is>
      </c>
      <c r="C10" s="16" t="n">
        <v>54757.64</v>
      </c>
      <c r="D10" s="16" t="n">
        <v>50186.08</v>
      </c>
      <c r="E10" s="16" t="n">
        <v>65662.03</v>
      </c>
      <c r="F10" s="16" t="n">
        <v>38027</v>
      </c>
      <c r="G10" s="16" t="n">
        <v>101413</v>
      </c>
      <c r="H10" s="16">
        <f>G10-F10</f>
        <v/>
      </c>
      <c r="I10" s="14">
        <f>IF(F10=0,0,G10/F10-1)</f>
        <v/>
      </c>
    </row>
    <row r="11">
      <c r="A11" s="8" t="inlineStr">
        <is>
          <t>1000.2200.1000.52310.010</t>
        </is>
      </c>
      <c r="B11" s="8" t="inlineStr">
        <is>
          <t>Retirement</t>
        </is>
      </c>
      <c r="C11" s="16" t="n">
        <v>8266.040000000001</v>
      </c>
      <c r="D11" s="16" t="n">
        <v>10619.17</v>
      </c>
      <c r="E11" s="16" t="n">
        <v>11556</v>
      </c>
      <c r="F11" s="16" t="n">
        <v>12487</v>
      </c>
      <c r="G11" s="16" t="n">
        <v>17013</v>
      </c>
      <c r="H11" s="16">
        <f>G11-F11</f>
        <v/>
      </c>
      <c r="I11" s="14">
        <f>IF(F11=0,0,G11/F11-1)</f>
        <v/>
      </c>
    </row>
    <row r="12">
      <c r="A12" s="8" t="inlineStr">
        <is>
          <t>1000.2200.1000.52320.010</t>
        </is>
      </c>
      <c r="B12" s="8" t="inlineStr">
        <is>
          <t>Retirement</t>
        </is>
      </c>
      <c r="C12" s="16" t="n">
        <v>5595.41</v>
      </c>
      <c r="D12" s="16" t="n">
        <v>5965.15</v>
      </c>
      <c r="E12" s="16" t="n">
        <v>6052.98</v>
      </c>
      <c r="F12" s="16" t="n">
        <v>5875</v>
      </c>
      <c r="G12" s="16" t="n">
        <v>9581</v>
      </c>
      <c r="H12" s="16">
        <f>G12-F12</f>
        <v/>
      </c>
      <c r="I12" s="14">
        <f>IF(F12=0,0,G12/F12-1)</f>
        <v/>
      </c>
    </row>
    <row r="13">
      <c r="A13" s="8" t="inlineStr">
        <is>
          <t>1000.2200.1000.56100.010</t>
        </is>
      </c>
      <c r="B13" s="8" t="inlineStr">
        <is>
          <t>Instructional Supplies</t>
        </is>
      </c>
      <c r="C13" s="16" t="n">
        <v>0</v>
      </c>
      <c r="D13" s="16" t="n">
        <v>0</v>
      </c>
      <c r="E13" s="16" t="n">
        <v>134.66</v>
      </c>
      <c r="F13" s="16" t="n">
        <v>100</v>
      </c>
      <c r="G13" s="16" t="n">
        <v>3075</v>
      </c>
      <c r="H13" s="16">
        <f>G13-F13</f>
        <v/>
      </c>
      <c r="I13" s="14">
        <f>IF(F13=0,0,G13/F13-1)</f>
        <v/>
      </c>
    </row>
    <row r="14">
      <c r="A14" s="9" t="n"/>
      <c r="B14" s="22" t="inlineStr">
        <is>
          <t>Program 2200 Total</t>
        </is>
      </c>
      <c r="C14" s="23">
        <f>SUM(C7:C13)</f>
        <v/>
      </c>
      <c r="D14" s="23">
        <f>SUM(D7:D13)</f>
        <v/>
      </c>
      <c r="E14" s="23">
        <f>SUM(E7:E13)</f>
        <v/>
      </c>
      <c r="F14" s="23">
        <f>SUM(F7:F13)</f>
        <v/>
      </c>
      <c r="G14" s="23">
        <f>SUM(G7:G13)</f>
        <v/>
      </c>
      <c r="H14" s="23">
        <f>SUM(H7:H13)</f>
        <v/>
      </c>
      <c r="I14" s="23">
        <f>SUM(I7:I13)</f>
        <v/>
      </c>
    </row>
    <row r="15">
      <c r="A15" s="8" t="inlineStr">
        <is>
          <t>1000.2300.1000.51010.010</t>
        </is>
      </c>
      <c r="B15" s="8" t="inlineStr">
        <is>
          <t>Teacher Salaries</t>
        </is>
      </c>
      <c r="C15" s="16" t="n">
        <v>50007.76</v>
      </c>
      <c r="D15" s="16" t="n">
        <v>53465.06</v>
      </c>
      <c r="E15" s="16" t="n">
        <v>58882.54</v>
      </c>
      <c r="F15" s="16" t="n">
        <v>65036</v>
      </c>
      <c r="G15" s="16" t="n">
        <v>69588</v>
      </c>
      <c r="H15" s="16">
        <f>G15-F15</f>
        <v/>
      </c>
      <c r="I15" s="14">
        <f>IF(F15=0,0,G15/F15-1)</f>
        <v/>
      </c>
    </row>
    <row r="16">
      <c r="A16" s="8" t="inlineStr">
        <is>
          <t>1000.2300.1000.51020.010</t>
        </is>
      </c>
      <c r="B16" s="8" t="inlineStr">
        <is>
          <t>Ed Tech Salaries</t>
        </is>
      </c>
      <c r="C16" s="16" t="n">
        <v>84104.17</v>
      </c>
      <c r="D16" s="16" t="n">
        <v>68547.58</v>
      </c>
      <c r="E16" s="16" t="n">
        <v>75897.95</v>
      </c>
      <c r="F16" s="16" t="n">
        <v>164880</v>
      </c>
      <c r="G16" s="16" t="n">
        <v>64813</v>
      </c>
      <c r="H16" s="16">
        <f>G16-F16</f>
        <v/>
      </c>
      <c r="I16" s="14">
        <f>IF(F16=0,0,G16/F16-1)</f>
        <v/>
      </c>
    </row>
    <row r="17">
      <c r="A17" s="8" t="inlineStr">
        <is>
          <t>1000.2300.1000.52010.010</t>
        </is>
      </c>
      <c r="B17" s="8" t="inlineStr">
        <is>
          <t>Teacher Benefits</t>
        </is>
      </c>
      <c r="C17" s="16" t="n">
        <v>18140.71</v>
      </c>
      <c r="D17" s="16" t="n">
        <v>18603.9</v>
      </c>
      <c r="E17" s="16" t="n">
        <v>23317.61</v>
      </c>
      <c r="F17" s="16" t="n">
        <v>27184</v>
      </c>
      <c r="G17" s="16" t="n">
        <v>29204</v>
      </c>
      <c r="H17" s="16">
        <f>G17-F17</f>
        <v/>
      </c>
      <c r="I17" s="14">
        <f>IF(F17=0,0,G17/F17-1)</f>
        <v/>
      </c>
    </row>
    <row r="18">
      <c r="A18" s="8" t="inlineStr">
        <is>
          <t>1000.2300.1000.52020.010</t>
        </is>
      </c>
      <c r="B18" s="8" t="inlineStr">
        <is>
          <t>Ed Tech Benefits</t>
        </is>
      </c>
      <c r="C18" s="16" t="n">
        <v>20370.26</v>
      </c>
      <c r="D18" s="16" t="n">
        <v>12437.05</v>
      </c>
      <c r="E18" s="16" t="n">
        <v>14496.73</v>
      </c>
      <c r="F18" s="16" t="n">
        <v>91805</v>
      </c>
      <c r="G18" s="16" t="n">
        <v>36567</v>
      </c>
      <c r="H18" s="16">
        <f>G18-F18</f>
        <v/>
      </c>
      <c r="I18" s="14">
        <f>IF(F18=0,0,G18/F18-1)</f>
        <v/>
      </c>
    </row>
    <row r="19">
      <c r="A19" s="8" t="inlineStr">
        <is>
          <t>1000.2300.1000.52310.010</t>
        </is>
      </c>
      <c r="B19" s="8" t="inlineStr">
        <is>
          <t>Retirement</t>
        </is>
      </c>
      <c r="C19" s="16" t="n">
        <v>1920.32</v>
      </c>
      <c r="D19" s="16" t="n">
        <v>2389.95</v>
      </c>
      <c r="E19" s="16" t="n">
        <v>2622.03</v>
      </c>
      <c r="F19" s="16" t="n">
        <v>2907</v>
      </c>
      <c r="G19" s="16" t="n">
        <v>3111</v>
      </c>
      <c r="H19" s="16">
        <f>G19-F19</f>
        <v/>
      </c>
      <c r="I19" s="14">
        <f>IF(F19=0,0,G19/F19-1)</f>
        <v/>
      </c>
    </row>
    <row r="20">
      <c r="A20" s="8" t="inlineStr">
        <is>
          <t>1000.2300.1000.52320.010</t>
        </is>
      </c>
      <c r="B20" s="8" t="inlineStr">
        <is>
          <t>Retirement</t>
        </is>
      </c>
      <c r="C20" s="16" t="n">
        <v>5510.1</v>
      </c>
      <c r="D20" s="16" t="n">
        <v>2907.96</v>
      </c>
      <c r="E20" s="16" t="n">
        <v>3224.74</v>
      </c>
      <c r="F20" s="16" t="n">
        <v>7370</v>
      </c>
      <c r="G20" s="16" t="n">
        <v>3129</v>
      </c>
      <c r="H20" s="16">
        <f>G20-F20</f>
        <v/>
      </c>
      <c r="I20" s="14">
        <f>IF(F20=0,0,G20/F20-1)</f>
        <v/>
      </c>
    </row>
    <row r="21">
      <c r="A21" s="9" t="n"/>
      <c r="B21" s="22" t="inlineStr">
        <is>
          <t>Program 2300 Total</t>
        </is>
      </c>
      <c r="C21" s="23">
        <f>SUM(C15:C20)</f>
        <v/>
      </c>
      <c r="D21" s="23">
        <f>SUM(D15:D20)</f>
        <v/>
      </c>
      <c r="E21" s="23">
        <f>SUM(E15:E20)</f>
        <v/>
      </c>
      <c r="F21" s="23">
        <f>SUM(F15:F20)</f>
        <v/>
      </c>
      <c r="G21" s="23">
        <f>SUM(G15:G20)</f>
        <v/>
      </c>
      <c r="H21" s="23">
        <f>SUM(H15:H20)</f>
        <v/>
      </c>
      <c r="I21" s="23">
        <f>SUM(I15:I20)</f>
        <v/>
      </c>
    </row>
    <row r="22">
      <c r="A22" s="9" t="n"/>
      <c r="B22" s="24" t="inlineStr">
        <is>
          <t>Function 1000 Total</t>
        </is>
      </c>
      <c r="C22" s="25">
        <f>C14+C21</f>
        <v/>
      </c>
      <c r="D22" s="25">
        <f>D14+D21</f>
        <v/>
      </c>
      <c r="E22" s="25">
        <f>E14+E21</f>
        <v/>
      </c>
      <c r="F22" s="25">
        <f>F14+F21</f>
        <v/>
      </c>
      <c r="G22" s="25">
        <f>G14+G21</f>
        <v/>
      </c>
      <c r="H22" s="25">
        <f>H14+H21</f>
        <v/>
      </c>
      <c r="I22" s="25">
        <f>I14+I21</f>
        <v/>
      </c>
    </row>
    <row r="23">
      <c r="A23" s="8" t="inlineStr">
        <is>
          <t>1000.2800.2110.51010.010</t>
        </is>
      </c>
      <c r="B23" s="8" t="inlineStr">
        <is>
          <t>Social Worker Salary</t>
        </is>
      </c>
      <c r="C23" s="16" t="n">
        <v>72464.92999999999</v>
      </c>
      <c r="D23" s="16" t="n">
        <v>75443.09</v>
      </c>
      <c r="E23" s="16" t="n">
        <v>86169.16</v>
      </c>
      <c r="F23" s="16" t="n">
        <v>92509</v>
      </c>
      <c r="G23" s="16" t="n">
        <v>106226</v>
      </c>
      <c r="H23" s="16">
        <f>G23-F23</f>
        <v/>
      </c>
      <c r="I23" s="14">
        <f>IF(F23=0,0,G23/F23-1)</f>
        <v/>
      </c>
    </row>
    <row r="24">
      <c r="A24" s="8" t="inlineStr">
        <is>
          <t>1000.2800.2110.52010.010</t>
        </is>
      </c>
      <c r="B24" s="8" t="inlineStr">
        <is>
          <t>Social Worker Benefits</t>
        </is>
      </c>
      <c r="C24" s="16" t="n">
        <v>9017.73</v>
      </c>
      <c r="D24" s="16" t="n">
        <v>9534.1</v>
      </c>
      <c r="E24" s="16" t="n">
        <v>12246.86</v>
      </c>
      <c r="F24" s="16" t="n">
        <v>13954</v>
      </c>
      <c r="G24" s="16" t="n">
        <v>15199</v>
      </c>
      <c r="H24" s="16">
        <f>G24-F24</f>
        <v/>
      </c>
      <c r="I24" s="14">
        <f>IF(F24=0,0,G24/F24-1)</f>
        <v/>
      </c>
    </row>
    <row r="25">
      <c r="A25" s="8" t="inlineStr">
        <is>
          <t>1000.2800.2110.52310.010</t>
        </is>
      </c>
      <c r="B25" s="8" t="inlineStr">
        <is>
          <t>Retirement</t>
        </is>
      </c>
      <c r="C25" s="16" t="n">
        <v>2782.78</v>
      </c>
      <c r="D25" s="16" t="n">
        <v>3372.2</v>
      </c>
      <c r="E25" s="16" t="n">
        <v>3837.08</v>
      </c>
      <c r="F25" s="16" t="n">
        <v>4135</v>
      </c>
      <c r="G25" s="16" t="n">
        <v>4748</v>
      </c>
      <c r="H25" s="16">
        <f>G25-F25</f>
        <v/>
      </c>
      <c r="I25" s="14">
        <f>IF(F25=0,0,G25/F25-1)</f>
        <v/>
      </c>
    </row>
    <row r="26">
      <c r="A26" s="9" t="n"/>
      <c r="B26" s="22" t="inlineStr">
        <is>
          <t>Program 2800 Total</t>
        </is>
      </c>
      <c r="C26" s="23">
        <f>SUM(C23:C25)</f>
        <v/>
      </c>
      <c r="D26" s="23">
        <f>SUM(D23:D25)</f>
        <v/>
      </c>
      <c r="E26" s="23">
        <f>SUM(E23:E25)</f>
        <v/>
      </c>
      <c r="F26" s="23">
        <f>SUM(F23:F25)</f>
        <v/>
      </c>
      <c r="G26" s="23">
        <f>SUM(G23:G25)</f>
        <v/>
      </c>
      <c r="H26" s="23">
        <f>SUM(H23:H25)</f>
        <v/>
      </c>
      <c r="I26" s="23">
        <f>SUM(I23:I25)</f>
        <v/>
      </c>
    </row>
    <row r="27">
      <c r="A27" s="8" t="inlineStr">
        <is>
          <t>1000.2800.2140.53440.010</t>
        </is>
      </c>
      <c r="B27" s="8" t="inlineStr">
        <is>
          <t>Professional Services</t>
        </is>
      </c>
      <c r="C27" s="16" t="n">
        <v>0</v>
      </c>
      <c r="D27" s="16" t="n">
        <v>0</v>
      </c>
      <c r="E27" s="16" t="n">
        <v>0</v>
      </c>
      <c r="F27" s="16" t="n">
        <v>1750</v>
      </c>
      <c r="G27" s="16" t="n">
        <v>1750</v>
      </c>
      <c r="H27" s="16">
        <f>G27-F27</f>
        <v/>
      </c>
      <c r="I27" s="14">
        <f>IF(F27=0,0,G27/F27-1)</f>
        <v/>
      </c>
    </row>
    <row r="28">
      <c r="A28" s="8" t="inlineStr">
        <is>
          <t>1000.2800.2140.55800.010</t>
        </is>
      </c>
      <c r="B28" s="8" t="inlineStr">
        <is>
          <t>Travel</t>
        </is>
      </c>
      <c r="C28" s="16" t="n">
        <v>530.38</v>
      </c>
      <c r="D28" s="16" t="n">
        <v>0</v>
      </c>
      <c r="E28" s="16" t="n">
        <v>0</v>
      </c>
      <c r="F28" s="16" t="n">
        <v>267</v>
      </c>
      <c r="G28" s="16" t="n">
        <v>267</v>
      </c>
      <c r="H28" s="16">
        <f>G28-F28</f>
        <v/>
      </c>
      <c r="I28" s="14">
        <f>IF(F28=0,0,G28/F28-1)</f>
        <v/>
      </c>
    </row>
    <row r="29">
      <c r="A29" s="9" t="n"/>
      <c r="B29" s="22" t="inlineStr">
        <is>
          <t>Program 2800 Total</t>
        </is>
      </c>
      <c r="C29" s="23">
        <f>SUM(C27:C28)</f>
        <v/>
      </c>
      <c r="D29" s="23">
        <f>SUM(D27:D28)</f>
        <v/>
      </c>
      <c r="E29" s="23">
        <f>SUM(E27:E28)</f>
        <v/>
      </c>
      <c r="F29" s="23">
        <f>SUM(F27:F28)</f>
        <v/>
      </c>
      <c r="G29" s="23">
        <f>SUM(G27:G28)</f>
        <v/>
      </c>
      <c r="H29" s="23">
        <f>SUM(H27:H28)</f>
        <v/>
      </c>
      <c r="I29" s="23">
        <f>SUM(I27:I28)</f>
        <v/>
      </c>
    </row>
    <row r="30">
      <c r="A30" s="8" t="inlineStr">
        <is>
          <t>1000.2800.2150.51010.010</t>
        </is>
      </c>
      <c r="B30" s="8" t="inlineStr">
        <is>
          <t>Speech &amp; Audiology</t>
        </is>
      </c>
      <c r="C30" s="16" t="n">
        <v>112855.21</v>
      </c>
      <c r="D30" s="16" t="n">
        <v>117030.81</v>
      </c>
      <c r="E30" s="16" t="n">
        <v>132524.65</v>
      </c>
      <c r="F30" s="16" t="n">
        <v>140943</v>
      </c>
      <c r="G30" s="16" t="n">
        <v>224243</v>
      </c>
      <c r="H30" s="16">
        <f>G30-F30</f>
        <v/>
      </c>
      <c r="I30" s="14">
        <f>IF(F30=0,0,G30/F30-1)</f>
        <v/>
      </c>
    </row>
    <row r="31">
      <c r="A31" s="8" t="inlineStr">
        <is>
          <t>1000.2800.2150.52010.010</t>
        </is>
      </c>
      <c r="B31" s="8" t="inlineStr">
        <is>
          <t>Speech &amp; Audiology</t>
        </is>
      </c>
      <c r="C31" s="16" t="n">
        <v>13497.18</v>
      </c>
      <c r="D31" s="16" t="n">
        <v>14122.04</v>
      </c>
      <c r="E31" s="16" t="n">
        <v>17435.71</v>
      </c>
      <c r="F31" s="16" t="n">
        <v>20252</v>
      </c>
      <c r="G31" s="16" t="n">
        <v>50940</v>
      </c>
      <c r="H31" s="16">
        <f>G31-F31</f>
        <v/>
      </c>
      <c r="I31" s="14">
        <f>IF(F31=0,0,G31/F31-1)</f>
        <v/>
      </c>
    </row>
    <row r="32">
      <c r="A32" s="8" t="inlineStr">
        <is>
          <t>1000.2800.2150.52310.010</t>
        </is>
      </c>
      <c r="B32" s="8" t="inlineStr">
        <is>
          <t>Retirement</t>
        </is>
      </c>
      <c r="C32" s="16" t="n">
        <v>4333.27</v>
      </c>
      <c r="D32" s="16" t="n">
        <v>5231.26</v>
      </c>
      <c r="E32" s="16" t="n">
        <v>5901.5</v>
      </c>
      <c r="F32" s="16" t="n">
        <v>6300</v>
      </c>
      <c r="G32" s="16" t="n">
        <v>10024</v>
      </c>
      <c r="H32" s="16">
        <f>G32-F32</f>
        <v/>
      </c>
      <c r="I32" s="14">
        <f>IF(F32=0,0,G32/F32-1)</f>
        <v/>
      </c>
    </row>
    <row r="33">
      <c r="A33" s="9" t="n"/>
      <c r="B33" s="22" t="inlineStr">
        <is>
          <t>Program 2800 Total</t>
        </is>
      </c>
      <c r="C33" s="23">
        <f>SUM(C30:C32)</f>
        <v/>
      </c>
      <c r="D33" s="23">
        <f>SUM(D30:D32)</f>
        <v/>
      </c>
      <c r="E33" s="23">
        <f>SUM(E30:E32)</f>
        <v/>
      </c>
      <c r="F33" s="23">
        <f>SUM(F30:F32)</f>
        <v/>
      </c>
      <c r="G33" s="23">
        <f>SUM(G30:G32)</f>
        <v/>
      </c>
      <c r="H33" s="23">
        <f>SUM(H30:H32)</f>
        <v/>
      </c>
      <c r="I33" s="23">
        <f>SUM(I30:I32)</f>
        <v/>
      </c>
    </row>
    <row r="34">
      <c r="A34" s="8" t="inlineStr">
        <is>
          <t>1000.2800.2160.51010.010</t>
        </is>
      </c>
      <c r="B34" s="8" t="inlineStr">
        <is>
          <t>OT Salary</t>
        </is>
      </c>
      <c r="C34" s="16" t="n">
        <v>72307.31</v>
      </c>
      <c r="D34" s="16" t="n">
        <v>76810.50999999999</v>
      </c>
      <c r="E34" s="16" t="n">
        <v>82858.00999999999</v>
      </c>
      <c r="F34" s="16" t="n">
        <v>91931</v>
      </c>
      <c r="G34" s="16" t="n">
        <v>98735</v>
      </c>
      <c r="H34" s="16">
        <f>G34-F34</f>
        <v/>
      </c>
      <c r="I34" s="14">
        <f>IF(F34=0,0,G34/F34-1)</f>
        <v/>
      </c>
    </row>
    <row r="35">
      <c r="A35" s="8" t="inlineStr">
        <is>
          <t>1000.2800.2160.52010.010</t>
        </is>
      </c>
      <c r="B35" s="8" t="inlineStr">
        <is>
          <t>OT Benefits</t>
        </is>
      </c>
      <c r="C35" s="16" t="n">
        <v>13248.43</v>
      </c>
      <c r="D35" s="16" t="n">
        <v>13860.36</v>
      </c>
      <c r="E35" s="16" t="n">
        <v>16667.23</v>
      </c>
      <c r="F35" s="16" t="n">
        <v>19858</v>
      </c>
      <c r="G35" s="16" t="n">
        <v>21300</v>
      </c>
      <c r="H35" s="16">
        <f>G35-F35</f>
        <v/>
      </c>
      <c r="I35" s="14">
        <f>IF(F35=0,0,G35/F35-1)</f>
        <v/>
      </c>
    </row>
    <row r="36">
      <c r="A36" s="8" t="inlineStr">
        <is>
          <t>1000.2800.2160.52310.010</t>
        </is>
      </c>
      <c r="B36" s="8" t="inlineStr">
        <is>
          <t>Retirement</t>
        </is>
      </c>
      <c r="C36" s="16" t="n">
        <v>2848.22</v>
      </c>
      <c r="D36" s="16" t="n">
        <v>3440.73</v>
      </c>
      <c r="E36" s="16" t="n">
        <v>7310.25</v>
      </c>
      <c r="F36" s="16" t="n">
        <v>4109</v>
      </c>
      <c r="G36" s="16" t="n">
        <v>4413</v>
      </c>
      <c r="H36" s="16">
        <f>G36-F36</f>
        <v/>
      </c>
      <c r="I36" s="14">
        <f>IF(F36=0,0,G36/F36-1)</f>
        <v/>
      </c>
    </row>
    <row r="37">
      <c r="A37" s="8" t="inlineStr">
        <is>
          <t>1000.2800.2160.55800.010</t>
        </is>
      </c>
      <c r="B37" s="8" t="inlineStr">
        <is>
          <t>Travel</t>
        </is>
      </c>
      <c r="C37" s="16" t="n">
        <v>210</v>
      </c>
      <c r="D37" s="16" t="n">
        <v>0</v>
      </c>
      <c r="E37" s="16" t="n">
        <v>0</v>
      </c>
      <c r="F37" s="16" t="n">
        <v>50</v>
      </c>
      <c r="G37" s="16" t="n">
        <v>50</v>
      </c>
      <c r="H37" s="16">
        <f>G37-F37</f>
        <v/>
      </c>
      <c r="I37" s="14">
        <f>IF(F37=0,0,G37/F37-1)</f>
        <v/>
      </c>
    </row>
    <row r="38">
      <c r="A38" s="9" t="n"/>
      <c r="B38" s="22" t="inlineStr">
        <is>
          <t>Program 2800 Total</t>
        </is>
      </c>
      <c r="C38" s="23">
        <f>SUM(C34:C37)</f>
        <v/>
      </c>
      <c r="D38" s="23">
        <f>SUM(D34:D37)</f>
        <v/>
      </c>
      <c r="E38" s="23">
        <f>SUM(E34:E37)</f>
        <v/>
      </c>
      <c r="F38" s="23">
        <f>SUM(F34:F37)</f>
        <v/>
      </c>
      <c r="G38" s="23">
        <f>SUM(G34:G37)</f>
        <v/>
      </c>
      <c r="H38" s="23">
        <f>SUM(H34:H37)</f>
        <v/>
      </c>
      <c r="I38" s="23">
        <f>SUM(I34:I37)</f>
        <v/>
      </c>
    </row>
    <row r="39">
      <c r="A39" s="9" t="n"/>
      <c r="B39" s="12" t="inlineStr">
        <is>
          <t>Cost Center ('010',) Total</t>
        </is>
      </c>
      <c r="C39" s="26">
        <f>C22+C26+C29+C33+C38</f>
        <v/>
      </c>
      <c r="D39" s="26">
        <f>D22+D26+D29+D33+D38</f>
        <v/>
      </c>
      <c r="E39" s="26">
        <f>E22+E26+E29+E33+E38</f>
        <v/>
      </c>
      <c r="F39" s="26">
        <f>F22+F26+F29+F33+F38</f>
        <v/>
      </c>
      <c r="G39" s="26">
        <f>G22+G26+G29+G33+G38</f>
        <v/>
      </c>
      <c r="H39" s="26">
        <f>H22+H26+H29+H33+H38</f>
        <v/>
      </c>
      <c r="I39" s="26">
        <f>I22+I26+I29+I33+I38</f>
        <v/>
      </c>
    </row>
    <row r="41">
      <c r="A41" s="3" t="inlineStr">
        <is>
          <t>Cost Center: ('020',)</t>
        </is>
      </c>
    </row>
    <row r="42">
      <c r="A42" s="8" t="inlineStr">
        <is>
          <t>1000.2200.1000.51010.020</t>
        </is>
      </c>
      <c r="B42" s="8" t="inlineStr">
        <is>
          <t>Teacher Salaries</t>
        </is>
      </c>
      <c r="C42" s="16" t="n">
        <v>75274.25999999999</v>
      </c>
      <c r="D42" s="16" t="n">
        <v>65389.31</v>
      </c>
      <c r="E42" s="16" t="n">
        <v>114344.62</v>
      </c>
      <c r="F42" s="16" t="n">
        <v>81764</v>
      </c>
      <c r="G42" s="16" t="n">
        <v>111999</v>
      </c>
      <c r="H42" s="16">
        <f>G42-F42</f>
        <v/>
      </c>
      <c r="I42" s="14">
        <f>IF(F42=0,0,G42/F42-1)</f>
        <v/>
      </c>
    </row>
    <row r="43">
      <c r="A43" s="8" t="inlineStr">
        <is>
          <t>1000.2200.1000.51020.020</t>
        </is>
      </c>
      <c r="B43" s="8" t="inlineStr">
        <is>
          <t>Ed Tech Salaries</t>
        </is>
      </c>
      <c r="C43" s="16" t="n">
        <v>15693.82</v>
      </c>
      <c r="D43" s="16" t="n">
        <v>52982.21</v>
      </c>
      <c r="E43" s="16" t="n">
        <v>45073.15</v>
      </c>
      <c r="F43" s="16" t="n">
        <v>245132</v>
      </c>
      <c r="G43" s="16" t="n">
        <v>34840</v>
      </c>
      <c r="H43" s="16">
        <f>G43-F43</f>
        <v/>
      </c>
      <c r="I43" s="14">
        <f>IF(F43=0,0,G43/F43-1)</f>
        <v/>
      </c>
    </row>
    <row r="44">
      <c r="A44" s="8" t="inlineStr">
        <is>
          <t>1000.2200.1000.52010.020</t>
        </is>
      </c>
      <c r="B44" s="8" t="inlineStr">
        <is>
          <t>Teacher Benefits</t>
        </is>
      </c>
      <c r="C44" s="16" t="n">
        <v>23693.7</v>
      </c>
      <c r="D44" s="16" t="n">
        <v>21008.72</v>
      </c>
      <c r="E44" s="16" t="n">
        <v>28050.59</v>
      </c>
      <c r="F44" s="16" t="n">
        <v>30381</v>
      </c>
      <c r="G44" s="16" t="n">
        <v>33402</v>
      </c>
      <c r="H44" s="16">
        <f>G44-F44</f>
        <v/>
      </c>
      <c r="I44" s="14">
        <f>IF(F44=0,0,G44/F44-1)</f>
        <v/>
      </c>
    </row>
    <row r="45">
      <c r="A45" s="8" t="inlineStr">
        <is>
          <t>1000.2200.1000.52020.020</t>
        </is>
      </c>
      <c r="B45" s="8" t="inlineStr">
        <is>
          <t>Ed Tech Benefits</t>
        </is>
      </c>
      <c r="C45" s="16" t="n">
        <v>5787.39</v>
      </c>
      <c r="D45" s="16" t="n">
        <v>12630.54</v>
      </c>
      <c r="E45" s="16" t="n">
        <v>10444.86</v>
      </c>
      <c r="F45" s="16" t="n">
        <v>84047</v>
      </c>
      <c r="G45" s="16" t="n">
        <v>17159</v>
      </c>
      <c r="H45" s="16">
        <f>G45-F45</f>
        <v/>
      </c>
      <c r="I45" s="14">
        <f>IF(F45=0,0,G45/F45-1)</f>
        <v/>
      </c>
    </row>
    <row r="46">
      <c r="A46" s="8" t="inlineStr">
        <is>
          <t>1000.2200.1000.52310.020</t>
        </is>
      </c>
      <c r="B46" s="8" t="inlineStr">
        <is>
          <t>Retirement</t>
        </is>
      </c>
      <c r="C46" s="16" t="n">
        <v>10513.97</v>
      </c>
      <c r="D46" s="16" t="n">
        <v>11283.75</v>
      </c>
      <c r="E46" s="16" t="n">
        <v>5092.18</v>
      </c>
      <c r="F46" s="16" t="n">
        <v>3655</v>
      </c>
      <c r="G46" s="16" t="n">
        <v>5006</v>
      </c>
      <c r="H46" s="16">
        <f>G46-F46</f>
        <v/>
      </c>
      <c r="I46" s="14">
        <f>IF(F46=0,0,G46/F46-1)</f>
        <v/>
      </c>
    </row>
    <row r="47">
      <c r="A47" s="8" t="inlineStr">
        <is>
          <t>1000.2200.1000.52320.020</t>
        </is>
      </c>
      <c r="B47" s="8" t="inlineStr">
        <is>
          <t>Retirement</t>
        </is>
      </c>
      <c r="C47" s="16" t="n">
        <v>351.33</v>
      </c>
      <c r="D47" s="16" t="n">
        <v>2381.04</v>
      </c>
      <c r="E47" s="16" t="n">
        <v>1945.1</v>
      </c>
      <c r="F47" s="16" t="n">
        <v>10957</v>
      </c>
      <c r="G47" s="16" t="n">
        <v>1682</v>
      </c>
      <c r="H47" s="16">
        <f>G47-F47</f>
        <v/>
      </c>
      <c r="I47" s="14">
        <f>IF(F47=0,0,G47/F47-1)</f>
        <v/>
      </c>
    </row>
    <row r="48">
      <c r="A48" s="8" t="inlineStr">
        <is>
          <t>1000.2200.1000.56100.020</t>
        </is>
      </c>
      <c r="B48" s="8" t="inlineStr">
        <is>
          <t>Instructional Supplies</t>
        </is>
      </c>
      <c r="C48" s="16" t="n">
        <v>0</v>
      </c>
      <c r="D48" s="16" t="n">
        <v>0</v>
      </c>
      <c r="E48" s="16" t="n">
        <v>168.72</v>
      </c>
      <c r="F48" s="16" t="n">
        <v>500</v>
      </c>
      <c r="G48" s="16" t="n">
        <v>4725</v>
      </c>
      <c r="H48" s="16">
        <f>G48-F48</f>
        <v/>
      </c>
      <c r="I48" s="14">
        <f>IF(F48=0,0,G48/F48-1)</f>
        <v/>
      </c>
    </row>
    <row r="49">
      <c r="A49" s="9" t="n"/>
      <c r="B49" s="22" t="inlineStr">
        <is>
          <t>Program 2200 Total</t>
        </is>
      </c>
      <c r="C49" s="23">
        <f>SUM(C42:C48)</f>
        <v/>
      </c>
      <c r="D49" s="23">
        <f>SUM(D42:D48)</f>
        <v/>
      </c>
      <c r="E49" s="23">
        <f>SUM(E42:E48)</f>
        <v/>
      </c>
      <c r="F49" s="23">
        <f>SUM(F42:F48)</f>
        <v/>
      </c>
      <c r="G49" s="23">
        <f>SUM(G42:G48)</f>
        <v/>
      </c>
      <c r="H49" s="23">
        <f>SUM(H42:H48)</f>
        <v/>
      </c>
      <c r="I49" s="23">
        <f>SUM(I42:I48)</f>
        <v/>
      </c>
    </row>
    <row r="50">
      <c r="A50" s="8" t="inlineStr">
        <is>
          <t>1000.2300.1000.51010.020</t>
        </is>
      </c>
      <c r="B50" s="8" t="inlineStr">
        <is>
          <t>Teacher Salaries</t>
        </is>
      </c>
      <c r="C50" s="16" t="n">
        <v>133740</v>
      </c>
      <c r="D50" s="16" t="n">
        <v>140970.18</v>
      </c>
      <c r="E50" s="16" t="n">
        <v>149935.76</v>
      </c>
      <c r="F50" s="16" t="n">
        <v>161744</v>
      </c>
      <c r="G50" s="16" t="n">
        <v>133281</v>
      </c>
      <c r="H50" s="16">
        <f>G50-F50</f>
        <v/>
      </c>
      <c r="I50" s="14">
        <f>IF(F50=0,0,G50/F50-1)</f>
        <v/>
      </c>
    </row>
    <row r="51">
      <c r="A51" s="8" t="inlineStr">
        <is>
          <t>1000.2300.1000.51020.020</t>
        </is>
      </c>
      <c r="B51" s="8" t="inlineStr">
        <is>
          <t>Ed Tech Salaries</t>
        </is>
      </c>
      <c r="C51" s="16" t="n">
        <v>78317.28999999999</v>
      </c>
      <c r="D51" s="16" t="n">
        <v>73322.56</v>
      </c>
      <c r="E51" s="16" t="n">
        <v>160774.34</v>
      </c>
      <c r="F51" s="16" t="n">
        <v>0</v>
      </c>
      <c r="G51" s="16" t="n">
        <v>225114</v>
      </c>
      <c r="H51" s="16">
        <f>G51-F51</f>
        <v/>
      </c>
      <c r="I51" s="14">
        <f>IF(F51=0,0,G51/F51-1)</f>
        <v/>
      </c>
    </row>
    <row r="52">
      <c r="A52" s="8" t="inlineStr">
        <is>
          <t>1000.2300.1000.52010.020</t>
        </is>
      </c>
      <c r="B52" s="8" t="inlineStr">
        <is>
          <t>Teacher Benefits</t>
        </is>
      </c>
      <c r="C52" s="16" t="n">
        <v>34807.54</v>
      </c>
      <c r="D52" s="16" t="n">
        <v>33801.93</v>
      </c>
      <c r="E52" s="16" t="n">
        <v>42183.72</v>
      </c>
      <c r="F52" s="16" t="n">
        <v>48167</v>
      </c>
      <c r="G52" s="16" t="n">
        <v>26882</v>
      </c>
      <c r="H52" s="16">
        <f>G52-F52</f>
        <v/>
      </c>
      <c r="I52" s="14">
        <f>IF(F52=0,0,G52/F52-1)</f>
        <v/>
      </c>
    </row>
    <row r="53">
      <c r="A53" s="8" t="inlineStr">
        <is>
          <t>1000.2300.1000.52020.020</t>
        </is>
      </c>
      <c r="B53" s="8" t="inlineStr">
        <is>
          <t>Ed Tech Benefits</t>
        </is>
      </c>
      <c r="C53" s="16" t="n">
        <v>5971.31</v>
      </c>
      <c r="D53" s="16" t="n">
        <v>13845.57</v>
      </c>
      <c r="E53" s="16" t="n">
        <v>22470.54</v>
      </c>
      <c r="F53" s="16" t="n">
        <v>0</v>
      </c>
      <c r="G53" s="16" t="n">
        <v>94146</v>
      </c>
      <c r="H53" s="16">
        <f>G53-F53</f>
        <v/>
      </c>
      <c r="I53" s="14">
        <f>IF(F53=0,0,G53/F53-1)</f>
        <v/>
      </c>
    </row>
    <row r="54">
      <c r="A54" s="8" t="inlineStr">
        <is>
          <t>1000.2300.1000.52310.020</t>
        </is>
      </c>
      <c r="B54" s="8" t="inlineStr">
        <is>
          <t>Retirement</t>
        </is>
      </c>
      <c r="C54" s="16" t="n">
        <v>4989.1</v>
      </c>
      <c r="D54" s="16" t="n">
        <v>6162.92</v>
      </c>
      <c r="E54" s="16" t="n">
        <v>6634.85</v>
      </c>
      <c r="F54" s="16" t="n">
        <v>7230</v>
      </c>
      <c r="G54" s="16" t="n">
        <v>5958</v>
      </c>
      <c r="H54" s="16">
        <f>G54-F54</f>
        <v/>
      </c>
      <c r="I54" s="14">
        <f>IF(F54=0,0,G54/F54-1)</f>
        <v/>
      </c>
    </row>
    <row r="55">
      <c r="A55" s="8" t="inlineStr">
        <is>
          <t>1000.2300.1000.52320.020</t>
        </is>
      </c>
      <c r="B55" s="8" t="inlineStr">
        <is>
          <t>Retirement</t>
        </is>
      </c>
      <c r="C55" s="16" t="n">
        <v>5304.65</v>
      </c>
      <c r="D55" s="16" t="n">
        <v>6211.29</v>
      </c>
      <c r="E55" s="16" t="n">
        <v>7024.47</v>
      </c>
      <c r="F55" s="16" t="n">
        <v>0</v>
      </c>
      <c r="G55" s="16" t="n">
        <v>10868</v>
      </c>
      <c r="H55" s="16">
        <f>G55-F55</f>
        <v/>
      </c>
      <c r="I55" s="14">
        <f>IF(F55=0,0,G55/F55-1)</f>
        <v/>
      </c>
    </row>
    <row r="56">
      <c r="A56" s="9" t="n"/>
      <c r="B56" s="22" t="inlineStr">
        <is>
          <t>Program 2300 Total</t>
        </is>
      </c>
      <c r="C56" s="23">
        <f>SUM(C50:C55)</f>
        <v/>
      </c>
      <c r="D56" s="23">
        <f>SUM(D50:D55)</f>
        <v/>
      </c>
      <c r="E56" s="23">
        <f>SUM(E50:E55)</f>
        <v/>
      </c>
      <c r="F56" s="23">
        <f>SUM(F50:F55)</f>
        <v/>
      </c>
      <c r="G56" s="23">
        <f>SUM(G50:G55)</f>
        <v/>
      </c>
      <c r="H56" s="23">
        <f>SUM(H50:H55)</f>
        <v/>
      </c>
      <c r="I56" s="23">
        <f>SUM(I50:I55)</f>
        <v/>
      </c>
    </row>
    <row r="57">
      <c r="A57" s="9" t="n"/>
      <c r="B57" s="24" t="inlineStr">
        <is>
          <t>Function 1000 Total</t>
        </is>
      </c>
      <c r="C57" s="25">
        <f>C49+C56</f>
        <v/>
      </c>
      <c r="D57" s="25">
        <f>D49+D56</f>
        <v/>
      </c>
      <c r="E57" s="25">
        <f>E49+E56</f>
        <v/>
      </c>
      <c r="F57" s="25">
        <f>F49+F56</f>
        <v/>
      </c>
      <c r="G57" s="25">
        <f>G49+G56</f>
        <v/>
      </c>
      <c r="H57" s="25">
        <f>H49+H56</f>
        <v/>
      </c>
      <c r="I57" s="25">
        <f>I49+I56</f>
        <v/>
      </c>
    </row>
    <row r="58">
      <c r="A58" s="8" t="inlineStr">
        <is>
          <t>1000.2800.2110.51010.020</t>
        </is>
      </c>
      <c r="B58" s="8" t="inlineStr">
        <is>
          <t>Social Worker Salary</t>
        </is>
      </c>
      <c r="C58" s="16" t="n">
        <v>36728.24</v>
      </c>
      <c r="D58" s="16" t="n">
        <v>38165.1</v>
      </c>
      <c r="E58" s="16" t="n">
        <v>43813.15</v>
      </c>
      <c r="F58" s="16" t="n">
        <v>46838</v>
      </c>
      <c r="G58" s="16" t="n">
        <v>50032</v>
      </c>
      <c r="H58" s="16">
        <f>G58-F58</f>
        <v/>
      </c>
      <c r="I58" s="14">
        <f>IF(F58=0,0,G58/F58-1)</f>
        <v/>
      </c>
    </row>
    <row r="59">
      <c r="A59" s="8" t="inlineStr">
        <is>
          <t>1000.2800.2110.52010.020</t>
        </is>
      </c>
      <c r="B59" s="8" t="inlineStr">
        <is>
          <t>Social Worker Benefits</t>
        </is>
      </c>
      <c r="C59" s="16" t="n">
        <v>7930.79</v>
      </c>
      <c r="D59" s="16" t="n">
        <v>7282.37</v>
      </c>
      <c r="E59" s="16" t="n">
        <v>9260.93</v>
      </c>
      <c r="F59" s="16" t="n">
        <v>10732</v>
      </c>
      <c r="G59" s="16" t="n">
        <v>11504</v>
      </c>
      <c r="H59" s="16">
        <f>G59-F59</f>
        <v/>
      </c>
      <c r="I59" s="14">
        <f>IF(F59=0,0,G59/F59-1)</f>
        <v/>
      </c>
    </row>
    <row r="60">
      <c r="A60" s="8" t="inlineStr">
        <is>
          <t>1000.2800.2110.52310.020</t>
        </is>
      </c>
      <c r="B60" s="8" t="inlineStr">
        <is>
          <t>Retirement</t>
        </is>
      </c>
      <c r="C60" s="16" t="n">
        <v>1403.95</v>
      </c>
      <c r="D60" s="16" t="n">
        <v>1713.5</v>
      </c>
      <c r="E60" s="16" t="n">
        <v>1951.05</v>
      </c>
      <c r="F60" s="16" t="n">
        <v>2094</v>
      </c>
      <c r="G60" s="16" t="n">
        <v>2236</v>
      </c>
      <c r="H60" s="16">
        <f>G60-F60</f>
        <v/>
      </c>
      <c r="I60" s="14">
        <f>IF(F60=0,0,G60/F60-1)</f>
        <v/>
      </c>
    </row>
    <row r="61">
      <c r="A61" s="9" t="n"/>
      <c r="B61" s="22" t="inlineStr">
        <is>
          <t>Program 2800 Total</t>
        </is>
      </c>
      <c r="C61" s="23">
        <f>SUM(C58:C60)</f>
        <v/>
      </c>
      <c r="D61" s="23">
        <f>SUM(D58:D60)</f>
        <v/>
      </c>
      <c r="E61" s="23">
        <f>SUM(E58:E60)</f>
        <v/>
      </c>
      <c r="F61" s="23">
        <f>SUM(F58:F60)</f>
        <v/>
      </c>
      <c r="G61" s="23">
        <f>SUM(G58:G60)</f>
        <v/>
      </c>
      <c r="H61" s="23">
        <f>SUM(H58:H60)</f>
        <v/>
      </c>
      <c r="I61" s="23">
        <f>SUM(I58:I60)</f>
        <v/>
      </c>
    </row>
    <row r="62">
      <c r="A62" s="8" t="inlineStr">
        <is>
          <t>1000.2800.2140.53440.020</t>
        </is>
      </c>
      <c r="B62" s="8" t="inlineStr">
        <is>
          <t>Professional Services</t>
        </is>
      </c>
      <c r="C62" s="16" t="n">
        <v>0</v>
      </c>
      <c r="D62" s="16" t="n">
        <v>0</v>
      </c>
      <c r="E62" s="16" t="n">
        <v>0</v>
      </c>
      <c r="F62" s="16" t="n">
        <v>1750</v>
      </c>
      <c r="G62" s="16" t="n">
        <v>1750</v>
      </c>
      <c r="H62" s="16">
        <f>G62-F62</f>
        <v/>
      </c>
      <c r="I62" s="14">
        <f>IF(F62=0,0,G62/F62-1)</f>
        <v/>
      </c>
    </row>
    <row r="63">
      <c r="A63" s="8" t="inlineStr">
        <is>
          <t>1000.2800.2140.55800.020</t>
        </is>
      </c>
      <c r="B63" s="8" t="inlineStr">
        <is>
          <t>Travel</t>
        </is>
      </c>
      <c r="C63" s="16" t="n">
        <v>125</v>
      </c>
      <c r="D63" s="16" t="n">
        <v>0</v>
      </c>
      <c r="E63" s="16" t="n">
        <v>0</v>
      </c>
      <c r="F63" s="16" t="n">
        <v>266</v>
      </c>
      <c r="G63" s="16" t="n">
        <v>266</v>
      </c>
      <c r="H63" s="16">
        <f>G63-F63</f>
        <v/>
      </c>
      <c r="I63" s="14">
        <f>IF(F63=0,0,G63/F63-1)</f>
        <v/>
      </c>
    </row>
    <row r="64">
      <c r="A64" s="9" t="n"/>
      <c r="B64" s="22" t="inlineStr">
        <is>
          <t>Program 2800 Total</t>
        </is>
      </c>
      <c r="C64" s="23">
        <f>SUM(C62:C63)</f>
        <v/>
      </c>
      <c r="D64" s="23">
        <f>SUM(D62:D63)</f>
        <v/>
      </c>
      <c r="E64" s="23">
        <f>SUM(E62:E63)</f>
        <v/>
      </c>
      <c r="F64" s="23">
        <f>SUM(F62:F63)</f>
        <v/>
      </c>
      <c r="G64" s="23">
        <f>SUM(G62:G63)</f>
        <v/>
      </c>
      <c r="H64" s="23">
        <f>SUM(H62:H63)</f>
        <v/>
      </c>
      <c r="I64" s="23">
        <f>SUM(I62:I63)</f>
        <v/>
      </c>
    </row>
    <row r="65">
      <c r="A65" s="8" t="inlineStr">
        <is>
          <t>1000.2800.2150.51010.020</t>
        </is>
      </c>
      <c r="B65" s="8" t="inlineStr">
        <is>
          <t>Speech &amp; Audiology</t>
        </is>
      </c>
      <c r="C65" s="16" t="n">
        <v>101761.77</v>
      </c>
      <c r="D65" s="16" t="n">
        <v>108063.35</v>
      </c>
      <c r="E65" s="16" t="n">
        <v>124511.18</v>
      </c>
      <c r="F65" s="16" t="n">
        <v>134223</v>
      </c>
      <c r="G65" s="16" t="n">
        <v>144745</v>
      </c>
      <c r="H65" s="16">
        <f>G65-F65</f>
        <v/>
      </c>
      <c r="I65" s="14">
        <f>IF(F65=0,0,G65/F65-1)</f>
        <v/>
      </c>
    </row>
    <row r="66">
      <c r="A66" s="8" t="inlineStr">
        <is>
          <t>1000.2800.2150.52010.020</t>
        </is>
      </c>
      <c r="B66" s="8" t="inlineStr">
        <is>
          <t>Speech &amp; Audiology</t>
        </is>
      </c>
      <c r="C66" s="16" t="n">
        <v>14037.73</v>
      </c>
      <c r="D66" s="16" t="n">
        <v>14878.02</v>
      </c>
      <c r="E66" s="16" t="n">
        <v>18238.66</v>
      </c>
      <c r="F66" s="16" t="n">
        <v>21074</v>
      </c>
      <c r="G66" s="16" t="n">
        <v>22624</v>
      </c>
      <c r="H66" s="16">
        <f>G66-F66</f>
        <v/>
      </c>
      <c r="I66" s="14">
        <f>IF(F66=0,0,G66/F66-1)</f>
        <v/>
      </c>
    </row>
    <row r="67">
      <c r="A67" s="8" t="inlineStr">
        <is>
          <t>1000.2800.2150.52310.020</t>
        </is>
      </c>
      <c r="B67" s="8" t="inlineStr">
        <is>
          <t>Retirement</t>
        </is>
      </c>
      <c r="C67" s="16" t="n">
        <v>3907.57</v>
      </c>
      <c r="D67" s="16" t="n">
        <v>4830.51</v>
      </c>
      <c r="E67" s="16" t="n">
        <v>5544.94</v>
      </c>
      <c r="F67" s="16" t="n">
        <v>6000</v>
      </c>
      <c r="G67" s="16" t="n">
        <v>6470</v>
      </c>
      <c r="H67" s="16">
        <f>G67-F67</f>
        <v/>
      </c>
      <c r="I67" s="14">
        <f>IF(F67=0,0,G67/F67-1)</f>
        <v/>
      </c>
    </row>
    <row r="68">
      <c r="A68" s="9" t="n"/>
      <c r="B68" s="22" t="inlineStr">
        <is>
          <t>Program 2800 Total</t>
        </is>
      </c>
      <c r="C68" s="23">
        <f>SUM(C65:C67)</f>
        <v/>
      </c>
      <c r="D68" s="23">
        <f>SUM(D65:D67)</f>
        <v/>
      </c>
      <c r="E68" s="23">
        <f>SUM(E65:E67)</f>
        <v/>
      </c>
      <c r="F68" s="23">
        <f>SUM(F65:F67)</f>
        <v/>
      </c>
      <c r="G68" s="23">
        <f>SUM(G65:G67)</f>
        <v/>
      </c>
      <c r="H68" s="23">
        <f>SUM(H65:H67)</f>
        <v/>
      </c>
      <c r="I68" s="23">
        <f>SUM(I65:I67)</f>
        <v/>
      </c>
    </row>
    <row r="69">
      <c r="A69" s="8" t="inlineStr">
        <is>
          <t>1000.2800.2160.51010.020</t>
        </is>
      </c>
      <c r="B69" s="8" t="inlineStr">
        <is>
          <t>OT Salary</t>
        </is>
      </c>
      <c r="C69" s="16" t="n">
        <v>69709.75</v>
      </c>
      <c r="D69" s="16" t="n">
        <v>56546.23</v>
      </c>
      <c r="E69" s="16" t="n">
        <v>61412.27</v>
      </c>
      <c r="F69" s="16" t="n">
        <v>74169</v>
      </c>
      <c r="G69" s="16" t="n">
        <v>80558</v>
      </c>
      <c r="H69" s="16">
        <f>G69-F69</f>
        <v/>
      </c>
      <c r="I69" s="14">
        <f>IF(F69=0,0,G69/F69-1)</f>
        <v/>
      </c>
    </row>
    <row r="70">
      <c r="A70" s="8" t="inlineStr">
        <is>
          <t>1000.2800.2160.52010.020</t>
        </is>
      </c>
      <c r="B70" s="8" t="inlineStr">
        <is>
          <t>OT Benefits</t>
        </is>
      </c>
      <c r="C70" s="16" t="n">
        <v>7926.28</v>
      </c>
      <c r="D70" s="16" t="n">
        <v>5514</v>
      </c>
      <c r="E70" s="16" t="n">
        <v>5935</v>
      </c>
      <c r="F70" s="16" t="n">
        <v>8570</v>
      </c>
      <c r="G70" s="16" t="n">
        <v>9066</v>
      </c>
      <c r="H70" s="16">
        <f>G70-F70</f>
        <v/>
      </c>
      <c r="I70" s="14">
        <f>IF(F70=0,0,G70/F70-1)</f>
        <v/>
      </c>
    </row>
    <row r="71">
      <c r="A71" s="8" t="inlineStr">
        <is>
          <t>1000.2800.2160.52310.020</t>
        </is>
      </c>
      <c r="B71" s="8" t="inlineStr">
        <is>
          <t>Retirement</t>
        </is>
      </c>
      <c r="C71" s="16" t="n">
        <v>2738</v>
      </c>
      <c r="D71" s="16" t="n">
        <v>2527.66</v>
      </c>
      <c r="E71" s="16" t="n">
        <v>5646.86</v>
      </c>
      <c r="F71" s="16" t="n">
        <v>3315</v>
      </c>
      <c r="G71" s="16" t="n">
        <v>3601</v>
      </c>
      <c r="H71" s="16">
        <f>G71-F71</f>
        <v/>
      </c>
      <c r="I71" s="14">
        <f>IF(F71=0,0,G71/F71-1)</f>
        <v/>
      </c>
    </row>
    <row r="72">
      <c r="A72" s="8" t="inlineStr">
        <is>
          <t>1000.2800.2160.55800.020</t>
        </is>
      </c>
      <c r="B72" s="8" t="inlineStr">
        <is>
          <t>Travel</t>
        </is>
      </c>
      <c r="C72" s="16" t="n">
        <v>55.63</v>
      </c>
      <c r="D72" s="16" t="n">
        <v>0</v>
      </c>
      <c r="E72" s="16" t="n">
        <v>0</v>
      </c>
      <c r="F72" s="16" t="n">
        <v>50</v>
      </c>
      <c r="G72" s="16" t="n">
        <v>50</v>
      </c>
      <c r="H72" s="16">
        <f>G72-F72</f>
        <v/>
      </c>
      <c r="I72" s="14">
        <f>IF(F72=0,0,G72/F72-1)</f>
        <v/>
      </c>
    </row>
    <row r="73">
      <c r="A73" s="9" t="n"/>
      <c r="B73" s="22" t="inlineStr">
        <is>
          <t>Program 2800 Total</t>
        </is>
      </c>
      <c r="C73" s="23">
        <f>SUM(C69:C72)</f>
        <v/>
      </c>
      <c r="D73" s="23">
        <f>SUM(D69:D72)</f>
        <v/>
      </c>
      <c r="E73" s="23">
        <f>SUM(E69:E72)</f>
        <v/>
      </c>
      <c r="F73" s="23">
        <f>SUM(F69:F72)</f>
        <v/>
      </c>
      <c r="G73" s="23">
        <f>SUM(G69:G72)</f>
        <v/>
      </c>
      <c r="H73" s="23">
        <f>SUM(H69:H72)</f>
        <v/>
      </c>
      <c r="I73" s="23">
        <f>SUM(I69:I72)</f>
        <v/>
      </c>
    </row>
    <row r="74">
      <c r="A74" s="9" t="n"/>
      <c r="B74" s="12" t="inlineStr">
        <is>
          <t>Cost Center ('020',) Total</t>
        </is>
      </c>
      <c r="C74" s="26">
        <f>C57+C61+C64+C68+C73</f>
        <v/>
      </c>
      <c r="D74" s="26">
        <f>D57+D61+D64+D68+D73</f>
        <v/>
      </c>
      <c r="E74" s="26">
        <f>E57+E61+E64+E68+E73</f>
        <v/>
      </c>
      <c r="F74" s="26">
        <f>F57+F61+F64+F68+F73</f>
        <v/>
      </c>
      <c r="G74" s="26">
        <f>G57+G61+G64+G68+G73</f>
        <v/>
      </c>
      <c r="H74" s="26">
        <f>H57+H61+H64+H68+H73</f>
        <v/>
      </c>
      <c r="I74" s="26">
        <f>I57+I61+I64+I68+I73</f>
        <v/>
      </c>
    </row>
    <row r="76">
      <c r="A76" s="3" t="inlineStr">
        <is>
          <t>Cost Center: ('030',)</t>
        </is>
      </c>
    </row>
    <row r="77">
      <c r="A77" s="8" t="inlineStr">
        <is>
          <t>1000.2200.1000.51010.030</t>
        </is>
      </c>
      <c r="B77" s="8" t="inlineStr">
        <is>
          <t>Teacher Salaries</t>
        </is>
      </c>
      <c r="C77" s="16" t="n">
        <v>89234.52</v>
      </c>
      <c r="D77" s="16" t="n">
        <v>40239.53</v>
      </c>
      <c r="E77" s="16" t="n">
        <v>2769.7</v>
      </c>
      <c r="F77" s="16" t="n">
        <v>46926</v>
      </c>
      <c r="G77" s="16" t="n">
        <v>104347</v>
      </c>
      <c r="H77" s="16">
        <f>G77-F77</f>
        <v/>
      </c>
      <c r="I77" s="14">
        <f>IF(F77=0,0,G77/F77-1)</f>
        <v/>
      </c>
    </row>
    <row r="78">
      <c r="A78" s="8" t="inlineStr">
        <is>
          <t>1000.2200.1000.51020.030</t>
        </is>
      </c>
      <c r="B78" s="8" t="inlineStr">
        <is>
          <t>Ed Tech Salaries</t>
        </is>
      </c>
      <c r="C78" s="16" t="n">
        <v>6880.54</v>
      </c>
      <c r="D78" s="16" t="n">
        <v>203.6</v>
      </c>
      <c r="E78" s="16" t="n">
        <v>31875.16</v>
      </c>
      <c r="F78" s="16" t="n">
        <v>30251</v>
      </c>
      <c r="G78" s="16" t="n">
        <v>30826</v>
      </c>
      <c r="H78" s="16">
        <f>G78-F78</f>
        <v/>
      </c>
      <c r="I78" s="14">
        <f>IF(F78=0,0,G78/F78-1)</f>
        <v/>
      </c>
    </row>
    <row r="79">
      <c r="A79" s="8" t="inlineStr">
        <is>
          <t>1000.2200.1000.52010.030</t>
        </is>
      </c>
      <c r="B79" s="8" t="inlineStr">
        <is>
          <t>Teacher Benefits</t>
        </is>
      </c>
      <c r="C79" s="16" t="n">
        <v>21118.95</v>
      </c>
      <c r="D79" s="16" t="n">
        <v>1726.9</v>
      </c>
      <c r="E79" s="16" t="n">
        <v>-65.63</v>
      </c>
      <c r="F79" s="16" t="n">
        <v>5889</v>
      </c>
      <c r="G79" s="16" t="n">
        <v>31367</v>
      </c>
      <c r="H79" s="16">
        <f>G79-F79</f>
        <v/>
      </c>
      <c r="I79" s="14">
        <f>IF(F79=0,0,G79/F79-1)</f>
        <v/>
      </c>
    </row>
    <row r="80">
      <c r="A80" s="8" t="inlineStr">
        <is>
          <t>1000.2200.1000.52020.030</t>
        </is>
      </c>
      <c r="B80" s="8" t="inlineStr">
        <is>
          <t>Ed Tech Benefits</t>
        </is>
      </c>
      <c r="C80" s="16" t="n">
        <v>7579.42</v>
      </c>
      <c r="D80" s="16" t="n">
        <v>7592.14</v>
      </c>
      <c r="E80" s="16" t="n">
        <v>1061.31</v>
      </c>
      <c r="F80" s="16" t="n">
        <v>12480</v>
      </c>
      <c r="G80" s="16" t="n">
        <v>15945</v>
      </c>
      <c r="H80" s="16">
        <f>G80-F80</f>
        <v/>
      </c>
      <c r="I80" s="14">
        <f>IF(F80=0,0,G80/F80-1)</f>
        <v/>
      </c>
    </row>
    <row r="81">
      <c r="A81" s="8" t="inlineStr">
        <is>
          <t>1000.2200.1000.52310.030</t>
        </is>
      </c>
      <c r="B81" s="8" t="inlineStr">
        <is>
          <t>Retirement</t>
        </is>
      </c>
      <c r="C81" s="16" t="n">
        <v>2954.38</v>
      </c>
      <c r="D81" s="16" t="n">
        <v>1673.76</v>
      </c>
      <c r="E81" s="16" t="n">
        <v>123.32</v>
      </c>
      <c r="F81" s="16" t="n">
        <v>2098</v>
      </c>
      <c r="G81" s="16" t="n">
        <v>4664</v>
      </c>
      <c r="H81" s="16">
        <f>G81-F81</f>
        <v/>
      </c>
      <c r="I81" s="14">
        <f>IF(F81=0,0,G81/F81-1)</f>
        <v/>
      </c>
    </row>
    <row r="82">
      <c r="A82" s="8" t="inlineStr">
        <is>
          <t>1000.2200.1000.52320.030</t>
        </is>
      </c>
      <c r="B82" s="8" t="inlineStr">
        <is>
          <t>Retirement</t>
        </is>
      </c>
      <c r="C82" s="16" t="n">
        <v>264.53</v>
      </c>
      <c r="D82" s="16" t="n">
        <v>0</v>
      </c>
      <c r="E82" s="16" t="n">
        <v>1268.35</v>
      </c>
      <c r="F82" s="16" t="n">
        <v>1352</v>
      </c>
      <c r="G82" s="16" t="n">
        <v>1488</v>
      </c>
      <c r="H82" s="16">
        <f>G82-F82</f>
        <v/>
      </c>
      <c r="I82" s="14">
        <f>IF(F82=0,0,G82/F82-1)</f>
        <v/>
      </c>
    </row>
    <row r="83">
      <c r="A83" s="8" t="inlineStr">
        <is>
          <t>1000.2200.1000.56100.030</t>
        </is>
      </c>
      <c r="B83" s="8" t="inlineStr">
        <is>
          <t>Instructional Supplies</t>
        </is>
      </c>
      <c r="C83" s="16" t="n">
        <v>0</v>
      </c>
      <c r="D83" s="16" t="n">
        <v>0</v>
      </c>
      <c r="E83" s="16" t="n">
        <v>0</v>
      </c>
      <c r="F83" s="16" t="n">
        <v>100</v>
      </c>
      <c r="G83" s="16" t="n">
        <v>3075</v>
      </c>
      <c r="H83" s="16">
        <f>G83-F83</f>
        <v/>
      </c>
      <c r="I83" s="14">
        <f>IF(F83=0,0,G83/F83-1)</f>
        <v/>
      </c>
    </row>
    <row r="84">
      <c r="A84" s="9" t="n"/>
      <c r="B84" s="22" t="inlineStr">
        <is>
          <t>Program 2200 Total</t>
        </is>
      </c>
      <c r="C84" s="23">
        <f>SUM(C77:C83)</f>
        <v/>
      </c>
      <c r="D84" s="23">
        <f>SUM(D77:D83)</f>
        <v/>
      </c>
      <c r="E84" s="23">
        <f>SUM(E77:E83)</f>
        <v/>
      </c>
      <c r="F84" s="23">
        <f>SUM(F77:F83)</f>
        <v/>
      </c>
      <c r="G84" s="23">
        <f>SUM(G77:G83)</f>
        <v/>
      </c>
      <c r="H84" s="23">
        <f>SUM(H77:H83)</f>
        <v/>
      </c>
      <c r="I84" s="23">
        <f>SUM(I77:I83)</f>
        <v/>
      </c>
    </row>
    <row r="85">
      <c r="A85" s="8" t="inlineStr">
        <is>
          <t>1000.2800.2110.51010.030</t>
        </is>
      </c>
      <c r="B85" s="8" t="inlineStr">
        <is>
          <t>Social Worker Salary</t>
        </is>
      </c>
      <c r="C85" s="16" t="n">
        <v>26239.64</v>
      </c>
      <c r="D85" s="16" t="n">
        <v>34821.57</v>
      </c>
      <c r="E85" s="16" t="n">
        <v>38925.36</v>
      </c>
      <c r="F85" s="16" t="n">
        <v>40615</v>
      </c>
      <c r="G85" s="16" t="n">
        <v>42849</v>
      </c>
      <c r="H85" s="16">
        <f>G85-F85</f>
        <v/>
      </c>
      <c r="I85" s="14">
        <f>IF(F85=0,0,G85/F85-1)</f>
        <v/>
      </c>
    </row>
    <row r="86">
      <c r="A86" s="8" t="inlineStr">
        <is>
          <t>1000.2800.2110.52010.030</t>
        </is>
      </c>
      <c r="B86" s="8" t="inlineStr">
        <is>
          <t>Social Worker Benefits</t>
        </is>
      </c>
      <c r="C86" s="16" t="n">
        <v>564.45</v>
      </c>
      <c r="D86" s="16" t="n">
        <v>703.27</v>
      </c>
      <c r="E86" s="16" t="n">
        <v>1021.25</v>
      </c>
      <c r="F86" s="16" t="n">
        <v>2712</v>
      </c>
      <c r="G86" s="16" t="n">
        <v>2784</v>
      </c>
      <c r="H86" s="16">
        <f>G86-F86</f>
        <v/>
      </c>
      <c r="I86" s="14">
        <f>IF(F86=0,0,G86/F86-1)</f>
        <v/>
      </c>
    </row>
    <row r="87">
      <c r="A87" s="8" t="inlineStr">
        <is>
          <t>1000.2800.2110.52310.030</t>
        </is>
      </c>
      <c r="B87" s="8" t="inlineStr">
        <is>
          <t>Retirement</t>
        </is>
      </c>
      <c r="C87" s="16" t="n">
        <v>1117.67</v>
      </c>
      <c r="D87" s="16" t="n">
        <v>1556.55</v>
      </c>
      <c r="E87" s="16" t="n">
        <v>1733.35</v>
      </c>
      <c r="F87" s="16" t="n">
        <v>1816</v>
      </c>
      <c r="G87" s="16" t="n">
        <v>1915</v>
      </c>
      <c r="H87" s="16">
        <f>G87-F87</f>
        <v/>
      </c>
      <c r="I87" s="14">
        <f>IF(F87=0,0,G87/F87-1)</f>
        <v/>
      </c>
    </row>
    <row r="88">
      <c r="A88" s="9" t="n"/>
      <c r="B88" s="22" t="inlineStr">
        <is>
          <t>Program 2800 Total</t>
        </is>
      </c>
      <c r="C88" s="23">
        <f>SUM(C85:C87)</f>
        <v/>
      </c>
      <c r="D88" s="23">
        <f>SUM(D85:D87)</f>
        <v/>
      </c>
      <c r="E88" s="23">
        <f>SUM(E85:E87)</f>
        <v/>
      </c>
      <c r="F88" s="23">
        <f>SUM(F85:F87)</f>
        <v/>
      </c>
      <c r="G88" s="23">
        <f>SUM(G85:G87)</f>
        <v/>
      </c>
      <c r="H88" s="23">
        <f>SUM(H85:H87)</f>
        <v/>
      </c>
      <c r="I88" s="23">
        <f>SUM(I85:I87)</f>
        <v/>
      </c>
    </row>
    <row r="89">
      <c r="A89" s="8" t="inlineStr">
        <is>
          <t>1000.2800.2140.53440.030</t>
        </is>
      </c>
      <c r="B89" s="8" t="inlineStr">
        <is>
          <t>Professional Services</t>
        </is>
      </c>
      <c r="C89" s="16" t="n">
        <v>0</v>
      </c>
      <c r="D89" s="16" t="n">
        <v>0</v>
      </c>
      <c r="E89" s="16" t="n">
        <v>0</v>
      </c>
      <c r="F89" s="16" t="n">
        <v>1750</v>
      </c>
      <c r="G89" s="16" t="n">
        <v>1750</v>
      </c>
      <c r="H89" s="16">
        <f>G89-F89</f>
        <v/>
      </c>
      <c r="I89" s="14">
        <f>IF(F89=0,0,G89/F89-1)</f>
        <v/>
      </c>
    </row>
    <row r="90">
      <c r="A90" s="8" t="inlineStr">
        <is>
          <t>1000.2800.2140.55800.030</t>
        </is>
      </c>
      <c r="B90" s="8" t="inlineStr">
        <is>
          <t>Travel</t>
        </is>
      </c>
      <c r="C90" s="16" t="n">
        <v>125</v>
      </c>
      <c r="D90" s="16" t="n">
        <v>0</v>
      </c>
      <c r="E90" s="16" t="n">
        <v>0</v>
      </c>
      <c r="F90" s="16" t="n">
        <v>266</v>
      </c>
      <c r="G90" s="16" t="n">
        <v>266</v>
      </c>
      <c r="H90" s="16">
        <f>G90-F90</f>
        <v/>
      </c>
      <c r="I90" s="14">
        <f>IF(F90=0,0,G90/F90-1)</f>
        <v/>
      </c>
    </row>
    <row r="91">
      <c r="A91" s="9" t="n"/>
      <c r="B91" s="22" t="inlineStr">
        <is>
          <t>Program 2800 Total</t>
        </is>
      </c>
      <c r="C91" s="23">
        <f>SUM(C89:C90)</f>
        <v/>
      </c>
      <c r="D91" s="23">
        <f>SUM(D89:D90)</f>
        <v/>
      </c>
      <c r="E91" s="23">
        <f>SUM(E89:E90)</f>
        <v/>
      </c>
      <c r="F91" s="23">
        <f>SUM(F89:F90)</f>
        <v/>
      </c>
      <c r="G91" s="23">
        <f>SUM(G89:G90)</f>
        <v/>
      </c>
      <c r="H91" s="23">
        <f>SUM(H89:H90)</f>
        <v/>
      </c>
      <c r="I91" s="23">
        <f>SUM(I89:I90)</f>
        <v/>
      </c>
    </row>
    <row r="92">
      <c r="A92" s="8" t="inlineStr">
        <is>
          <t>1000.2800.2150.51010.030</t>
        </is>
      </c>
      <c r="B92" s="8" t="inlineStr">
        <is>
          <t>Speech &amp; Audiology</t>
        </is>
      </c>
      <c r="C92" s="16" t="n">
        <v>38867.69</v>
      </c>
      <c r="D92" s="16" t="n">
        <v>8023.59</v>
      </c>
      <c r="E92" s="16" t="n">
        <v>31737.5</v>
      </c>
      <c r="F92" s="16" t="n">
        <v>32897</v>
      </c>
      <c r="G92" s="16" t="n">
        <v>35781</v>
      </c>
      <c r="H92" s="16">
        <f>G92-F92</f>
        <v/>
      </c>
      <c r="I92" s="14">
        <f>IF(F92=0,0,G92/F92-1)</f>
        <v/>
      </c>
    </row>
    <row r="93">
      <c r="A93" s="8" t="inlineStr">
        <is>
          <t>1000.2800.2150.52010.030</t>
        </is>
      </c>
      <c r="B93" s="8" t="inlineStr">
        <is>
          <t>Speech &amp; Audiology</t>
        </is>
      </c>
      <c r="C93" s="16" t="n">
        <v>8449.139999999999</v>
      </c>
      <c r="D93" s="16" t="n">
        <v>1098.8</v>
      </c>
      <c r="E93" s="16" t="n">
        <v>5799.12</v>
      </c>
      <c r="F93" s="16" t="n">
        <v>13061</v>
      </c>
      <c r="G93" s="16" t="n">
        <v>14005</v>
      </c>
      <c r="H93" s="16">
        <f>G93-F93</f>
        <v/>
      </c>
      <c r="I93" s="14">
        <f>IF(F93=0,0,G93/F93-1)</f>
        <v/>
      </c>
    </row>
    <row r="94">
      <c r="A94" s="8" t="inlineStr">
        <is>
          <t>1000.2800.2150.52310.030</t>
        </is>
      </c>
      <c r="B94" s="8" t="inlineStr">
        <is>
          <t>Retirement</t>
        </is>
      </c>
      <c r="C94" s="16" t="n">
        <v>1492.55</v>
      </c>
      <c r="D94" s="16" t="n">
        <v>358.54</v>
      </c>
      <c r="E94" s="16" t="n">
        <v>1413.21</v>
      </c>
      <c r="F94" s="16" t="n">
        <v>1471</v>
      </c>
      <c r="G94" s="16" t="n">
        <v>1599</v>
      </c>
      <c r="H94" s="16">
        <f>G94-F94</f>
        <v/>
      </c>
      <c r="I94" s="14">
        <f>IF(F94=0,0,G94/F94-1)</f>
        <v/>
      </c>
    </row>
    <row r="95">
      <c r="A95" s="9" t="n"/>
      <c r="B95" s="22" t="inlineStr">
        <is>
          <t>Program 2800 Total</t>
        </is>
      </c>
      <c r="C95" s="23">
        <f>SUM(C92:C94)</f>
        <v/>
      </c>
      <c r="D95" s="23">
        <f>SUM(D92:D94)</f>
        <v/>
      </c>
      <c r="E95" s="23">
        <f>SUM(E92:E94)</f>
        <v/>
      </c>
      <c r="F95" s="23">
        <f>SUM(F92:F94)</f>
        <v/>
      </c>
      <c r="G95" s="23">
        <f>SUM(G92:G94)</f>
        <v/>
      </c>
      <c r="H95" s="23">
        <f>SUM(H92:H94)</f>
        <v/>
      </c>
      <c r="I95" s="23">
        <f>SUM(I92:I94)</f>
        <v/>
      </c>
    </row>
    <row r="96">
      <c r="A96" s="8" t="inlineStr">
        <is>
          <t>1000.2800.2160.51010.030</t>
        </is>
      </c>
      <c r="B96" s="8" t="inlineStr">
        <is>
          <t>OT Salary</t>
        </is>
      </c>
      <c r="C96" s="16" t="n">
        <v>18051.79</v>
      </c>
      <c r="D96" s="16" t="n">
        <v>21159.78</v>
      </c>
      <c r="E96" s="16" t="n">
        <v>24333.39</v>
      </c>
      <c r="F96" s="16" t="n">
        <v>26266</v>
      </c>
      <c r="G96" s="16" t="n">
        <v>28210</v>
      </c>
      <c r="H96" s="16">
        <f>G96-F96</f>
        <v/>
      </c>
      <c r="I96" s="14">
        <f>IF(F96=0,0,G96/F96-1)</f>
        <v/>
      </c>
    </row>
    <row r="97">
      <c r="A97" s="8" t="inlineStr">
        <is>
          <t>1000.2800.2160.52010.030</t>
        </is>
      </c>
      <c r="B97" s="8" t="inlineStr">
        <is>
          <t>OT Benefits</t>
        </is>
      </c>
      <c r="C97" s="16" t="n">
        <v>3256.58</v>
      </c>
      <c r="D97" s="16" t="n">
        <v>3820.69</v>
      </c>
      <c r="E97" s="16" t="n">
        <v>4864.16</v>
      </c>
      <c r="F97" s="16" t="n">
        <v>6501</v>
      </c>
      <c r="G97" s="16" t="n">
        <v>6933</v>
      </c>
      <c r="H97" s="16">
        <f>G97-F97</f>
        <v/>
      </c>
      <c r="I97" s="14">
        <f>IF(F97=0,0,G97/F97-1)</f>
        <v/>
      </c>
    </row>
    <row r="98">
      <c r="A98" s="8" t="inlineStr">
        <is>
          <t>1000.2800.2160.52310.030</t>
        </is>
      </c>
      <c r="B98" s="8" t="inlineStr">
        <is>
          <t>Retirement</t>
        </is>
      </c>
      <c r="C98" s="16" t="n">
        <v>698</v>
      </c>
      <c r="D98" s="16" t="n">
        <v>945.89</v>
      </c>
      <c r="E98" s="16" t="n">
        <v>2248.46</v>
      </c>
      <c r="F98" s="16" t="n">
        <v>1174</v>
      </c>
      <c r="G98" s="16" t="n">
        <v>1261</v>
      </c>
      <c r="H98" s="16">
        <f>G98-F98</f>
        <v/>
      </c>
      <c r="I98" s="14">
        <f>IF(F98=0,0,G98/F98-1)</f>
        <v/>
      </c>
    </row>
    <row r="99">
      <c r="A99" s="8" t="inlineStr">
        <is>
          <t>1000.2800.2160.55800.030</t>
        </is>
      </c>
      <c r="B99" s="8" t="inlineStr">
        <is>
          <t>Travel</t>
        </is>
      </c>
      <c r="C99" s="16" t="n">
        <v>0</v>
      </c>
      <c r="D99" s="16" t="n">
        <v>0</v>
      </c>
      <c r="E99" s="16" t="n">
        <v>0</v>
      </c>
      <c r="F99" s="16" t="n">
        <v>50</v>
      </c>
      <c r="G99" s="16" t="n">
        <v>50</v>
      </c>
      <c r="H99" s="16">
        <f>G99-F99</f>
        <v/>
      </c>
      <c r="I99" s="14">
        <f>IF(F99=0,0,G99/F99-1)</f>
        <v/>
      </c>
    </row>
    <row r="100">
      <c r="A100" s="9" t="n"/>
      <c r="B100" s="22" t="inlineStr">
        <is>
          <t>Program 2800 Total</t>
        </is>
      </c>
      <c r="C100" s="23">
        <f>SUM(C96:C99)</f>
        <v/>
      </c>
      <c r="D100" s="23">
        <f>SUM(D96:D99)</f>
        <v/>
      </c>
      <c r="E100" s="23">
        <f>SUM(E96:E99)</f>
        <v/>
      </c>
      <c r="F100" s="23">
        <f>SUM(F96:F99)</f>
        <v/>
      </c>
      <c r="G100" s="23">
        <f>SUM(G96:G99)</f>
        <v/>
      </c>
      <c r="H100" s="23">
        <f>SUM(H96:H99)</f>
        <v/>
      </c>
      <c r="I100" s="23">
        <f>SUM(I96:I99)</f>
        <v/>
      </c>
    </row>
    <row r="101">
      <c r="A101" s="9" t="n"/>
      <c r="B101" s="12" t="inlineStr">
        <is>
          <t>Cost Center ('030',) Total</t>
        </is>
      </c>
      <c r="C101" s="26">
        <f>C84+C88+C91+C95+C100</f>
        <v/>
      </c>
      <c r="D101" s="26">
        <f>D84+D88+D91+D95+D100</f>
        <v/>
      </c>
      <c r="E101" s="26">
        <f>E84+E88+E91+E95+E100</f>
        <v/>
      </c>
      <c r="F101" s="26">
        <f>F84+F88+F91+F95+F100</f>
        <v/>
      </c>
      <c r="G101" s="26">
        <f>G84+G88+G91+G95+G100</f>
        <v/>
      </c>
      <c r="H101" s="26">
        <f>H84+H88+H91+H95+H100</f>
        <v/>
      </c>
      <c r="I101" s="26">
        <f>I84+I88+I91+I95+I100</f>
        <v/>
      </c>
    </row>
    <row r="103">
      <c r="A103" s="3" t="inlineStr">
        <is>
          <t>Cost Center: ('040',)</t>
        </is>
      </c>
    </row>
    <row r="104">
      <c r="A104" s="8" t="inlineStr">
        <is>
          <t>1000.2200.1000.51010.040</t>
        </is>
      </c>
      <c r="B104" s="8" t="inlineStr">
        <is>
          <t>Teacher Salaries</t>
        </is>
      </c>
      <c r="C104" s="16" t="n">
        <v>83664.03</v>
      </c>
      <c r="D104" s="16" t="n">
        <v>87028.47</v>
      </c>
      <c r="E104" s="16" t="n">
        <v>91932.74000000001</v>
      </c>
      <c r="F104" s="16" t="n">
        <v>95791</v>
      </c>
      <c r="G104" s="16" t="n">
        <v>178324</v>
      </c>
      <c r="H104" s="16">
        <f>G104-F104</f>
        <v/>
      </c>
      <c r="I104" s="14">
        <f>IF(F104=0,0,G104/F104-1)</f>
        <v/>
      </c>
    </row>
    <row r="105">
      <c r="A105" s="8" t="inlineStr">
        <is>
          <t>1000.2200.1000.51020.040</t>
        </is>
      </c>
      <c r="B105" s="8" t="inlineStr">
        <is>
          <t>Ed Tech Salaries</t>
        </is>
      </c>
      <c r="C105" s="16" t="n">
        <v>57055.14</v>
      </c>
      <c r="D105" s="16" t="n">
        <v>78357.34</v>
      </c>
      <c r="E105" s="16" t="n">
        <v>172501.54</v>
      </c>
      <c r="F105" s="16" t="n">
        <v>151957</v>
      </c>
      <c r="G105" s="16" t="n">
        <v>98304</v>
      </c>
      <c r="H105" s="16">
        <f>G105-F105</f>
        <v/>
      </c>
      <c r="I105" s="14">
        <f>IF(F105=0,0,G105/F105-1)</f>
        <v/>
      </c>
    </row>
    <row r="106">
      <c r="A106" s="8" t="inlineStr">
        <is>
          <t>1000.2200.1000.52010.040</t>
        </is>
      </c>
      <c r="B106" s="8" t="inlineStr">
        <is>
          <t>Teacher Benefits</t>
        </is>
      </c>
      <c r="C106" s="16" t="n">
        <v>18880.91</v>
      </c>
      <c r="D106" s="16" t="n">
        <v>19456.68</v>
      </c>
      <c r="E106" s="16" t="n">
        <v>24314.47</v>
      </c>
      <c r="F106" s="16" t="n">
        <v>28178</v>
      </c>
      <c r="G106" s="16" t="n">
        <v>36217</v>
      </c>
      <c r="H106" s="16">
        <f>G106-F106</f>
        <v/>
      </c>
      <c r="I106" s="14">
        <f>IF(F106=0,0,G106/F106-1)</f>
        <v/>
      </c>
    </row>
    <row r="107">
      <c r="A107" s="8" t="inlineStr">
        <is>
          <t>1000.2200.1000.52020.040</t>
        </is>
      </c>
      <c r="B107" s="8" t="inlineStr">
        <is>
          <t>Ed Tech Benefits</t>
        </is>
      </c>
      <c r="C107" s="16" t="n">
        <v>9219.139999999999</v>
      </c>
      <c r="D107" s="16" t="n">
        <v>1980.02</v>
      </c>
      <c r="E107" s="16" t="n">
        <v>28881.43</v>
      </c>
      <c r="F107" s="16" t="n">
        <v>64956</v>
      </c>
      <c r="G107" s="16" t="n">
        <v>42248</v>
      </c>
      <c r="H107" s="16">
        <f>G107-F107</f>
        <v/>
      </c>
      <c r="I107" s="14">
        <f>IF(F107=0,0,G107/F107-1)</f>
        <v/>
      </c>
    </row>
    <row r="108">
      <c r="A108" s="8" t="inlineStr">
        <is>
          <t>1000.2200.1000.52310.040</t>
        </is>
      </c>
      <c r="B108" s="8" t="inlineStr">
        <is>
          <t>Retirement</t>
        </is>
      </c>
      <c r="C108" s="16" t="n">
        <v>3205.14</v>
      </c>
      <c r="D108" s="16" t="n">
        <v>3898.87</v>
      </c>
      <c r="E108" s="16" t="n">
        <v>4080.02</v>
      </c>
      <c r="F108" s="16" t="n">
        <v>4282</v>
      </c>
      <c r="G108" s="16" t="n">
        <v>7971</v>
      </c>
      <c r="H108" s="16">
        <f>G108-F108</f>
        <v/>
      </c>
      <c r="I108" s="14">
        <f>IF(F108=0,0,G108/F108-1)</f>
        <v/>
      </c>
    </row>
    <row r="109">
      <c r="A109" s="8" t="inlineStr">
        <is>
          <t>1000.2200.1000.52320.040</t>
        </is>
      </c>
      <c r="B109" s="8" t="inlineStr">
        <is>
          <t>Retirement</t>
        </is>
      </c>
      <c r="C109" s="16" t="n">
        <v>2591.38</v>
      </c>
      <c r="D109" s="16" t="n">
        <v>6313.99</v>
      </c>
      <c r="E109" s="16" t="n">
        <v>9073.469999999999</v>
      </c>
      <c r="F109" s="16" t="n">
        <v>6792</v>
      </c>
      <c r="G109" s="16" t="n">
        <v>4746</v>
      </c>
      <c r="H109" s="16">
        <f>G109-F109</f>
        <v/>
      </c>
      <c r="I109" s="14">
        <f>IF(F109=0,0,G109/F109-1)</f>
        <v/>
      </c>
    </row>
    <row r="110">
      <c r="A110" s="8" t="inlineStr">
        <is>
          <t>1000.2200.1000.56100.040</t>
        </is>
      </c>
      <c r="B110" s="8" t="inlineStr">
        <is>
          <t>Instructional Supplies</t>
        </is>
      </c>
      <c r="C110" s="16" t="n">
        <v>0</v>
      </c>
      <c r="D110" s="16" t="n">
        <v>0</v>
      </c>
      <c r="E110" s="16" t="n">
        <v>0</v>
      </c>
      <c r="F110" s="16" t="n">
        <v>100</v>
      </c>
      <c r="G110" s="16" t="n">
        <v>4325</v>
      </c>
      <c r="H110" s="16">
        <f>G110-F110</f>
        <v/>
      </c>
      <c r="I110" s="14">
        <f>IF(F110=0,0,G110/F110-1)</f>
        <v/>
      </c>
    </row>
    <row r="111">
      <c r="A111" s="9" t="n"/>
      <c r="B111" s="22" t="inlineStr">
        <is>
          <t>Program 2200 Total</t>
        </is>
      </c>
      <c r="C111" s="23">
        <f>SUM(C104:C110)</f>
        <v/>
      </c>
      <c r="D111" s="23">
        <f>SUM(D104:D110)</f>
        <v/>
      </c>
      <c r="E111" s="23">
        <f>SUM(E104:E110)</f>
        <v/>
      </c>
      <c r="F111" s="23">
        <f>SUM(F104:F110)</f>
        <v/>
      </c>
      <c r="G111" s="23">
        <f>SUM(G104:G110)</f>
        <v/>
      </c>
      <c r="H111" s="23">
        <f>SUM(H104:H110)</f>
        <v/>
      </c>
      <c r="I111" s="23">
        <f>SUM(I104:I110)</f>
        <v/>
      </c>
    </row>
    <row r="112">
      <c r="A112" s="8" t="inlineStr">
        <is>
          <t>1000.2300.1000.51010.040</t>
        </is>
      </c>
      <c r="B112" s="8" t="inlineStr">
        <is>
          <t>Teacher Salaries</t>
        </is>
      </c>
      <c r="C112" s="16" t="n">
        <v>126000.03</v>
      </c>
      <c r="D112" s="16" t="n">
        <v>141139.09</v>
      </c>
      <c r="E112" s="16" t="n">
        <v>219400.01</v>
      </c>
      <c r="F112" s="16" t="n">
        <v>205047</v>
      </c>
      <c r="G112" s="16" t="n">
        <v>188007</v>
      </c>
      <c r="H112" s="16">
        <f>G112-F112</f>
        <v/>
      </c>
      <c r="I112" s="14">
        <f>IF(F112=0,0,G112/F112-1)</f>
        <v/>
      </c>
    </row>
    <row r="113">
      <c r="A113" s="8" t="inlineStr">
        <is>
          <t>1000.2300.1000.51020.040</t>
        </is>
      </c>
      <c r="B113" s="8" t="inlineStr">
        <is>
          <t>Ed Tech Salaries</t>
        </is>
      </c>
      <c r="C113" s="16" t="n">
        <v>32548.59</v>
      </c>
      <c r="D113" s="16" t="n">
        <v>28763.39</v>
      </c>
      <c r="E113" s="16" t="n">
        <v>30729.14</v>
      </c>
      <c r="F113" s="16" t="n">
        <v>33459</v>
      </c>
      <c r="G113" s="16" t="n">
        <v>89903</v>
      </c>
      <c r="H113" s="16">
        <f>G113-F113</f>
        <v/>
      </c>
      <c r="I113" s="14">
        <f>IF(F113=0,0,G113/F113-1)</f>
        <v/>
      </c>
    </row>
    <row r="114">
      <c r="A114" s="8" t="inlineStr">
        <is>
          <t>1000.2300.1000.52010.040</t>
        </is>
      </c>
      <c r="B114" s="8" t="inlineStr">
        <is>
          <t>Teacher Benefits</t>
        </is>
      </c>
      <c r="C114" s="16" t="n">
        <v>10130.55</v>
      </c>
      <c r="D114" s="16" t="n">
        <v>19418.88</v>
      </c>
      <c r="E114" s="16" t="n">
        <v>46883.63</v>
      </c>
      <c r="F114" s="16" t="n">
        <v>47990</v>
      </c>
      <c r="G114" s="16" t="n">
        <v>57298</v>
      </c>
      <c r="H114" s="16">
        <f>G114-F114</f>
        <v/>
      </c>
      <c r="I114" s="14">
        <f>IF(F114=0,0,G114/F114-1)</f>
        <v/>
      </c>
    </row>
    <row r="115">
      <c r="A115" s="8" t="inlineStr">
        <is>
          <t>1000.2300.1000.52020.040</t>
        </is>
      </c>
      <c r="B115" s="8" t="inlineStr">
        <is>
          <t>Ed Tech Benefits</t>
        </is>
      </c>
      <c r="C115" s="16" t="n">
        <v>8209.17</v>
      </c>
      <c r="D115" s="16" t="n">
        <v>8583.530000000001</v>
      </c>
      <c r="E115" s="16" t="n">
        <v>9214.74</v>
      </c>
      <c r="F115" s="16" t="n">
        <v>13281</v>
      </c>
      <c r="G115" s="16" t="n">
        <v>56829</v>
      </c>
      <c r="H115" s="16">
        <f>G115-F115</f>
        <v/>
      </c>
      <c r="I115" s="14">
        <f>IF(F115=0,0,G115/F115-1)</f>
        <v/>
      </c>
    </row>
    <row r="116">
      <c r="A116" s="8" t="inlineStr">
        <is>
          <t>1000.2300.1000.52310.040</t>
        </is>
      </c>
      <c r="B116" s="8" t="inlineStr">
        <is>
          <t>Retirement</t>
        </is>
      </c>
      <c r="C116" s="16" t="n">
        <v>4826.19</v>
      </c>
      <c r="D116" s="16" t="n">
        <v>6164.84</v>
      </c>
      <c r="E116" s="16" t="n">
        <v>9605.629999999999</v>
      </c>
      <c r="F116" s="16" t="n">
        <v>9166</v>
      </c>
      <c r="G116" s="16" t="n">
        <v>8404</v>
      </c>
      <c r="H116" s="16">
        <f>G116-F116</f>
        <v/>
      </c>
      <c r="I116" s="14">
        <f>IF(F116=0,0,G116/F116-1)</f>
        <v/>
      </c>
    </row>
    <row r="117">
      <c r="A117" s="8" t="inlineStr">
        <is>
          <t>1000.2300.1000.52320.040</t>
        </is>
      </c>
      <c r="B117" s="8" t="inlineStr">
        <is>
          <t>Retirement</t>
        </is>
      </c>
      <c r="C117" s="16" t="n">
        <v>1249.87</v>
      </c>
      <c r="D117" s="16" t="n">
        <v>1285.7</v>
      </c>
      <c r="E117" s="16" t="n">
        <v>1373.56</v>
      </c>
      <c r="F117" s="16" t="n">
        <v>1496</v>
      </c>
      <c r="G117" s="16" t="n">
        <v>4340</v>
      </c>
      <c r="H117" s="16">
        <f>G117-F117</f>
        <v/>
      </c>
      <c r="I117" s="14">
        <f>IF(F117=0,0,G117/F117-1)</f>
        <v/>
      </c>
    </row>
    <row r="118">
      <c r="A118" s="8" t="inlineStr">
        <is>
          <t>1000.2300.1000.53400.040</t>
        </is>
      </c>
      <c r="B118" s="8" t="inlineStr">
        <is>
          <t>Other Professional Services</t>
        </is>
      </c>
      <c r="C118" s="16" t="n">
        <v>0</v>
      </c>
      <c r="D118" s="16" t="n">
        <v>38136.5</v>
      </c>
      <c r="E118" s="16" t="n">
        <v>0</v>
      </c>
      <c r="F118" s="16" t="n">
        <v>0</v>
      </c>
      <c r="G118" s="16" t="n">
        <v>0</v>
      </c>
      <c r="H118" s="16">
        <f>G118-F118</f>
        <v/>
      </c>
      <c r="I118" s="14">
        <f>IF(F118=0,0,G118/F118-1)</f>
        <v/>
      </c>
    </row>
    <row r="119">
      <c r="A119" s="9" t="n"/>
      <c r="B119" s="22" t="inlineStr">
        <is>
          <t>Program 2300 Total</t>
        </is>
      </c>
      <c r="C119" s="23">
        <f>SUM(C112:C118)</f>
        <v/>
      </c>
      <c r="D119" s="23">
        <f>SUM(D112:D118)</f>
        <v/>
      </c>
      <c r="E119" s="23">
        <f>SUM(E112:E118)</f>
        <v/>
      </c>
      <c r="F119" s="23">
        <f>SUM(F112:F118)</f>
        <v/>
      </c>
      <c r="G119" s="23">
        <f>SUM(G112:G118)</f>
        <v/>
      </c>
      <c r="H119" s="23">
        <f>SUM(H112:H118)</f>
        <v/>
      </c>
      <c r="I119" s="23">
        <f>SUM(I112:I118)</f>
        <v/>
      </c>
    </row>
    <row r="120">
      <c r="A120" s="9" t="n"/>
      <c r="B120" s="24" t="inlineStr">
        <is>
          <t>Function 1000 Total</t>
        </is>
      </c>
      <c r="C120" s="25">
        <f>C111+C119</f>
        <v/>
      </c>
      <c r="D120" s="25">
        <f>D111+D119</f>
        <v/>
      </c>
      <c r="E120" s="25">
        <f>E111+E119</f>
        <v/>
      </c>
      <c r="F120" s="25">
        <f>F111+F119</f>
        <v/>
      </c>
      <c r="G120" s="25">
        <f>G111+G119</f>
        <v/>
      </c>
      <c r="H120" s="25">
        <f>H111+H119</f>
        <v/>
      </c>
      <c r="I120" s="25">
        <f>I111+I119</f>
        <v/>
      </c>
    </row>
    <row r="121">
      <c r="A121" s="8" t="inlineStr">
        <is>
          <t>1000.2800.2110.51010.040</t>
        </is>
      </c>
      <c r="B121" s="8" t="inlineStr">
        <is>
          <t>Social Worker Salary</t>
        </is>
      </c>
      <c r="C121" s="16" t="n">
        <v>36559.39</v>
      </c>
      <c r="D121" s="16" t="n">
        <v>38375.09</v>
      </c>
      <c r="E121" s="16" t="n">
        <v>43812.89</v>
      </c>
      <c r="F121" s="16" t="n">
        <v>46838</v>
      </c>
      <c r="G121" s="16" t="n">
        <v>50032</v>
      </c>
      <c r="H121" s="16">
        <f>G121-F121</f>
        <v/>
      </c>
      <c r="I121" s="14">
        <f>IF(F121=0,0,G121/F121-1)</f>
        <v/>
      </c>
    </row>
    <row r="122">
      <c r="A122" s="8" t="inlineStr">
        <is>
          <t>1000.2800.2110.52010.040</t>
        </is>
      </c>
      <c r="B122" s="8" t="inlineStr">
        <is>
          <t>Social Worker Benefits</t>
        </is>
      </c>
      <c r="C122" s="16" t="n">
        <v>7929.98</v>
      </c>
      <c r="D122" s="16" t="n">
        <v>7283.01</v>
      </c>
      <c r="E122" s="16" t="n">
        <v>9260.33</v>
      </c>
      <c r="F122" s="16" t="n">
        <v>10732</v>
      </c>
      <c r="G122" s="16" t="n">
        <v>11504</v>
      </c>
      <c r="H122" s="16">
        <f>G122-F122</f>
        <v/>
      </c>
      <c r="I122" s="14">
        <f>IF(F122=0,0,G122/F122-1)</f>
        <v/>
      </c>
    </row>
    <row r="123">
      <c r="A123" s="8" t="inlineStr">
        <is>
          <t>1000.2800.2110.52310.040</t>
        </is>
      </c>
      <c r="B123" s="8" t="inlineStr">
        <is>
          <t>Retirement</t>
        </is>
      </c>
      <c r="C123" s="16" t="n">
        <v>1403.93</v>
      </c>
      <c r="D123" s="16" t="n">
        <v>1715.25</v>
      </c>
      <c r="E123" s="16" t="n">
        <v>1951.02</v>
      </c>
      <c r="F123" s="16" t="n">
        <v>2094</v>
      </c>
      <c r="G123" s="16" t="n">
        <v>2236</v>
      </c>
      <c r="H123" s="16">
        <f>G123-F123</f>
        <v/>
      </c>
      <c r="I123" s="14">
        <f>IF(F123=0,0,G123/F123-1)</f>
        <v/>
      </c>
    </row>
    <row r="124">
      <c r="A124" s="8" t="inlineStr">
        <is>
          <t>1000.2800.2110.55800.040</t>
        </is>
      </c>
      <c r="B124" s="8" t="inlineStr">
        <is>
          <t>Travel</t>
        </is>
      </c>
      <c r="C124" s="16" t="n">
        <v>0</v>
      </c>
      <c r="D124" s="16" t="n">
        <v>0</v>
      </c>
      <c r="E124" s="16" t="n">
        <v>0</v>
      </c>
      <c r="F124" s="16" t="n">
        <v>300</v>
      </c>
      <c r="G124" s="16" t="n">
        <v>300</v>
      </c>
      <c r="H124" s="16">
        <f>G124-F124</f>
        <v/>
      </c>
      <c r="I124" s="14">
        <f>IF(F124=0,0,G124/F124-1)</f>
        <v/>
      </c>
    </row>
    <row r="125">
      <c r="A125" s="9" t="n"/>
      <c r="B125" s="22" t="inlineStr">
        <is>
          <t>Program 2800 Total</t>
        </is>
      </c>
      <c r="C125" s="23">
        <f>SUM(C121:C124)</f>
        <v/>
      </c>
      <c r="D125" s="23">
        <f>SUM(D121:D124)</f>
        <v/>
      </c>
      <c r="E125" s="23">
        <f>SUM(E121:E124)</f>
        <v/>
      </c>
      <c r="F125" s="23">
        <f>SUM(F121:F124)</f>
        <v/>
      </c>
      <c r="G125" s="23">
        <f>SUM(G121:G124)</f>
        <v/>
      </c>
      <c r="H125" s="23">
        <f>SUM(H121:H124)</f>
        <v/>
      </c>
      <c r="I125" s="23">
        <f>SUM(I121:I124)</f>
        <v/>
      </c>
    </row>
    <row r="126">
      <c r="A126" s="8" t="inlineStr">
        <is>
          <t>1000.2800.2140.53440.040</t>
        </is>
      </c>
      <c r="B126" s="8" t="inlineStr">
        <is>
          <t>Professional Services</t>
        </is>
      </c>
      <c r="C126" s="16" t="n">
        <v>0</v>
      </c>
      <c r="D126" s="16" t="n">
        <v>0</v>
      </c>
      <c r="E126" s="16" t="n">
        <v>17553.75</v>
      </c>
      <c r="F126" s="16" t="n">
        <v>1750</v>
      </c>
      <c r="G126" s="16" t="n">
        <v>1750</v>
      </c>
      <c r="H126" s="16">
        <f>G126-F126</f>
        <v/>
      </c>
      <c r="I126" s="14">
        <f>IF(F126=0,0,G126/F126-1)</f>
        <v/>
      </c>
    </row>
    <row r="127">
      <c r="A127" s="8" t="inlineStr">
        <is>
          <t>1000.2800.2140.55800.040</t>
        </is>
      </c>
      <c r="B127" s="8" t="inlineStr">
        <is>
          <t>Travel</t>
        </is>
      </c>
      <c r="C127" s="16" t="n">
        <v>0</v>
      </c>
      <c r="D127" s="16" t="n">
        <v>0</v>
      </c>
      <c r="E127" s="16" t="n">
        <v>0</v>
      </c>
      <c r="F127" s="16" t="n">
        <v>267</v>
      </c>
      <c r="G127" s="16" t="n">
        <v>267</v>
      </c>
      <c r="H127" s="16">
        <f>G127-F127</f>
        <v/>
      </c>
      <c r="I127" s="14">
        <f>IF(F127=0,0,G127/F127-1)</f>
        <v/>
      </c>
    </row>
    <row r="128">
      <c r="A128" s="9" t="n"/>
      <c r="B128" s="22" t="inlineStr">
        <is>
          <t>Program 2800 Total</t>
        </is>
      </c>
      <c r="C128" s="23">
        <f>SUM(C126:C127)</f>
        <v/>
      </c>
      <c r="D128" s="23">
        <f>SUM(D126:D127)</f>
        <v/>
      </c>
      <c r="E128" s="23">
        <f>SUM(E126:E127)</f>
        <v/>
      </c>
      <c r="F128" s="23">
        <f>SUM(F126:F127)</f>
        <v/>
      </c>
      <c r="G128" s="23">
        <f>SUM(G126:G127)</f>
        <v/>
      </c>
      <c r="H128" s="23">
        <f>SUM(H126:H127)</f>
        <v/>
      </c>
      <c r="I128" s="23">
        <f>SUM(I126:I127)</f>
        <v/>
      </c>
    </row>
    <row r="129">
      <c r="A129" s="8" t="inlineStr">
        <is>
          <t>1000.2800.2150.51010.040</t>
        </is>
      </c>
      <c r="B129" s="8" t="inlineStr">
        <is>
          <t>Speech &amp; Audiology</t>
        </is>
      </c>
      <c r="C129" s="16" t="n">
        <v>46711.95</v>
      </c>
      <c r="D129" s="16" t="n">
        <v>0</v>
      </c>
      <c r="E129" s="16" t="n">
        <v>33833.08</v>
      </c>
      <c r="F129" s="16" t="n">
        <v>34569</v>
      </c>
      <c r="G129" s="16" t="n">
        <v>75425</v>
      </c>
      <c r="H129" s="16">
        <f>G129-F129</f>
        <v/>
      </c>
      <c r="I129" s="14">
        <f>IF(F129=0,0,G129/F129-1)</f>
        <v/>
      </c>
    </row>
    <row r="130">
      <c r="A130" s="8" t="inlineStr">
        <is>
          <t>1000.2800.2150.52010.040</t>
        </is>
      </c>
      <c r="B130" s="8" t="inlineStr">
        <is>
          <t>Speech &amp; Audiology</t>
        </is>
      </c>
      <c r="C130" s="16" t="n">
        <v>11109.87</v>
      </c>
      <c r="D130" s="16" t="n">
        <v>0</v>
      </c>
      <c r="E130" s="16" t="n">
        <v>6842.79</v>
      </c>
      <c r="F130" s="16" t="n">
        <v>16398</v>
      </c>
      <c r="G130" s="16" t="n">
        <v>32280</v>
      </c>
      <c r="H130" s="16">
        <f>G130-F130</f>
        <v/>
      </c>
      <c r="I130" s="14">
        <f>IF(F130=0,0,G130/F130-1)</f>
        <v/>
      </c>
    </row>
    <row r="131">
      <c r="A131" s="8" t="inlineStr">
        <is>
          <t>1000.2800.2150.52310.040</t>
        </is>
      </c>
      <c r="B131" s="8" t="inlineStr">
        <is>
          <t>Retirement</t>
        </is>
      </c>
      <c r="C131" s="16" t="n">
        <v>1793.8</v>
      </c>
      <c r="D131" s="16" t="n">
        <v>0</v>
      </c>
      <c r="E131" s="16" t="n">
        <v>1506.81</v>
      </c>
      <c r="F131" s="16" t="n">
        <v>1545</v>
      </c>
      <c r="G131" s="16" t="n">
        <v>3371</v>
      </c>
      <c r="H131" s="16">
        <f>G131-F131</f>
        <v/>
      </c>
      <c r="I131" s="14">
        <f>IF(F131=0,0,G131/F131-1)</f>
        <v/>
      </c>
    </row>
    <row r="132">
      <c r="A132" s="8" t="inlineStr">
        <is>
          <t>1000.2800.2150.55800.040</t>
        </is>
      </c>
      <c r="B132" s="8" t="inlineStr">
        <is>
          <t>Travel</t>
        </is>
      </c>
      <c r="C132" s="16" t="n">
        <v>0</v>
      </c>
      <c r="D132" s="16" t="n">
        <v>0</v>
      </c>
      <c r="E132" s="16" t="n">
        <v>0</v>
      </c>
      <c r="F132" s="16" t="n">
        <v>100</v>
      </c>
      <c r="G132" s="16" t="n">
        <v>100</v>
      </c>
      <c r="H132" s="16">
        <f>G132-F132</f>
        <v/>
      </c>
      <c r="I132" s="14">
        <f>IF(F132=0,0,G132/F132-1)</f>
        <v/>
      </c>
    </row>
    <row r="133">
      <c r="A133" s="9" t="n"/>
      <c r="B133" s="22" t="inlineStr">
        <is>
          <t>Program 2800 Total</t>
        </is>
      </c>
      <c r="C133" s="23">
        <f>SUM(C129:C132)</f>
        <v/>
      </c>
      <c r="D133" s="23">
        <f>SUM(D129:D132)</f>
        <v/>
      </c>
      <c r="E133" s="23">
        <f>SUM(E129:E132)</f>
        <v/>
      </c>
      <c r="F133" s="23">
        <f>SUM(F129:F132)</f>
        <v/>
      </c>
      <c r="G133" s="23">
        <f>SUM(G129:G132)</f>
        <v/>
      </c>
      <c r="H133" s="23">
        <f>SUM(H129:H132)</f>
        <v/>
      </c>
      <c r="I133" s="23">
        <f>SUM(I129:I132)</f>
        <v/>
      </c>
    </row>
    <row r="134">
      <c r="A134" s="8" t="inlineStr">
        <is>
          <t>1000.2800.2160.51010.040</t>
        </is>
      </c>
      <c r="B134" s="8" t="inlineStr">
        <is>
          <t>OT Salary</t>
        </is>
      </c>
      <c r="C134" s="16" t="n">
        <v>12949.84</v>
      </c>
      <c r="D134" s="16" t="n">
        <v>11334.6</v>
      </c>
      <c r="E134" s="16" t="n">
        <v>12948</v>
      </c>
      <c r="F134" s="16" t="n">
        <v>13978</v>
      </c>
      <c r="G134" s="16" t="n">
        <v>15150</v>
      </c>
      <c r="H134" s="16">
        <f>G134-F134</f>
        <v/>
      </c>
      <c r="I134" s="14">
        <f>IF(F134=0,0,G134/F134-1)</f>
        <v/>
      </c>
    </row>
    <row r="135">
      <c r="A135" s="8" t="inlineStr">
        <is>
          <t>1000.2800.2160.52010.040</t>
        </is>
      </c>
      <c r="B135" s="8" t="inlineStr">
        <is>
          <t>OT Benefits</t>
        </is>
      </c>
      <c r="C135" s="16" t="n">
        <v>1028.77</v>
      </c>
      <c r="D135" s="16" t="n">
        <v>834.4299999999999</v>
      </c>
      <c r="E135" s="16" t="n">
        <v>950.42</v>
      </c>
      <c r="F135" s="16" t="n">
        <v>1011</v>
      </c>
      <c r="G135" s="16" t="n">
        <v>1049</v>
      </c>
      <c r="H135" s="16">
        <f>G135-F135</f>
        <v/>
      </c>
      <c r="I135" s="14">
        <f>IF(F135=0,0,G135/F135-1)</f>
        <v/>
      </c>
    </row>
    <row r="136">
      <c r="A136" s="8" t="inlineStr">
        <is>
          <t>1000.2800.2160.52310.040</t>
        </is>
      </c>
      <c r="B136" s="8" t="inlineStr">
        <is>
          <t>Retirement</t>
        </is>
      </c>
      <c r="C136" s="16" t="n">
        <v>497.38</v>
      </c>
      <c r="D136" s="16" t="n">
        <v>506.76</v>
      </c>
      <c r="E136" s="16" t="n">
        <v>576.6799999999999</v>
      </c>
      <c r="F136" s="16" t="n">
        <v>625</v>
      </c>
      <c r="G136" s="16" t="n">
        <v>677</v>
      </c>
      <c r="H136" s="16">
        <f>G136-F136</f>
        <v/>
      </c>
      <c r="I136" s="14">
        <f>IF(F136=0,0,G136/F136-1)</f>
        <v/>
      </c>
    </row>
    <row r="137">
      <c r="A137" s="8" t="inlineStr">
        <is>
          <t>1000.2800.2160.55800.040</t>
        </is>
      </c>
      <c r="B137" s="8" t="inlineStr">
        <is>
          <t>Travel</t>
        </is>
      </c>
      <c r="C137" s="16" t="n">
        <v>0</v>
      </c>
      <c r="D137" s="16" t="n">
        <v>0</v>
      </c>
      <c r="E137" s="16" t="n">
        <v>0</v>
      </c>
      <c r="F137" s="16" t="n">
        <v>50</v>
      </c>
      <c r="G137" s="16" t="n">
        <v>50</v>
      </c>
      <c r="H137" s="16">
        <f>G137-F137</f>
        <v/>
      </c>
      <c r="I137" s="14">
        <f>IF(F137=0,0,G137/F137-1)</f>
        <v/>
      </c>
    </row>
    <row r="138">
      <c r="A138" s="9" t="n"/>
      <c r="B138" s="22" t="inlineStr">
        <is>
          <t>Program 2800 Total</t>
        </is>
      </c>
      <c r="C138" s="23">
        <f>SUM(C134:C137)</f>
        <v/>
      </c>
      <c r="D138" s="23">
        <f>SUM(D134:D137)</f>
        <v/>
      </c>
      <c r="E138" s="23">
        <f>SUM(E134:E137)</f>
        <v/>
      </c>
      <c r="F138" s="23">
        <f>SUM(F134:F137)</f>
        <v/>
      </c>
      <c r="G138" s="23">
        <f>SUM(G134:G137)</f>
        <v/>
      </c>
      <c r="H138" s="23">
        <f>SUM(H134:H137)</f>
        <v/>
      </c>
      <c r="I138" s="23">
        <f>SUM(I134:I137)</f>
        <v/>
      </c>
    </row>
    <row r="139">
      <c r="A139" s="9" t="n"/>
      <c r="B139" s="12" t="inlineStr">
        <is>
          <t>Cost Center ('040',) Total</t>
        </is>
      </c>
      <c r="C139" s="26">
        <f>C120+C125+C128+C133+C138</f>
        <v/>
      </c>
      <c r="D139" s="26">
        <f>D120+D125+D128+D133+D138</f>
        <v/>
      </c>
      <c r="E139" s="26">
        <f>E120+E125+E128+E133+E138</f>
        <v/>
      </c>
      <c r="F139" s="26">
        <f>F120+F125+F128+F133+F138</f>
        <v/>
      </c>
      <c r="G139" s="26">
        <f>G120+G125+G128+G133+G138</f>
        <v/>
      </c>
      <c r="H139" s="26">
        <f>H120+H125+H128+H133+H138</f>
        <v/>
      </c>
      <c r="I139" s="26">
        <f>I120+I125+I128+I133+I138</f>
        <v/>
      </c>
    </row>
    <row r="141">
      <c r="A141" s="3" t="inlineStr">
        <is>
          <t>Cost Center: ('050',)</t>
        </is>
      </c>
    </row>
    <row r="142">
      <c r="A142" s="8" t="inlineStr">
        <is>
          <t>1000.2200.1000.51010.050</t>
        </is>
      </c>
      <c r="B142" s="8" t="inlineStr">
        <is>
          <t>Teacher Salaries</t>
        </is>
      </c>
      <c r="C142" s="16" t="n">
        <v>175876.36</v>
      </c>
      <c r="D142" s="16" t="n">
        <v>126155.66</v>
      </c>
      <c r="E142" s="16" t="n">
        <v>138530.6</v>
      </c>
      <c r="F142" s="16" t="n">
        <v>151740</v>
      </c>
      <c r="G142" s="16" t="n">
        <v>163788</v>
      </c>
      <c r="H142" s="16">
        <f>G142-F142</f>
        <v/>
      </c>
      <c r="I142" s="14">
        <f>IF(F142=0,0,G142/F142-1)</f>
        <v/>
      </c>
    </row>
    <row r="143">
      <c r="A143" s="8" t="inlineStr">
        <is>
          <t>1000.2200.1000.51020.050</t>
        </is>
      </c>
      <c r="B143" s="8" t="inlineStr">
        <is>
          <t>Ed Tech Salaries</t>
        </is>
      </c>
      <c r="C143" s="16" t="n">
        <v>121328.86</v>
      </c>
      <c r="D143" s="16" t="n">
        <v>91162.28</v>
      </c>
      <c r="E143" s="16" t="n">
        <v>61852.39</v>
      </c>
      <c r="F143" s="16" t="n">
        <v>128846</v>
      </c>
      <c r="G143" s="16" t="n">
        <v>98465</v>
      </c>
      <c r="H143" s="16">
        <f>G143-F143</f>
        <v/>
      </c>
      <c r="I143" s="14">
        <f>IF(F143=0,0,G143/F143-1)</f>
        <v/>
      </c>
    </row>
    <row r="144">
      <c r="A144" s="8" t="inlineStr">
        <is>
          <t>1000.2200.1000.52010.050</t>
        </is>
      </c>
      <c r="B144" s="8" t="inlineStr">
        <is>
          <t>Teacher Benefits</t>
        </is>
      </c>
      <c r="C144" s="16" t="n">
        <v>40677.7</v>
      </c>
      <c r="D144" s="16" t="n">
        <v>32994.39</v>
      </c>
      <c r="E144" s="16" t="n">
        <v>42153.66</v>
      </c>
      <c r="F144" s="16" t="n">
        <v>47844</v>
      </c>
      <c r="G144" s="16" t="n">
        <v>51431</v>
      </c>
      <c r="H144" s="16">
        <f>G144-F144</f>
        <v/>
      </c>
      <c r="I144" s="14">
        <f>IF(F144=0,0,G144/F144-1)</f>
        <v/>
      </c>
    </row>
    <row r="145">
      <c r="A145" s="8" t="inlineStr">
        <is>
          <t>1000.2200.1000.52020.050</t>
        </is>
      </c>
      <c r="B145" s="8" t="inlineStr">
        <is>
          <t>Ed Tech Benefits</t>
        </is>
      </c>
      <c r="C145" s="16" t="n">
        <v>21232.41</v>
      </c>
      <c r="D145" s="16" t="n">
        <v>21311.67</v>
      </c>
      <c r="E145" s="16" t="n">
        <v>21675.32</v>
      </c>
      <c r="F145" s="16" t="n">
        <v>49701</v>
      </c>
      <c r="G145" s="16" t="n">
        <v>59711</v>
      </c>
      <c r="H145" s="16">
        <f>G145-F145</f>
        <v/>
      </c>
      <c r="I145" s="14">
        <f>IF(F145=0,0,G145/F145-1)</f>
        <v/>
      </c>
    </row>
    <row r="146">
      <c r="A146" s="8" t="inlineStr">
        <is>
          <t>1000.2200.1000.52310.050</t>
        </is>
      </c>
      <c r="B146" s="8" t="inlineStr">
        <is>
          <t>Retirement</t>
        </is>
      </c>
      <c r="C146" s="16" t="n">
        <v>6753.83</v>
      </c>
      <c r="D146" s="16" t="n">
        <v>5639.06</v>
      </c>
      <c r="E146" s="16" t="n">
        <v>6168.98</v>
      </c>
      <c r="F146" s="16" t="n">
        <v>6783</v>
      </c>
      <c r="G146" s="16" t="n">
        <v>7321</v>
      </c>
      <c r="H146" s="16">
        <f>G146-F146</f>
        <v/>
      </c>
      <c r="I146" s="14">
        <f>IF(F146=0,0,G146/F146-1)</f>
        <v/>
      </c>
    </row>
    <row r="147">
      <c r="A147" s="8" t="inlineStr">
        <is>
          <t>1000.2200.1000.52320.050</t>
        </is>
      </c>
      <c r="B147" s="8" t="inlineStr">
        <is>
          <t>Retirement</t>
        </is>
      </c>
      <c r="C147" s="16" t="n">
        <v>4277.07</v>
      </c>
      <c r="D147" s="16" t="n">
        <v>3807</v>
      </c>
      <c r="E147" s="16" t="n">
        <v>2764.85</v>
      </c>
      <c r="F147" s="16" t="n">
        <v>5759</v>
      </c>
      <c r="G147" s="16" t="n">
        <v>4753</v>
      </c>
      <c r="H147" s="16">
        <f>G147-F147</f>
        <v/>
      </c>
      <c r="I147" s="14">
        <f>IF(F147=0,0,G147/F147-1)</f>
        <v/>
      </c>
    </row>
    <row r="148">
      <c r="A148" s="8" t="inlineStr">
        <is>
          <t>1000.2200.1000.56100.050</t>
        </is>
      </c>
      <c r="B148" s="8" t="inlineStr">
        <is>
          <t>Instructional Supplies</t>
        </is>
      </c>
      <c r="C148" s="16" t="n">
        <v>0</v>
      </c>
      <c r="D148" s="16" t="n">
        <v>0</v>
      </c>
      <c r="E148" s="16" t="n">
        <v>353.75</v>
      </c>
      <c r="F148" s="16" t="n">
        <v>600</v>
      </c>
      <c r="G148" s="16" t="n">
        <v>4825</v>
      </c>
      <c r="H148" s="16">
        <f>G148-F148</f>
        <v/>
      </c>
      <c r="I148" s="14">
        <f>IF(F148=0,0,G148/F148-1)</f>
        <v/>
      </c>
    </row>
    <row r="149">
      <c r="A149" s="9" t="n"/>
      <c r="B149" s="22" t="inlineStr">
        <is>
          <t>Program 2200 Total</t>
        </is>
      </c>
      <c r="C149" s="23">
        <f>SUM(C142:C148)</f>
        <v/>
      </c>
      <c r="D149" s="23">
        <f>SUM(D142:D148)</f>
        <v/>
      </c>
      <c r="E149" s="23">
        <f>SUM(E142:E148)</f>
        <v/>
      </c>
      <c r="F149" s="23">
        <f>SUM(F142:F148)</f>
        <v/>
      </c>
      <c r="G149" s="23">
        <f>SUM(G142:G148)</f>
        <v/>
      </c>
      <c r="H149" s="23">
        <f>SUM(H142:H148)</f>
        <v/>
      </c>
      <c r="I149" s="23">
        <f>SUM(I142:I148)</f>
        <v/>
      </c>
    </row>
    <row r="150">
      <c r="A150" s="8" t="inlineStr">
        <is>
          <t>1000.2300.1000.51010.050</t>
        </is>
      </c>
      <c r="B150" s="8" t="inlineStr">
        <is>
          <t>Teacher Salaries</t>
        </is>
      </c>
      <c r="C150" s="16" t="n">
        <v>70852.49000000001</v>
      </c>
      <c r="D150" s="16" t="n">
        <v>138631.65</v>
      </c>
      <c r="E150" s="16" t="n">
        <v>150857.61</v>
      </c>
      <c r="F150" s="16" t="n">
        <v>163774</v>
      </c>
      <c r="G150" s="16" t="n">
        <v>176446</v>
      </c>
      <c r="H150" s="16">
        <f>G150-F150</f>
        <v/>
      </c>
      <c r="I150" s="14">
        <f>IF(F150=0,0,G150/F150-1)</f>
        <v/>
      </c>
    </row>
    <row r="151">
      <c r="A151" s="8" t="inlineStr">
        <is>
          <t>1000.2300.1000.51020.050</t>
        </is>
      </c>
      <c r="B151" s="8" t="inlineStr">
        <is>
          <t>Ed Tech Salaries</t>
        </is>
      </c>
      <c r="C151" s="16" t="n">
        <v>176407.78</v>
      </c>
      <c r="D151" s="16" t="n">
        <v>198150.5</v>
      </c>
      <c r="E151" s="16" t="n">
        <v>166216.2</v>
      </c>
      <c r="F151" s="16" t="n">
        <v>218584</v>
      </c>
      <c r="G151" s="16" t="n">
        <v>158348</v>
      </c>
      <c r="H151" s="16">
        <f>G151-F151</f>
        <v/>
      </c>
      <c r="I151" s="14">
        <f>IF(F151=0,0,G151/F151-1)</f>
        <v/>
      </c>
    </row>
    <row r="152">
      <c r="A152" s="8" t="inlineStr">
        <is>
          <t>1000.2300.1000.52010.050</t>
        </is>
      </c>
      <c r="B152" s="8" t="inlineStr">
        <is>
          <t>Teacher Benefits</t>
        </is>
      </c>
      <c r="C152" s="16" t="n">
        <v>13709.06</v>
      </c>
      <c r="D152" s="16" t="n">
        <v>23331.81</v>
      </c>
      <c r="E152" s="16" t="n">
        <v>29831.43</v>
      </c>
      <c r="F152" s="16" t="n">
        <v>34115</v>
      </c>
      <c r="G152" s="16" t="n">
        <v>36651</v>
      </c>
      <c r="H152" s="16">
        <f>G152-F152</f>
        <v/>
      </c>
      <c r="I152" s="14">
        <f>IF(F152=0,0,G152/F152-1)</f>
        <v/>
      </c>
    </row>
    <row r="153">
      <c r="A153" s="8" t="inlineStr">
        <is>
          <t>1000.2300.1000.52020.050</t>
        </is>
      </c>
      <c r="B153" s="8" t="inlineStr">
        <is>
          <t>Ed Tech Benefits</t>
        </is>
      </c>
      <c r="C153" s="16" t="n">
        <v>26549.41</v>
      </c>
      <c r="D153" s="16" t="n">
        <v>27701.7</v>
      </c>
      <c r="E153" s="16" t="n">
        <v>38447.59</v>
      </c>
      <c r="F153" s="16" t="n">
        <v>61503</v>
      </c>
      <c r="G153" s="16" t="n">
        <v>65152</v>
      </c>
      <c r="H153" s="16">
        <f>G153-F153</f>
        <v/>
      </c>
      <c r="I153" s="14">
        <f>IF(F153=0,0,G153/F153-1)</f>
        <v/>
      </c>
    </row>
    <row r="154">
      <c r="A154" s="8" t="inlineStr">
        <is>
          <t>1000.2300.1000.52310.050</t>
        </is>
      </c>
      <c r="B154" s="8" t="inlineStr">
        <is>
          <t>Retirement</t>
        </is>
      </c>
      <c r="C154" s="16" t="n">
        <v>2711.62</v>
      </c>
      <c r="D154" s="16" t="n">
        <v>6202.22</v>
      </c>
      <c r="E154" s="16" t="n">
        <v>6717.85</v>
      </c>
      <c r="F154" s="16" t="n">
        <v>7321</v>
      </c>
      <c r="G154" s="16" t="n">
        <v>7887</v>
      </c>
      <c r="H154" s="16">
        <f>G154-F154</f>
        <v/>
      </c>
      <c r="I154" s="14">
        <f>IF(F154=0,0,G154/F154-1)</f>
        <v/>
      </c>
    </row>
    <row r="155">
      <c r="A155" s="8" t="inlineStr">
        <is>
          <t>1000.2300.1000.52320.050</t>
        </is>
      </c>
      <c r="B155" s="8" t="inlineStr">
        <is>
          <t>Retirement</t>
        </is>
      </c>
      <c r="C155" s="16" t="n">
        <v>9199</v>
      </c>
      <c r="D155" s="16" t="n">
        <v>10146.36</v>
      </c>
      <c r="E155" s="16" t="n">
        <v>7268.11</v>
      </c>
      <c r="F155" s="16" t="n">
        <v>9771</v>
      </c>
      <c r="G155" s="16" t="n">
        <v>7644</v>
      </c>
      <c r="H155" s="16">
        <f>G155-F155</f>
        <v/>
      </c>
      <c r="I155" s="14">
        <f>IF(F155=0,0,G155/F155-1)</f>
        <v/>
      </c>
    </row>
    <row r="156">
      <c r="A156" s="9" t="n"/>
      <c r="B156" s="22" t="inlineStr">
        <is>
          <t>Program 2300 Total</t>
        </is>
      </c>
      <c r="C156" s="23">
        <f>SUM(C150:C155)</f>
        <v/>
      </c>
      <c r="D156" s="23">
        <f>SUM(D150:D155)</f>
        <v/>
      </c>
      <c r="E156" s="23">
        <f>SUM(E150:E155)</f>
        <v/>
      </c>
      <c r="F156" s="23">
        <f>SUM(F150:F155)</f>
        <v/>
      </c>
      <c r="G156" s="23">
        <f>SUM(G150:G155)</f>
        <v/>
      </c>
      <c r="H156" s="23">
        <f>SUM(H150:H155)</f>
        <v/>
      </c>
      <c r="I156" s="23">
        <f>SUM(I150:I155)</f>
        <v/>
      </c>
    </row>
    <row r="157">
      <c r="A157" s="9" t="n"/>
      <c r="B157" s="24" t="inlineStr">
        <is>
          <t>Function 1000 Total</t>
        </is>
      </c>
      <c r="C157" s="25">
        <f>C149+C156</f>
        <v/>
      </c>
      <c r="D157" s="25">
        <f>D149+D156</f>
        <v/>
      </c>
      <c r="E157" s="25">
        <f>E149+E156</f>
        <v/>
      </c>
      <c r="F157" s="25">
        <f>F149+F156</f>
        <v/>
      </c>
      <c r="G157" s="25">
        <f>G149+G156</f>
        <v/>
      </c>
      <c r="H157" s="25">
        <f>H149+H156</f>
        <v/>
      </c>
      <c r="I157" s="25">
        <f>I149+I156</f>
        <v/>
      </c>
    </row>
    <row r="158">
      <c r="A158" s="8" t="inlineStr">
        <is>
          <t>1000.2800.2110.51010.050</t>
        </is>
      </c>
      <c r="B158" s="8" t="inlineStr">
        <is>
          <t>Social Worker Salary</t>
        </is>
      </c>
      <c r="C158" s="16" t="n">
        <v>81297.69</v>
      </c>
      <c r="D158" s="16" t="n">
        <v>85029.10000000001</v>
      </c>
      <c r="E158" s="16" t="n">
        <v>96992.09</v>
      </c>
      <c r="F158" s="16" t="n">
        <v>103925</v>
      </c>
      <c r="G158" s="16" t="n">
        <v>111099</v>
      </c>
      <c r="H158" s="16">
        <f>G158-F158</f>
        <v/>
      </c>
      <c r="I158" s="14">
        <f>IF(F158=0,0,G158/F158-1)</f>
        <v/>
      </c>
    </row>
    <row r="159">
      <c r="A159" s="8" t="inlineStr">
        <is>
          <t>1000.2800.2110.52010.050</t>
        </is>
      </c>
      <c r="B159" s="8" t="inlineStr">
        <is>
          <t>Social Worker Benefits</t>
        </is>
      </c>
      <c r="C159" s="16" t="n">
        <v>16048.41</v>
      </c>
      <c r="D159" s="16" t="n">
        <v>14691.16</v>
      </c>
      <c r="E159" s="16" t="n">
        <v>18735.03</v>
      </c>
      <c r="F159" s="16" t="n">
        <v>21216</v>
      </c>
      <c r="G159" s="16" t="n">
        <v>22772</v>
      </c>
      <c r="H159" s="16">
        <f>G159-F159</f>
        <v/>
      </c>
      <c r="I159" s="14">
        <f>IF(F159=0,0,G159/F159-1)</f>
        <v/>
      </c>
    </row>
    <row r="160">
      <c r="A160" s="8" t="inlineStr">
        <is>
          <t>1000.2800.2110.52310.050</t>
        </is>
      </c>
      <c r="B160" s="8" t="inlineStr">
        <is>
          <t>Retirement</t>
        </is>
      </c>
      <c r="C160" s="16" t="n">
        <v>3121.82</v>
      </c>
      <c r="D160" s="16" t="n">
        <v>3800.68</v>
      </c>
      <c r="E160" s="16" t="n">
        <v>4319.09</v>
      </c>
      <c r="F160" s="16" t="n">
        <v>4645</v>
      </c>
      <c r="G160" s="16" t="n">
        <v>4966</v>
      </c>
      <c r="H160" s="16">
        <f>G160-F160</f>
        <v/>
      </c>
      <c r="I160" s="14">
        <f>IF(F160=0,0,G160/F160-1)</f>
        <v/>
      </c>
    </row>
    <row r="161">
      <c r="A161" s="9" t="n"/>
      <c r="B161" s="22" t="inlineStr">
        <is>
          <t>Program 2800 Total</t>
        </is>
      </c>
      <c r="C161" s="23">
        <f>SUM(C158:C160)</f>
        <v/>
      </c>
      <c r="D161" s="23">
        <f>SUM(D158:D160)</f>
        <v/>
      </c>
      <c r="E161" s="23">
        <f>SUM(E158:E160)</f>
        <v/>
      </c>
      <c r="F161" s="23">
        <f>SUM(F158:F160)</f>
        <v/>
      </c>
      <c r="G161" s="23">
        <f>SUM(G158:G160)</f>
        <v/>
      </c>
      <c r="H161" s="23">
        <f>SUM(H158:H160)</f>
        <v/>
      </c>
      <c r="I161" s="23">
        <f>SUM(I158:I160)</f>
        <v/>
      </c>
    </row>
    <row r="162">
      <c r="A162" s="8" t="inlineStr">
        <is>
          <t>1000.2800.2140.53440.050</t>
        </is>
      </c>
      <c r="B162" s="8" t="inlineStr">
        <is>
          <t>Professional Services</t>
        </is>
      </c>
      <c r="C162" s="16" t="n">
        <v>0</v>
      </c>
      <c r="D162" s="16" t="n">
        <v>0</v>
      </c>
      <c r="E162" s="16" t="n">
        <v>0</v>
      </c>
      <c r="F162" s="16" t="n">
        <v>1500</v>
      </c>
      <c r="G162" s="16" t="n">
        <v>1500</v>
      </c>
      <c r="H162" s="16">
        <f>G162-F162</f>
        <v/>
      </c>
      <c r="I162" s="14">
        <f>IF(F162=0,0,G162/F162-1)</f>
        <v/>
      </c>
    </row>
    <row r="163">
      <c r="A163" s="8" t="inlineStr">
        <is>
          <t>1000.2800.2140.55800.050</t>
        </is>
      </c>
      <c r="B163" s="8" t="inlineStr">
        <is>
          <t>Travel</t>
        </is>
      </c>
      <c r="C163" s="16" t="n">
        <v>73.75</v>
      </c>
      <c r="D163" s="16" t="n">
        <v>0</v>
      </c>
      <c r="E163" s="16" t="n">
        <v>0</v>
      </c>
      <c r="F163" s="16" t="n">
        <v>267</v>
      </c>
      <c r="G163" s="16" t="n">
        <v>267</v>
      </c>
      <c r="H163" s="16">
        <f>G163-F163</f>
        <v/>
      </c>
      <c r="I163" s="14">
        <f>IF(F163=0,0,G163/F163-1)</f>
        <v/>
      </c>
    </row>
    <row r="164">
      <c r="A164" s="9" t="n"/>
      <c r="B164" s="22" t="inlineStr">
        <is>
          <t>Program 2800 Total</t>
        </is>
      </c>
      <c r="C164" s="23">
        <f>SUM(C162:C163)</f>
        <v/>
      </c>
      <c r="D164" s="23">
        <f>SUM(D162:D163)</f>
        <v/>
      </c>
      <c r="E164" s="23">
        <f>SUM(E162:E163)</f>
        <v/>
      </c>
      <c r="F164" s="23">
        <f>SUM(F162:F163)</f>
        <v/>
      </c>
      <c r="G164" s="23">
        <f>SUM(G162:G163)</f>
        <v/>
      </c>
      <c r="H164" s="23">
        <f>SUM(H162:H163)</f>
        <v/>
      </c>
      <c r="I164" s="23">
        <f>SUM(I162:I163)</f>
        <v/>
      </c>
    </row>
    <row r="165">
      <c r="A165" s="8" t="inlineStr">
        <is>
          <t>1000.2800.2150.51010.050</t>
        </is>
      </c>
      <c r="B165" s="8" t="inlineStr">
        <is>
          <t>Speech &amp; Audiology</t>
        </is>
      </c>
      <c r="C165" s="16" t="n">
        <v>41834.51</v>
      </c>
      <c r="D165" s="16" t="n">
        <v>50241.81</v>
      </c>
      <c r="E165" s="16" t="n">
        <v>43129.58</v>
      </c>
      <c r="F165" s="16" t="n">
        <v>46255</v>
      </c>
      <c r="G165" s="16" t="n">
        <v>49414</v>
      </c>
      <c r="H165" s="16">
        <f>G165-F165</f>
        <v/>
      </c>
      <c r="I165" s="14">
        <f>IF(F165=0,0,G165/F165-1)</f>
        <v/>
      </c>
    </row>
    <row r="166">
      <c r="A166" s="8" t="inlineStr">
        <is>
          <t>1000.2800.2150.52010.050</t>
        </is>
      </c>
      <c r="B166" s="8" t="inlineStr">
        <is>
          <t>Speech &amp; Audiology</t>
        </is>
      </c>
      <c r="C166" s="16" t="n">
        <v>8565.76</v>
      </c>
      <c r="D166" s="16" t="n">
        <v>9264.459999999999</v>
      </c>
      <c r="E166" s="16" t="n">
        <v>12198.46</v>
      </c>
      <c r="F166" s="16" t="n">
        <v>13076</v>
      </c>
      <c r="G166" s="16" t="n">
        <v>14027</v>
      </c>
      <c r="H166" s="16">
        <f>G166-F166</f>
        <v/>
      </c>
      <c r="I166" s="14">
        <f>IF(F166=0,0,G166/F166-1)</f>
        <v/>
      </c>
    </row>
    <row r="167">
      <c r="A167" s="8" t="inlineStr">
        <is>
          <t>1000.2800.2150.52310.050</t>
        </is>
      </c>
      <c r="B167" s="8" t="inlineStr">
        <is>
          <t>Retirement</t>
        </is>
      </c>
      <c r="C167" s="16" t="n">
        <v>1605.65</v>
      </c>
      <c r="D167" s="16" t="n">
        <v>2245.99</v>
      </c>
      <c r="E167" s="16" t="n">
        <v>1920.55</v>
      </c>
      <c r="F167" s="16" t="n">
        <v>2068</v>
      </c>
      <c r="G167" s="16" t="n">
        <v>2209</v>
      </c>
      <c r="H167" s="16">
        <f>G167-F167</f>
        <v/>
      </c>
      <c r="I167" s="14">
        <f>IF(F167=0,0,G167/F167-1)</f>
        <v/>
      </c>
    </row>
    <row r="168">
      <c r="A168" s="8" t="inlineStr">
        <is>
          <t>1000.2800.2150.55800.050</t>
        </is>
      </c>
      <c r="B168" s="8" t="inlineStr">
        <is>
          <t>Travel</t>
        </is>
      </c>
      <c r="C168" s="16" t="n">
        <v>0</v>
      </c>
      <c r="D168" s="16" t="n">
        <v>0</v>
      </c>
      <c r="E168" s="16" t="n">
        <v>189</v>
      </c>
      <c r="F168" s="16" t="n">
        <v>100</v>
      </c>
      <c r="G168" s="16" t="n">
        <v>100</v>
      </c>
      <c r="H168" s="16">
        <f>G168-F168</f>
        <v/>
      </c>
      <c r="I168" s="14">
        <f>IF(F168=0,0,G168/F168-1)</f>
        <v/>
      </c>
    </row>
    <row r="169">
      <c r="A169" s="9" t="n"/>
      <c r="B169" s="22" t="inlineStr">
        <is>
          <t>Program 2800 Total</t>
        </is>
      </c>
      <c r="C169" s="23">
        <f>SUM(C165:C168)</f>
        <v/>
      </c>
      <c r="D169" s="23">
        <f>SUM(D165:D168)</f>
        <v/>
      </c>
      <c r="E169" s="23">
        <f>SUM(E165:E168)</f>
        <v/>
      </c>
      <c r="F169" s="23">
        <f>SUM(F165:F168)</f>
        <v/>
      </c>
      <c r="G169" s="23">
        <f>SUM(G165:G168)</f>
        <v/>
      </c>
      <c r="H169" s="23">
        <f>SUM(H165:H168)</f>
        <v/>
      </c>
      <c r="I169" s="23">
        <f>SUM(I165:I168)</f>
        <v/>
      </c>
    </row>
    <row r="170">
      <c r="A170" s="8" t="inlineStr">
        <is>
          <t>1000.2800.2160.51010.050</t>
        </is>
      </c>
      <c r="B170" s="8" t="inlineStr">
        <is>
          <t>OT Salary</t>
        </is>
      </c>
      <c r="C170" s="16" t="n">
        <v>7718.32</v>
      </c>
      <c r="D170" s="16" t="n">
        <v>7828.34</v>
      </c>
      <c r="E170" s="16" t="n">
        <v>8947.9</v>
      </c>
      <c r="F170" s="16" t="n">
        <v>9601</v>
      </c>
      <c r="G170" s="16" t="n">
        <v>10253</v>
      </c>
      <c r="H170" s="16">
        <f>G170-F170</f>
        <v/>
      </c>
      <c r="I170" s="14">
        <f>IF(F170=0,0,G170/F170-1)</f>
        <v/>
      </c>
    </row>
    <row r="171">
      <c r="A171" s="8" t="inlineStr">
        <is>
          <t>1000.2800.2160.52010.050</t>
        </is>
      </c>
      <c r="B171" s="8" t="inlineStr">
        <is>
          <t>OT Benefits</t>
        </is>
      </c>
      <c r="C171" s="16" t="n">
        <v>1713.62</v>
      </c>
      <c r="D171" s="16" t="n">
        <v>1757.96</v>
      </c>
      <c r="E171" s="16" t="n">
        <v>2152.62</v>
      </c>
      <c r="F171" s="16" t="n">
        <v>2617</v>
      </c>
      <c r="G171" s="16" t="n">
        <v>2783</v>
      </c>
      <c r="H171" s="16">
        <f>G171-F171</f>
        <v/>
      </c>
      <c r="I171" s="14">
        <f>IF(F171=0,0,G171/F171-1)</f>
        <v/>
      </c>
    </row>
    <row r="172">
      <c r="A172" s="8" t="inlineStr">
        <is>
          <t>1000.2800.2160.52310.050</t>
        </is>
      </c>
      <c r="B172" s="8" t="inlineStr">
        <is>
          <t>Retirement</t>
        </is>
      </c>
      <c r="C172" s="16" t="n">
        <v>296.6</v>
      </c>
      <c r="D172" s="16" t="n">
        <v>349.96</v>
      </c>
      <c r="E172" s="16" t="n">
        <v>398.4</v>
      </c>
      <c r="F172" s="16" t="n">
        <v>429</v>
      </c>
      <c r="G172" s="16" t="n">
        <v>458</v>
      </c>
      <c r="H172" s="16">
        <f>G172-F172</f>
        <v/>
      </c>
      <c r="I172" s="14">
        <f>IF(F172=0,0,G172/F172-1)</f>
        <v/>
      </c>
    </row>
    <row r="173">
      <c r="A173" s="8" t="inlineStr">
        <is>
          <t>1000.2800.2160.55800.050</t>
        </is>
      </c>
      <c r="B173" s="8" t="inlineStr">
        <is>
          <t>Travel</t>
        </is>
      </c>
      <c r="C173" s="16" t="n">
        <v>0</v>
      </c>
      <c r="D173" s="16" t="n">
        <v>0</v>
      </c>
      <c r="E173" s="16" t="n">
        <v>0</v>
      </c>
      <c r="F173" s="16" t="n">
        <v>50</v>
      </c>
      <c r="G173" s="16" t="n">
        <v>50</v>
      </c>
      <c r="H173" s="16">
        <f>G173-F173</f>
        <v/>
      </c>
      <c r="I173" s="14">
        <f>IF(F173=0,0,G173/F173-1)</f>
        <v/>
      </c>
    </row>
    <row r="174">
      <c r="A174" s="9" t="n"/>
      <c r="B174" s="22" t="inlineStr">
        <is>
          <t>Program 2800 Total</t>
        </is>
      </c>
      <c r="C174" s="23">
        <f>SUM(C170:C173)</f>
        <v/>
      </c>
      <c r="D174" s="23">
        <f>SUM(D170:D173)</f>
        <v/>
      </c>
      <c r="E174" s="23">
        <f>SUM(E170:E173)</f>
        <v/>
      </c>
      <c r="F174" s="23">
        <f>SUM(F170:F173)</f>
        <v/>
      </c>
      <c r="G174" s="23">
        <f>SUM(G170:G173)</f>
        <v/>
      </c>
      <c r="H174" s="23">
        <f>SUM(H170:H173)</f>
        <v/>
      </c>
      <c r="I174" s="23">
        <f>SUM(I170:I173)</f>
        <v/>
      </c>
    </row>
    <row r="175">
      <c r="A175" s="9" t="n"/>
      <c r="B175" s="12" t="inlineStr">
        <is>
          <t>Cost Center ('050',) Total</t>
        </is>
      </c>
      <c r="C175" s="26">
        <f>C157+C161+C164+C169+C174</f>
        <v/>
      </c>
      <c r="D175" s="26">
        <f>D157+D161+D164+D169+D174</f>
        <v/>
      </c>
      <c r="E175" s="26">
        <f>E157+E161+E164+E169+E174</f>
        <v/>
      </c>
      <c r="F175" s="26">
        <f>F157+F161+F164+F169+F174</f>
        <v/>
      </c>
      <c r="G175" s="26">
        <f>G157+G161+G164+G169+G174</f>
        <v/>
      </c>
      <c r="H175" s="26">
        <f>H157+H161+H164+H169+H174</f>
        <v/>
      </c>
      <c r="I175" s="26">
        <f>I157+I161+I164+I169+I174</f>
        <v/>
      </c>
    </row>
    <row r="177">
      <c r="A177" s="3" t="inlineStr">
        <is>
          <t>Cost Center: ('300',)</t>
        </is>
      </c>
    </row>
    <row r="178">
      <c r="A178" s="8" t="inlineStr">
        <is>
          <t>1000.2100.1000.51210.300</t>
        </is>
      </c>
      <c r="B178" s="8" t="inlineStr">
        <is>
          <t>Tutor Salaries/ESY</t>
        </is>
      </c>
      <c r="C178" s="16" t="n">
        <v>471</v>
      </c>
      <c r="D178" s="16" t="n">
        <v>0</v>
      </c>
      <c r="E178" s="16" t="n">
        <v>0</v>
      </c>
      <c r="F178" s="16" t="n">
        <v>14426</v>
      </c>
      <c r="G178" s="16" t="n">
        <v>0</v>
      </c>
      <c r="H178" s="16">
        <f>G178-F178</f>
        <v/>
      </c>
      <c r="I178" s="14">
        <f>IF(F178=0,0,G178/F178-1)</f>
        <v/>
      </c>
    </row>
    <row r="179">
      <c r="A179" s="8" t="inlineStr">
        <is>
          <t>1000.2100.1000.52010.300</t>
        </is>
      </c>
      <c r="B179" s="8" t="inlineStr">
        <is>
          <t>Benefits</t>
        </is>
      </c>
      <c r="C179" s="16" t="n">
        <v>29.69</v>
      </c>
      <c r="D179" s="16" t="n">
        <v>0</v>
      </c>
      <c r="E179" s="16" t="n">
        <v>0</v>
      </c>
      <c r="F179" s="16" t="n">
        <v>645</v>
      </c>
      <c r="G179" s="16" t="n">
        <v>0</v>
      </c>
      <c r="H179" s="16">
        <f>G179-F179</f>
        <v/>
      </c>
      <c r="I179" s="14">
        <f>IF(F179=0,0,G179/F179-1)</f>
        <v/>
      </c>
    </row>
    <row r="180">
      <c r="A180" s="8" t="inlineStr">
        <is>
          <t>1000.2100.1000.52310.300</t>
        </is>
      </c>
      <c r="B180" s="8" t="inlineStr">
        <is>
          <t>Retirement</t>
        </is>
      </c>
      <c r="C180" s="16" t="n">
        <v>56.44</v>
      </c>
      <c r="D180" s="16" t="n">
        <v>0</v>
      </c>
      <c r="E180" s="16" t="n">
        <v>0</v>
      </c>
      <c r="F180" s="16" t="n">
        <v>485</v>
      </c>
      <c r="G180" s="16" t="n">
        <v>0</v>
      </c>
      <c r="H180" s="16">
        <f>G180-F180</f>
        <v/>
      </c>
      <c r="I180" s="14">
        <f>IF(F180=0,0,G180/F180-1)</f>
        <v/>
      </c>
    </row>
    <row r="181">
      <c r="A181" s="8" t="inlineStr">
        <is>
          <t>1000.2100.1000.53440.300</t>
        </is>
      </c>
      <c r="B181" s="8" t="inlineStr">
        <is>
          <t>Purchased Professional</t>
        </is>
      </c>
      <c r="C181" s="16" t="n">
        <v>610</v>
      </c>
      <c r="D181" s="16" t="n">
        <v>1065</v>
      </c>
      <c r="E181" s="16" t="n">
        <v>1715</v>
      </c>
      <c r="F181" s="16" t="n">
        <v>1250</v>
      </c>
      <c r="G181" s="16" t="n">
        <v>0</v>
      </c>
      <c r="H181" s="16">
        <f>G181-F181</f>
        <v/>
      </c>
      <c r="I181" s="14">
        <f>IF(F181=0,0,G181/F181-1)</f>
        <v/>
      </c>
    </row>
    <row r="182">
      <c r="A182" s="9" t="n"/>
      <c r="B182" s="22" t="inlineStr">
        <is>
          <t>Program 2100 Total</t>
        </is>
      </c>
      <c r="C182" s="23">
        <f>SUM(C178:C181)</f>
        <v/>
      </c>
      <c r="D182" s="23">
        <f>SUM(D178:D181)</f>
        <v/>
      </c>
      <c r="E182" s="23">
        <f>SUM(E178:E181)</f>
        <v/>
      </c>
      <c r="F182" s="23">
        <f>SUM(F178:F181)</f>
        <v/>
      </c>
      <c r="G182" s="23">
        <f>SUM(G178:G181)</f>
        <v/>
      </c>
      <c r="H182" s="23">
        <f>SUM(H178:H181)</f>
        <v/>
      </c>
      <c r="I182" s="23">
        <f>SUM(I178:I181)</f>
        <v/>
      </c>
    </row>
    <row r="183">
      <c r="A183" s="8" t="inlineStr">
        <is>
          <t>1000.2200.1000.51010.300</t>
        </is>
      </c>
      <c r="B183" s="8" t="inlineStr">
        <is>
          <t>Teacher Salaries</t>
        </is>
      </c>
      <c r="C183" s="16" t="n">
        <v>146732.73</v>
      </c>
      <c r="D183" s="16" t="n">
        <v>166464.73</v>
      </c>
      <c r="E183" s="16" t="n">
        <v>223046.42</v>
      </c>
      <c r="F183" s="16" t="n">
        <v>142284</v>
      </c>
      <c r="G183" s="16" t="n">
        <v>157245</v>
      </c>
      <c r="H183" s="16">
        <f>G183-F183</f>
        <v/>
      </c>
      <c r="I183" s="14">
        <f>IF(F183=0,0,G183/F183-1)</f>
        <v/>
      </c>
    </row>
    <row r="184">
      <c r="A184" s="8" t="inlineStr">
        <is>
          <t>1000.2200.1000.51020.300</t>
        </is>
      </c>
      <c r="B184" s="8" t="inlineStr">
        <is>
          <t>Ed Tech Salaries</t>
        </is>
      </c>
      <c r="C184" s="16" t="n">
        <v>48180.49</v>
      </c>
      <c r="D184" s="16" t="n">
        <v>9984.74</v>
      </c>
      <c r="E184" s="16" t="n">
        <v>0</v>
      </c>
      <c r="F184" s="16" t="n">
        <v>67590</v>
      </c>
      <c r="G184" s="16" t="n">
        <v>47309</v>
      </c>
      <c r="H184" s="16">
        <f>G184-F184</f>
        <v/>
      </c>
      <c r="I184" s="14">
        <f>IF(F184=0,0,G184/F184-1)</f>
        <v/>
      </c>
    </row>
    <row r="185">
      <c r="A185" s="8" t="inlineStr">
        <is>
          <t>1000.2200.1000.51210.300</t>
        </is>
      </c>
      <c r="B185" s="8" t="inlineStr">
        <is>
          <t>Tutor Wages</t>
        </is>
      </c>
      <c r="C185" s="16" t="n">
        <v>0</v>
      </c>
      <c r="D185" s="16" t="n">
        <v>480</v>
      </c>
      <c r="E185" s="16" t="n">
        <v>270</v>
      </c>
      <c r="F185" s="16" t="n">
        <v>0</v>
      </c>
      <c r="G185" s="16" t="n">
        <v>0</v>
      </c>
      <c r="H185" s="16">
        <f>G185-F185</f>
        <v/>
      </c>
      <c r="I185" s="14">
        <f>IF(F185=0,0,G185/F185-1)</f>
        <v/>
      </c>
    </row>
    <row r="186">
      <c r="A186" s="8" t="inlineStr">
        <is>
          <t>1000.2200.1000.52010.300</t>
        </is>
      </c>
      <c r="B186" s="8" t="inlineStr">
        <is>
          <t>Teacher Benefits</t>
        </is>
      </c>
      <c r="C186" s="16" t="n">
        <v>36941.79</v>
      </c>
      <c r="D186" s="16" t="n">
        <v>39433.94</v>
      </c>
      <c r="E186" s="16" t="n">
        <v>66676.12</v>
      </c>
      <c r="F186" s="16" t="n">
        <v>40645</v>
      </c>
      <c r="G186" s="16" t="n">
        <v>43804</v>
      </c>
      <c r="H186" s="16">
        <f>G186-F186</f>
        <v/>
      </c>
      <c r="I186" s="14">
        <f>IF(F186=0,0,G186/F186-1)</f>
        <v/>
      </c>
    </row>
    <row r="187">
      <c r="A187" s="8" t="inlineStr">
        <is>
          <t>1000.2200.1000.52020.300</t>
        </is>
      </c>
      <c r="B187" s="8" t="inlineStr">
        <is>
          <t>Ed Tech Benefits</t>
        </is>
      </c>
      <c r="C187" s="16" t="n">
        <v>18522.68</v>
      </c>
      <c r="D187" s="16" t="n">
        <v>1730.84</v>
      </c>
      <c r="E187" s="16" t="n">
        <v>0</v>
      </c>
      <c r="F187" s="16" t="n">
        <v>26609</v>
      </c>
      <c r="G187" s="16" t="n">
        <v>20839</v>
      </c>
      <c r="H187" s="16">
        <f>G187-F187</f>
        <v/>
      </c>
      <c r="I187" s="14">
        <f>IF(F187=0,0,G187/F187-1)</f>
        <v/>
      </c>
    </row>
    <row r="188">
      <c r="A188" s="8" t="inlineStr">
        <is>
          <t>1000.2200.1000.52310.300</t>
        </is>
      </c>
      <c r="B188" s="8" t="inlineStr">
        <is>
          <t>Retirement</t>
        </is>
      </c>
      <c r="C188" s="16" t="n">
        <v>5634.71</v>
      </c>
      <c r="D188" s="16" t="n">
        <v>6905.69</v>
      </c>
      <c r="E188" s="16" t="n">
        <v>9935.48</v>
      </c>
      <c r="F188" s="16" t="n">
        <v>6360</v>
      </c>
      <c r="G188" s="16" t="n">
        <v>7029</v>
      </c>
      <c r="H188" s="16">
        <f>G188-F188</f>
        <v/>
      </c>
      <c r="I188" s="14">
        <f>IF(F188=0,0,G188/F188-1)</f>
        <v/>
      </c>
    </row>
    <row r="189">
      <c r="A189" s="8" t="inlineStr">
        <is>
          <t>1000.2200.1000.52320.300</t>
        </is>
      </c>
      <c r="B189" s="8" t="inlineStr">
        <is>
          <t>Retirement</t>
        </is>
      </c>
      <c r="C189" s="16" t="n">
        <v>1855.16</v>
      </c>
      <c r="D189" s="16" t="n">
        <v>175.73</v>
      </c>
      <c r="E189" s="16" t="n">
        <v>0</v>
      </c>
      <c r="F189" s="16" t="n">
        <v>3021</v>
      </c>
      <c r="G189" s="16" t="n">
        <v>2284</v>
      </c>
      <c r="H189" s="16">
        <f>G189-F189</f>
        <v/>
      </c>
      <c r="I189" s="14">
        <f>IF(F189=0,0,G189/F189-1)</f>
        <v/>
      </c>
    </row>
    <row r="190">
      <c r="A190" s="8" t="inlineStr">
        <is>
          <t>1000.2200.1000.56100.300</t>
        </is>
      </c>
      <c r="B190" s="8" t="inlineStr">
        <is>
          <t>Instructional Supplies</t>
        </is>
      </c>
      <c r="C190" s="16" t="n">
        <v>0</v>
      </c>
      <c r="D190" s="16" t="n">
        <v>0</v>
      </c>
      <c r="E190" s="16" t="n">
        <v>551.5</v>
      </c>
      <c r="F190" s="16" t="n">
        <v>600</v>
      </c>
      <c r="G190" s="16" t="n">
        <v>4825</v>
      </c>
      <c r="H190" s="16">
        <f>G190-F190</f>
        <v/>
      </c>
      <c r="I190" s="14">
        <f>IF(F190=0,0,G190/F190-1)</f>
        <v/>
      </c>
    </row>
    <row r="191">
      <c r="A191" s="9" t="n"/>
      <c r="B191" s="22" t="inlineStr">
        <is>
          <t>Program 2200 Total</t>
        </is>
      </c>
      <c r="C191" s="23">
        <f>SUM(C183:C190)</f>
        <v/>
      </c>
      <c r="D191" s="23">
        <f>SUM(D183:D190)</f>
        <v/>
      </c>
      <c r="E191" s="23">
        <f>SUM(E183:E190)</f>
        <v/>
      </c>
      <c r="F191" s="23">
        <f>SUM(F183:F190)</f>
        <v/>
      </c>
      <c r="G191" s="23">
        <f>SUM(G183:G190)</f>
        <v/>
      </c>
      <c r="H191" s="23">
        <f>SUM(H183:H190)</f>
        <v/>
      </c>
      <c r="I191" s="23">
        <f>SUM(I183:I190)</f>
        <v/>
      </c>
    </row>
    <row r="192">
      <c r="A192" s="8" t="inlineStr">
        <is>
          <t>1000.2300.1000.51010.300</t>
        </is>
      </c>
      <c r="B192" s="8" t="inlineStr">
        <is>
          <t>Teacher Salaries</t>
        </is>
      </c>
      <c r="C192" s="16" t="n">
        <v>142287.71</v>
      </c>
      <c r="D192" s="16" t="n">
        <v>121189.6</v>
      </c>
      <c r="E192" s="16" t="n">
        <v>72584.23</v>
      </c>
      <c r="F192" s="16" t="n">
        <v>175562</v>
      </c>
      <c r="G192" s="16" t="n">
        <v>254684</v>
      </c>
      <c r="H192" s="16">
        <f>G192-F192</f>
        <v/>
      </c>
      <c r="I192" s="14">
        <f>IF(F192=0,0,G192/F192-1)</f>
        <v/>
      </c>
    </row>
    <row r="193">
      <c r="A193" s="8" t="inlineStr">
        <is>
          <t>1000.2300.1000.51020.300</t>
        </is>
      </c>
      <c r="B193" s="8" t="inlineStr">
        <is>
          <t>Ed Tech Salaries</t>
        </is>
      </c>
      <c r="C193" s="16" t="n">
        <v>68262.27</v>
      </c>
      <c r="D193" s="16" t="n">
        <v>112043.65</v>
      </c>
      <c r="E193" s="16" t="n">
        <v>116964.42</v>
      </c>
      <c r="F193" s="16" t="n">
        <v>127282</v>
      </c>
      <c r="G193" s="16" t="n">
        <v>121682</v>
      </c>
      <c r="H193" s="16">
        <f>G193-F193</f>
        <v/>
      </c>
      <c r="I193" s="14">
        <f>IF(F193=0,0,G193/F193-1)</f>
        <v/>
      </c>
    </row>
    <row r="194">
      <c r="A194" s="8" t="inlineStr">
        <is>
          <t>1000.2300.1000.52010.300</t>
        </is>
      </c>
      <c r="B194" s="8" t="inlineStr">
        <is>
          <t>Teacher Benefits</t>
        </is>
      </c>
      <c r="C194" s="16" t="n">
        <v>24506.18</v>
      </c>
      <c r="D194" s="16" t="n">
        <v>18953.93</v>
      </c>
      <c r="E194" s="16" t="n">
        <v>35146.66</v>
      </c>
      <c r="F194" s="16" t="n">
        <v>41720</v>
      </c>
      <c r="G194" s="16" t="n">
        <v>73908</v>
      </c>
      <c r="H194" s="16">
        <f>G194-F194</f>
        <v/>
      </c>
      <c r="I194" s="14">
        <f>IF(F194=0,0,G194/F194-1)</f>
        <v/>
      </c>
    </row>
    <row r="195">
      <c r="A195" s="8" t="inlineStr">
        <is>
          <t>1000.2300.1000.52020.300</t>
        </is>
      </c>
      <c r="B195" s="8" t="inlineStr">
        <is>
          <t>Ed Tech Benefits</t>
        </is>
      </c>
      <c r="C195" s="16" t="n">
        <v>18768.2</v>
      </c>
      <c r="D195" s="16" t="n">
        <v>26018.91</v>
      </c>
      <c r="E195" s="16" t="n">
        <v>19626.17</v>
      </c>
      <c r="F195" s="16" t="n">
        <v>49863</v>
      </c>
      <c r="G195" s="16" t="n">
        <v>64455</v>
      </c>
      <c r="H195" s="16">
        <f>G195-F195</f>
        <v/>
      </c>
      <c r="I195" s="14">
        <f>IF(F195=0,0,G195/F195-1)</f>
        <v/>
      </c>
    </row>
    <row r="196">
      <c r="A196" s="8" t="inlineStr">
        <is>
          <t>1000.2300.1000.52310.300</t>
        </is>
      </c>
      <c r="B196" s="8" t="inlineStr">
        <is>
          <t>Retirement</t>
        </is>
      </c>
      <c r="C196" s="16" t="n">
        <v>5463.87</v>
      </c>
      <c r="D196" s="16" t="n">
        <v>5289.75</v>
      </c>
      <c r="E196" s="16" t="n">
        <v>3232.24</v>
      </c>
      <c r="F196" s="16" t="n">
        <v>7848</v>
      </c>
      <c r="G196" s="16" t="n">
        <v>11384</v>
      </c>
      <c r="H196" s="16">
        <f>G196-F196</f>
        <v/>
      </c>
      <c r="I196" s="14">
        <f>IF(F196=0,0,G196/F196-1)</f>
        <v/>
      </c>
    </row>
    <row r="197">
      <c r="A197" s="8" t="inlineStr">
        <is>
          <t>1000.2300.1000.52320.300</t>
        </is>
      </c>
      <c r="B197" s="8" t="inlineStr">
        <is>
          <t>Retirement</t>
        </is>
      </c>
      <c r="C197" s="16" t="n">
        <v>1513.9</v>
      </c>
      <c r="D197" s="16" t="n">
        <v>4596.97</v>
      </c>
      <c r="E197" s="16" t="n">
        <v>4900.51</v>
      </c>
      <c r="F197" s="16" t="n">
        <v>5689</v>
      </c>
      <c r="G197" s="16" t="n">
        <v>5874</v>
      </c>
      <c r="H197" s="16">
        <f>G197-F197</f>
        <v/>
      </c>
      <c r="I197" s="14">
        <f>IF(F197=0,0,G197/F197-1)</f>
        <v/>
      </c>
    </row>
    <row r="198">
      <c r="A198" s="8" t="inlineStr">
        <is>
          <t>1000.2300.1000.56100.300</t>
        </is>
      </c>
      <c r="B198" s="8" t="inlineStr">
        <is>
          <t>Instructional Supplies</t>
        </is>
      </c>
      <c r="C198" s="16" t="n">
        <v>0</v>
      </c>
      <c r="D198" s="16" t="n">
        <v>438.38</v>
      </c>
      <c r="E198" s="16" t="n">
        <v>1.15</v>
      </c>
      <c r="F198" s="16" t="n">
        <v>0</v>
      </c>
      <c r="G198" s="16" t="n">
        <v>0</v>
      </c>
      <c r="H198" s="16">
        <f>G198-F198</f>
        <v/>
      </c>
      <c r="I198" s="14">
        <f>IF(F198=0,0,G198/F198-1)</f>
        <v/>
      </c>
    </row>
    <row r="199">
      <c r="A199" s="9" t="n"/>
      <c r="B199" s="22" t="inlineStr">
        <is>
          <t>Program 2300 Total</t>
        </is>
      </c>
      <c r="C199" s="23">
        <f>SUM(C192:C198)</f>
        <v/>
      </c>
      <c r="D199" s="23">
        <f>SUM(D192:D198)</f>
        <v/>
      </c>
      <c r="E199" s="23">
        <f>SUM(E192:E198)</f>
        <v/>
      </c>
      <c r="F199" s="23">
        <f>SUM(F192:F198)</f>
        <v/>
      </c>
      <c r="G199" s="23">
        <f>SUM(G192:G198)</f>
        <v/>
      </c>
      <c r="H199" s="23">
        <f>SUM(H192:H198)</f>
        <v/>
      </c>
      <c r="I199" s="23">
        <f>SUM(I192:I198)</f>
        <v/>
      </c>
    </row>
    <row r="200">
      <c r="A200" s="8" t="inlineStr">
        <is>
          <t>1000.2810.1000.51010.300</t>
        </is>
      </c>
      <c r="B200" s="8" t="inlineStr">
        <is>
          <t>Summer School Teacher</t>
        </is>
      </c>
      <c r="C200" s="16" t="n">
        <v>0</v>
      </c>
      <c r="D200" s="16" t="n">
        <v>0</v>
      </c>
      <c r="E200" s="16" t="n">
        <v>0</v>
      </c>
      <c r="F200" s="16" t="n">
        <v>0</v>
      </c>
      <c r="G200" s="16" t="n">
        <v>5720</v>
      </c>
      <c r="H200" s="16">
        <f>G200-F200</f>
        <v/>
      </c>
      <c r="I200" s="14">
        <f>IF(F200=0,0,G200/F200-1)</f>
        <v/>
      </c>
    </row>
    <row r="201">
      <c r="A201" s="8" t="inlineStr">
        <is>
          <t>1000.2810.1000.51020.300</t>
        </is>
      </c>
      <c r="B201" s="8" t="inlineStr">
        <is>
          <t>Summer School Ed Tech</t>
        </is>
      </c>
      <c r="C201" s="16" t="n">
        <v>0</v>
      </c>
      <c r="D201" s="16" t="n">
        <v>0</v>
      </c>
      <c r="E201" s="16" t="n">
        <v>0</v>
      </c>
      <c r="F201" s="16" t="n">
        <v>0</v>
      </c>
      <c r="G201" s="16" t="n">
        <v>4800</v>
      </c>
      <c r="H201" s="16">
        <f>G201-F201</f>
        <v/>
      </c>
      <c r="I201" s="14">
        <f>IF(F201=0,0,G201/F201-1)</f>
        <v/>
      </c>
    </row>
    <row r="202">
      <c r="A202" s="8" t="inlineStr">
        <is>
          <t>1000.2810.1000.52010.300</t>
        </is>
      </c>
      <c r="B202" s="8" t="inlineStr">
        <is>
          <t>Summer School Teacher</t>
        </is>
      </c>
      <c r="C202" s="16" t="n">
        <v>0</v>
      </c>
      <c r="D202" s="16" t="n">
        <v>0</v>
      </c>
      <c r="E202" s="16" t="n">
        <v>0</v>
      </c>
      <c r="F202" s="16" t="n">
        <v>0</v>
      </c>
      <c r="G202" s="16" t="n">
        <v>593</v>
      </c>
      <c r="H202" s="16">
        <f>G202-F202</f>
        <v/>
      </c>
      <c r="I202" s="14">
        <f>IF(F202=0,0,G202/F202-1)</f>
        <v/>
      </c>
    </row>
    <row r="203">
      <c r="A203" s="8" t="inlineStr">
        <is>
          <t>1000.2810.1000.52020.300</t>
        </is>
      </c>
      <c r="B203" s="8" t="inlineStr">
        <is>
          <t>Summer School Ed Tech</t>
        </is>
      </c>
      <c r="C203" s="16" t="n">
        <v>0</v>
      </c>
      <c r="D203" s="16" t="n">
        <v>0</v>
      </c>
      <c r="E203" s="16" t="n">
        <v>0</v>
      </c>
      <c r="F203" s="16" t="n">
        <v>0</v>
      </c>
      <c r="G203" s="16" t="n">
        <v>497</v>
      </c>
      <c r="H203" s="16">
        <f>G203-F203</f>
        <v/>
      </c>
      <c r="I203" s="14">
        <f>IF(F203=0,0,G203/F203-1)</f>
        <v/>
      </c>
    </row>
    <row r="204">
      <c r="A204" s="8" t="inlineStr">
        <is>
          <t>1000.2810.1000.52310.300</t>
        </is>
      </c>
      <c r="B204" s="8" t="inlineStr">
        <is>
          <t>Summer School Teacher</t>
        </is>
      </c>
      <c r="C204" s="16" t="n">
        <v>0</v>
      </c>
      <c r="D204" s="16" t="n">
        <v>0</v>
      </c>
      <c r="E204" s="16" t="n">
        <v>0</v>
      </c>
      <c r="F204" s="16" t="n">
        <v>0</v>
      </c>
      <c r="G204" s="16" t="n">
        <v>256</v>
      </c>
      <c r="H204" s="16">
        <f>G204-F204</f>
        <v/>
      </c>
      <c r="I204" s="14">
        <f>IF(F204=0,0,G204/F204-1)</f>
        <v/>
      </c>
    </row>
    <row r="205">
      <c r="A205" s="8" t="inlineStr">
        <is>
          <t>1000.2810.1000.52320.300</t>
        </is>
      </c>
      <c r="B205" s="8" t="inlineStr">
        <is>
          <t>Summer School Ed Tech</t>
        </is>
      </c>
      <c r="C205" s="16" t="n">
        <v>0</v>
      </c>
      <c r="D205" s="16" t="n">
        <v>0</v>
      </c>
      <c r="E205" s="16" t="n">
        <v>0</v>
      </c>
      <c r="F205" s="16" t="n">
        <v>0</v>
      </c>
      <c r="G205" s="16" t="n">
        <v>215</v>
      </c>
      <c r="H205" s="16">
        <f>G205-F205</f>
        <v/>
      </c>
      <c r="I205" s="14">
        <f>IF(F205=0,0,G205/F205-1)</f>
        <v/>
      </c>
    </row>
    <row r="206">
      <c r="A206" s="8" t="inlineStr">
        <is>
          <t>1000.2810.1000.56100.300</t>
        </is>
      </c>
      <c r="B206" s="8" t="inlineStr">
        <is>
          <t>Summer School Supplies</t>
        </is>
      </c>
      <c r="C206" s="16" t="n">
        <v>0</v>
      </c>
      <c r="D206" s="16" t="n">
        <v>0</v>
      </c>
      <c r="E206" s="16" t="n">
        <v>0</v>
      </c>
      <c r="F206" s="16" t="n">
        <v>0</v>
      </c>
      <c r="G206" s="16" t="n">
        <v>50</v>
      </c>
      <c r="H206" s="16">
        <f>G206-F206</f>
        <v/>
      </c>
      <c r="I206" s="14">
        <f>IF(F206=0,0,G206/F206-1)</f>
        <v/>
      </c>
    </row>
    <row r="207">
      <c r="A207" s="9" t="n"/>
      <c r="B207" s="22" t="inlineStr">
        <is>
          <t>Program 2810 Total</t>
        </is>
      </c>
      <c r="C207" s="23">
        <f>SUM(C200:C206)</f>
        <v/>
      </c>
      <c r="D207" s="23">
        <f>SUM(D200:D206)</f>
        <v/>
      </c>
      <c r="E207" s="23">
        <f>SUM(E200:E206)</f>
        <v/>
      </c>
      <c r="F207" s="23">
        <f>SUM(F200:F206)</f>
        <v/>
      </c>
      <c r="G207" s="23">
        <f>SUM(G200:G206)</f>
        <v/>
      </c>
      <c r="H207" s="23">
        <f>SUM(H200:H206)</f>
        <v/>
      </c>
      <c r="I207" s="23">
        <f>SUM(I200:I206)</f>
        <v/>
      </c>
    </row>
    <row r="208">
      <c r="A208" s="9" t="n"/>
      <c r="B208" s="24" t="inlineStr">
        <is>
          <t>Function 1000 Total</t>
        </is>
      </c>
      <c r="C208" s="25">
        <f>C182+C191+C199+C207</f>
        <v/>
      </c>
      <c r="D208" s="25">
        <f>D182+D191+D199+D207</f>
        <v/>
      </c>
      <c r="E208" s="25">
        <f>E182+E191+E199+E207</f>
        <v/>
      </c>
      <c r="F208" s="25">
        <f>F182+F191+F199+F207</f>
        <v/>
      </c>
      <c r="G208" s="25">
        <f>G182+G191+G199+G207</f>
        <v/>
      </c>
      <c r="H208" s="25">
        <f>H182+H191+H199+H207</f>
        <v/>
      </c>
      <c r="I208" s="25">
        <f>I182+I191+I199+I207</f>
        <v/>
      </c>
    </row>
    <row r="209">
      <c r="A209" s="8" t="inlineStr">
        <is>
          <t>1000.2800.2110.51010.300</t>
        </is>
      </c>
      <c r="B209" s="8" t="inlineStr">
        <is>
          <t>Social Worker Salary</t>
        </is>
      </c>
      <c r="C209" s="16" t="n">
        <v>59514.93</v>
      </c>
      <c r="D209" s="16" t="n">
        <v>63611.45</v>
      </c>
      <c r="E209" s="16" t="n">
        <v>73561.09</v>
      </c>
      <c r="F209" s="16" t="n">
        <v>80192</v>
      </c>
      <c r="G209" s="16" t="n">
        <v>87121</v>
      </c>
      <c r="H209" s="16">
        <f>G209-F209</f>
        <v/>
      </c>
      <c r="I209" s="14">
        <f>IF(F209=0,0,G209/F209-1)</f>
        <v/>
      </c>
    </row>
    <row r="210">
      <c r="A210" s="8" t="inlineStr">
        <is>
          <t>1000.2800.2110.52010.300</t>
        </is>
      </c>
      <c r="B210" s="8" t="inlineStr">
        <is>
          <t>Social Worker Benefits</t>
        </is>
      </c>
      <c r="C210" s="16" t="n">
        <v>8664.59</v>
      </c>
      <c r="D210" s="16" t="n">
        <v>8856.01</v>
      </c>
      <c r="E210" s="16" t="n">
        <v>11364.97</v>
      </c>
      <c r="F210" s="16" t="n">
        <v>12977</v>
      </c>
      <c r="G210" s="16" t="n">
        <v>13989</v>
      </c>
      <c r="H210" s="16">
        <f>G210-F210</f>
        <v/>
      </c>
      <c r="I210" s="14">
        <f>IF(F210=0,0,G210/F210-1)</f>
        <v/>
      </c>
    </row>
    <row r="211">
      <c r="A211" s="8" t="inlineStr">
        <is>
          <t>1000.2800.2110.52310.300</t>
        </is>
      </c>
      <c r="B211" s="8" t="inlineStr">
        <is>
          <t>Retirement</t>
        </is>
      </c>
      <c r="C211" s="16" t="n">
        <v>2280.2</v>
      </c>
      <c r="D211" s="16" t="n">
        <v>2722.94</v>
      </c>
      <c r="E211" s="16" t="n">
        <v>3275.75</v>
      </c>
      <c r="F211" s="16" t="n">
        <v>3585</v>
      </c>
      <c r="G211" s="16" t="n">
        <v>3894</v>
      </c>
      <c r="H211" s="16">
        <f>G211-F211</f>
        <v/>
      </c>
      <c r="I211" s="14">
        <f>IF(F211=0,0,G211/F211-1)</f>
        <v/>
      </c>
    </row>
    <row r="212">
      <c r="A212" s="8" t="inlineStr">
        <is>
          <t>1000.2800.2110.53440.300</t>
        </is>
      </c>
      <c r="B212" s="8" t="inlineStr">
        <is>
          <t>Professional Services</t>
        </is>
      </c>
      <c r="C212" s="16" t="n">
        <v>0</v>
      </c>
      <c r="D212" s="16" t="n">
        <v>562.5</v>
      </c>
      <c r="E212" s="16" t="n">
        <v>451.25</v>
      </c>
      <c r="F212" s="16" t="n">
        <v>2600</v>
      </c>
      <c r="G212" s="16" t="n">
        <v>5100</v>
      </c>
      <c r="H212" s="16">
        <f>G212-F212</f>
        <v/>
      </c>
      <c r="I212" s="14">
        <f>IF(F212=0,0,G212/F212-1)</f>
        <v/>
      </c>
    </row>
    <row r="213">
      <c r="A213" s="9" t="n"/>
      <c r="B213" s="22" t="inlineStr">
        <is>
          <t>Program 2800 Total</t>
        </is>
      </c>
      <c r="C213" s="23">
        <f>SUM(C209:C212)</f>
        <v/>
      </c>
      <c r="D213" s="23">
        <f>SUM(D209:D212)</f>
        <v/>
      </c>
      <c r="E213" s="23">
        <f>SUM(E209:E212)</f>
        <v/>
      </c>
      <c r="F213" s="23">
        <f>SUM(F209:F212)</f>
        <v/>
      </c>
      <c r="G213" s="23">
        <f>SUM(G209:G212)</f>
        <v/>
      </c>
      <c r="H213" s="23">
        <f>SUM(H209:H212)</f>
        <v/>
      </c>
      <c r="I213" s="23">
        <f>SUM(I209:I212)</f>
        <v/>
      </c>
    </row>
    <row r="214">
      <c r="A214" s="8" t="inlineStr">
        <is>
          <t>1000.2800.2140.53440.300</t>
        </is>
      </c>
      <c r="B214" s="8" t="inlineStr">
        <is>
          <t>Professional Services</t>
        </is>
      </c>
      <c r="C214" s="16" t="n">
        <v>0</v>
      </c>
      <c r="D214" s="16" t="n">
        <v>0</v>
      </c>
      <c r="E214" s="16" t="n">
        <v>0</v>
      </c>
      <c r="F214" s="16" t="n">
        <v>1500</v>
      </c>
      <c r="G214" s="16" t="n">
        <v>1500</v>
      </c>
      <c r="H214" s="16">
        <f>G214-F214</f>
        <v/>
      </c>
      <c r="I214" s="14">
        <f>IF(F214=0,0,G214/F214-1)</f>
        <v/>
      </c>
    </row>
    <row r="215">
      <c r="A215" s="8" t="inlineStr">
        <is>
          <t>1000.2800.2140.55800.300</t>
        </is>
      </c>
      <c r="B215" s="8" t="inlineStr">
        <is>
          <t>Travel</t>
        </is>
      </c>
      <c r="C215" s="16" t="n">
        <v>83.31999999999999</v>
      </c>
      <c r="D215" s="16" t="n">
        <v>0</v>
      </c>
      <c r="E215" s="16" t="n">
        <v>0</v>
      </c>
      <c r="F215" s="16" t="n">
        <v>267</v>
      </c>
      <c r="G215" s="16" t="n">
        <v>267</v>
      </c>
      <c r="H215" s="16">
        <f>G215-F215</f>
        <v/>
      </c>
      <c r="I215" s="14">
        <f>IF(F215=0,0,G215/F215-1)</f>
        <v/>
      </c>
    </row>
    <row r="216">
      <c r="A216" s="9" t="n"/>
      <c r="B216" s="22" t="inlineStr">
        <is>
          <t>Program 2800 Total</t>
        </is>
      </c>
      <c r="C216" s="23">
        <f>SUM(C214:C215)</f>
        <v/>
      </c>
      <c r="D216" s="23">
        <f>SUM(D214:D215)</f>
        <v/>
      </c>
      <c r="E216" s="23">
        <f>SUM(E214:E215)</f>
        <v/>
      </c>
      <c r="F216" s="23">
        <f>SUM(F214:F215)</f>
        <v/>
      </c>
      <c r="G216" s="23">
        <f>SUM(G214:G215)</f>
        <v/>
      </c>
      <c r="H216" s="23">
        <f>SUM(H214:H215)</f>
        <v/>
      </c>
      <c r="I216" s="23">
        <f>SUM(I214:I215)</f>
        <v/>
      </c>
    </row>
    <row r="217">
      <c r="A217" s="8" t="inlineStr">
        <is>
          <t>1000.2800.2150.51010.300</t>
        </is>
      </c>
      <c r="B217" s="8" t="inlineStr">
        <is>
          <t>Speech &amp; Audiology</t>
        </is>
      </c>
      <c r="C217" s="16" t="n">
        <v>41815.28</v>
      </c>
      <c r="D217" s="16" t="n">
        <v>50241.8</v>
      </c>
      <c r="E217" s="16" t="n">
        <v>43125.83</v>
      </c>
      <c r="F217" s="16" t="n">
        <v>46255</v>
      </c>
      <c r="G217" s="16" t="n">
        <v>49414</v>
      </c>
      <c r="H217" s="16">
        <f>G217-F217</f>
        <v/>
      </c>
      <c r="I217" s="14">
        <f>IF(F217=0,0,G217/F217-1)</f>
        <v/>
      </c>
    </row>
    <row r="218">
      <c r="A218" s="8" t="inlineStr">
        <is>
          <t>1000.2800.2150.52010.300</t>
        </is>
      </c>
      <c r="B218" s="8" t="inlineStr">
        <is>
          <t>Speech &amp; Audiology</t>
        </is>
      </c>
      <c r="C218" s="16" t="n">
        <v>8564.82</v>
      </c>
      <c r="D218" s="16" t="n">
        <v>9693.09</v>
      </c>
      <c r="E218" s="16" t="n">
        <v>12197.42</v>
      </c>
      <c r="F218" s="16" t="n">
        <v>13076</v>
      </c>
      <c r="G218" s="16" t="n">
        <v>14027</v>
      </c>
      <c r="H218" s="16">
        <f>G218-F218</f>
        <v/>
      </c>
      <c r="I218" s="14">
        <f>IF(F218=0,0,G218/F218-1)</f>
        <v/>
      </c>
    </row>
    <row r="219">
      <c r="A219" s="8" t="inlineStr">
        <is>
          <t>1000.2800.2150.52310.300</t>
        </is>
      </c>
      <c r="B219" s="8" t="inlineStr">
        <is>
          <t>Retirement</t>
        </is>
      </c>
      <c r="C219" s="16" t="n">
        <v>1605.65</v>
      </c>
      <c r="D219" s="16" t="n">
        <v>2245.74</v>
      </c>
      <c r="E219" s="16" t="n">
        <v>1920.39</v>
      </c>
      <c r="F219" s="16" t="n">
        <v>2068</v>
      </c>
      <c r="G219" s="16" t="n">
        <v>2209</v>
      </c>
      <c r="H219" s="16">
        <f>G219-F219</f>
        <v/>
      </c>
      <c r="I219" s="14">
        <f>IF(F219=0,0,G219/F219-1)</f>
        <v/>
      </c>
    </row>
    <row r="220">
      <c r="A220" s="9" t="n"/>
      <c r="B220" s="22" t="inlineStr">
        <is>
          <t>Program 2800 Total</t>
        </is>
      </c>
      <c r="C220" s="23">
        <f>SUM(C217:C219)</f>
        <v/>
      </c>
      <c r="D220" s="23">
        <f>SUM(D217:D219)</f>
        <v/>
      </c>
      <c r="E220" s="23">
        <f>SUM(E217:E219)</f>
        <v/>
      </c>
      <c r="F220" s="23">
        <f>SUM(F217:F219)</f>
        <v/>
      </c>
      <c r="G220" s="23">
        <f>SUM(G217:G219)</f>
        <v/>
      </c>
      <c r="H220" s="23">
        <f>SUM(H217:H219)</f>
        <v/>
      </c>
      <c r="I220" s="23">
        <f>SUM(I217:I219)</f>
        <v/>
      </c>
    </row>
    <row r="221">
      <c r="A221" s="8" t="inlineStr">
        <is>
          <t>1000.2800.2160.51010.300</t>
        </is>
      </c>
      <c r="B221" s="8" t="inlineStr">
        <is>
          <t>OT Salary</t>
        </is>
      </c>
      <c r="C221" s="16" t="n">
        <v>6474.8</v>
      </c>
      <c r="D221" s="16" t="n">
        <v>5562.43</v>
      </c>
      <c r="E221" s="16" t="n">
        <v>6473.75</v>
      </c>
      <c r="F221" s="16" t="n">
        <v>6989</v>
      </c>
      <c r="G221" s="16" t="n">
        <v>7575</v>
      </c>
      <c r="H221" s="16">
        <f>G221-F221</f>
        <v/>
      </c>
      <c r="I221" s="14">
        <f>IF(F221=0,0,G221/F221-1)</f>
        <v/>
      </c>
    </row>
    <row r="222">
      <c r="A222" s="8" t="inlineStr">
        <is>
          <t>1000.2800.2160.52010.300</t>
        </is>
      </c>
      <c r="B222" s="8" t="inlineStr">
        <is>
          <t>OT Benefits</t>
        </is>
      </c>
      <c r="C222" s="16" t="n">
        <v>514.47</v>
      </c>
      <c r="D222" s="16" t="n">
        <v>415.82</v>
      </c>
      <c r="E222" s="16" t="n">
        <v>475.41</v>
      </c>
      <c r="F222" s="16" t="n">
        <v>506</v>
      </c>
      <c r="G222" s="16" t="n">
        <v>525</v>
      </c>
      <c r="H222" s="16">
        <f>G222-F222</f>
        <v/>
      </c>
      <c r="I222" s="14">
        <f>IF(F222=0,0,G222/F222-1)</f>
        <v/>
      </c>
    </row>
    <row r="223">
      <c r="A223" s="8" t="inlineStr">
        <is>
          <t>1000.2800.2160.52310.300</t>
        </is>
      </c>
      <c r="B223" s="8" t="inlineStr">
        <is>
          <t>Retirement</t>
        </is>
      </c>
      <c r="C223" s="16" t="n">
        <v>248.56</v>
      </c>
      <c r="D223" s="16" t="n">
        <v>248.56</v>
      </c>
      <c r="E223" s="16" t="n">
        <v>288.11</v>
      </c>
      <c r="F223" s="16" t="n">
        <v>312</v>
      </c>
      <c r="G223" s="16" t="n">
        <v>339</v>
      </c>
      <c r="H223" s="16">
        <f>G223-F223</f>
        <v/>
      </c>
      <c r="I223" s="14">
        <f>IF(F223=0,0,G223/F223-1)</f>
        <v/>
      </c>
    </row>
    <row r="224">
      <c r="A224" s="8" t="inlineStr">
        <is>
          <t>1000.2800.2160.55800.300</t>
        </is>
      </c>
      <c r="B224" s="8" t="inlineStr">
        <is>
          <t>Travel</t>
        </is>
      </c>
      <c r="C224" s="16" t="n">
        <v>0</v>
      </c>
      <c r="D224" s="16" t="n">
        <v>0</v>
      </c>
      <c r="E224" s="16" t="n">
        <v>0</v>
      </c>
      <c r="F224" s="16" t="n">
        <v>50</v>
      </c>
      <c r="G224" s="16" t="n">
        <v>50</v>
      </c>
      <c r="H224" s="16">
        <f>G224-F224</f>
        <v/>
      </c>
      <c r="I224" s="14">
        <f>IF(F224=0,0,G224/F224-1)</f>
        <v/>
      </c>
    </row>
    <row r="225">
      <c r="A225" s="9" t="n"/>
      <c r="B225" s="22" t="inlineStr">
        <is>
          <t>Program 2800 Total</t>
        </is>
      </c>
      <c r="C225" s="23">
        <f>SUM(C221:C224)</f>
        <v/>
      </c>
      <c r="D225" s="23">
        <f>SUM(D221:D224)</f>
        <v/>
      </c>
      <c r="E225" s="23">
        <f>SUM(E221:E224)</f>
        <v/>
      </c>
      <c r="F225" s="23">
        <f>SUM(F221:F224)</f>
        <v/>
      </c>
      <c r="G225" s="23">
        <f>SUM(G221:G224)</f>
        <v/>
      </c>
      <c r="H225" s="23">
        <f>SUM(H221:H224)</f>
        <v/>
      </c>
      <c r="I225" s="23">
        <f>SUM(I221:I224)</f>
        <v/>
      </c>
    </row>
    <row r="226">
      <c r="A226" s="9" t="n"/>
      <c r="B226" s="12" t="inlineStr">
        <is>
          <t>Cost Center ('300',) Total</t>
        </is>
      </c>
      <c r="C226" s="26">
        <f>C208+C213+C216+C220+C225</f>
        <v/>
      </c>
      <c r="D226" s="26">
        <f>D208+D213+D216+D220+D225</f>
        <v/>
      </c>
      <c r="E226" s="26">
        <f>E208+E213+E216+E220+E225</f>
        <v/>
      </c>
      <c r="F226" s="26">
        <f>F208+F213+F216+F220+F225</f>
        <v/>
      </c>
      <c r="G226" s="26">
        <f>G208+G213+G216+G220+G225</f>
        <v/>
      </c>
      <c r="H226" s="26">
        <f>H208+H213+H216+H220+H225</f>
        <v/>
      </c>
      <c r="I226" s="26">
        <f>I208+I213+I216+I220+I225</f>
        <v/>
      </c>
    </row>
    <row r="228">
      <c r="A228" s="3" t="inlineStr">
        <is>
          <t>Cost Center: ('900',)</t>
        </is>
      </c>
    </row>
    <row r="229">
      <c r="A229" s="8" t="inlineStr">
        <is>
          <t>1000.2800.2140.55800.900</t>
        </is>
      </c>
      <c r="B229" s="8" t="inlineStr">
        <is>
          <t>Psychologist Travel -</t>
        </is>
      </c>
      <c r="C229" s="16" t="n">
        <v>0</v>
      </c>
      <c r="D229" s="16" t="n">
        <v>301.47</v>
      </c>
      <c r="E229" s="16" t="n">
        <v>1345.11</v>
      </c>
      <c r="F229" s="16" t="n">
        <v>0</v>
      </c>
      <c r="G229" s="16" t="n">
        <v>0</v>
      </c>
      <c r="H229" s="16">
        <f>G229-F229</f>
        <v/>
      </c>
      <c r="I229" s="14">
        <f>IF(F229=0,0,G229/F229-1)</f>
        <v/>
      </c>
    </row>
    <row r="230">
      <c r="A230" s="8" t="inlineStr">
        <is>
          <t>1000.2800.2150.55800.900</t>
        </is>
      </c>
      <c r="B230" s="8" t="inlineStr">
        <is>
          <t>Travel - Speech District</t>
        </is>
      </c>
      <c r="C230" s="16" t="n">
        <v>0</v>
      </c>
      <c r="D230" s="16" t="n">
        <v>611.17</v>
      </c>
      <c r="E230" s="16" t="n">
        <v>0</v>
      </c>
      <c r="F230" s="16" t="n">
        <v>0</v>
      </c>
      <c r="G230" s="16" t="n">
        <v>0</v>
      </c>
      <c r="H230" s="16">
        <f>G230-F230</f>
        <v/>
      </c>
      <c r="I230" s="14">
        <f>IF(F230=0,0,G230/F230-1)</f>
        <v/>
      </c>
    </row>
    <row r="231">
      <c r="A231" s="8" t="inlineStr">
        <is>
          <t>1000.2800.2160.55800.900</t>
        </is>
      </c>
      <c r="B231" s="8" t="inlineStr">
        <is>
          <t>Travel - OT - District Wide</t>
        </is>
      </c>
      <c r="C231" s="16" t="n">
        <v>0</v>
      </c>
      <c r="D231" s="16" t="n">
        <v>28.69</v>
      </c>
      <c r="E231" s="16" t="n">
        <v>42.61</v>
      </c>
      <c r="F231" s="16" t="n">
        <v>0</v>
      </c>
      <c r="G231" s="16" t="n">
        <v>0</v>
      </c>
      <c r="H231" s="16">
        <f>G231-F231</f>
        <v/>
      </c>
      <c r="I231" s="14">
        <f>IF(F231=0,0,G231/F231-1)</f>
        <v/>
      </c>
    </row>
    <row r="232">
      <c r="A232" s="8" t="inlineStr">
        <is>
          <t>1000.2800.2170.55800.900</t>
        </is>
      </c>
      <c r="B232" s="8" t="inlineStr">
        <is>
          <t>Travel - PT - District Wide</t>
        </is>
      </c>
      <c r="C232" s="16" t="n">
        <v>0</v>
      </c>
      <c r="D232" s="16" t="n">
        <v>303.88</v>
      </c>
      <c r="E232" s="16" t="n">
        <v>398.7</v>
      </c>
      <c r="F232" s="16" t="n">
        <v>0</v>
      </c>
      <c r="G232" s="16" t="n">
        <v>0</v>
      </c>
      <c r="H232" s="16">
        <f>G232-F232</f>
        <v/>
      </c>
      <c r="I232" s="14">
        <f>IF(F232=0,0,G232/F232-1)</f>
        <v/>
      </c>
    </row>
    <row r="233">
      <c r="A233" s="8" t="inlineStr">
        <is>
          <t>1000.2800.2190.51010.900</t>
        </is>
      </c>
      <c r="B233" s="8" t="inlineStr">
        <is>
          <t>BCBA Salary</t>
        </is>
      </c>
      <c r="C233" s="16" t="n">
        <v>0</v>
      </c>
      <c r="D233" s="16" t="n">
        <v>0</v>
      </c>
      <c r="E233" s="16" t="n">
        <v>77904.85000000001</v>
      </c>
      <c r="F233" s="16" t="n">
        <v>84967</v>
      </c>
      <c r="G233" s="16" t="n">
        <v>92164</v>
      </c>
      <c r="H233" s="16">
        <f>G233-F233</f>
        <v/>
      </c>
      <c r="I233" s="14">
        <f>IF(F233=0,0,G233/F233-1)</f>
        <v/>
      </c>
    </row>
    <row r="234">
      <c r="A234" s="8" t="inlineStr">
        <is>
          <t>1000.2800.2190.52010.900</t>
        </is>
      </c>
      <c r="B234" s="8" t="inlineStr">
        <is>
          <t>BCBA Benefits</t>
        </is>
      </c>
      <c r="C234" s="16" t="n">
        <v>0</v>
      </c>
      <c r="D234" s="16" t="n">
        <v>0</v>
      </c>
      <c r="E234" s="16" t="n">
        <v>12001.18</v>
      </c>
      <c r="F234" s="16" t="n">
        <v>27249</v>
      </c>
      <c r="G234" s="16" t="n">
        <v>29341</v>
      </c>
      <c r="H234" s="16">
        <f>G234-F234</f>
        <v/>
      </c>
      <c r="I234" s="14">
        <f>IF(F234=0,0,G234/F234-1)</f>
        <v/>
      </c>
    </row>
    <row r="235">
      <c r="A235" s="8" t="inlineStr">
        <is>
          <t>1000.2800.2190.52310.900</t>
        </is>
      </c>
      <c r="B235" s="8" t="inlineStr">
        <is>
          <t>BCBA Retirement</t>
        </is>
      </c>
      <c r="C235" s="16" t="n">
        <v>0</v>
      </c>
      <c r="D235" s="16" t="n">
        <v>0</v>
      </c>
      <c r="E235" s="16" t="n">
        <v>3469.24</v>
      </c>
      <c r="F235" s="16" t="n">
        <v>3798</v>
      </c>
      <c r="G235" s="16" t="n">
        <v>4120</v>
      </c>
      <c r="H235" s="16">
        <f>G235-F235</f>
        <v/>
      </c>
      <c r="I235" s="14">
        <f>IF(F235=0,0,G235/F235-1)</f>
        <v/>
      </c>
    </row>
    <row r="236">
      <c r="A236" s="8" t="inlineStr">
        <is>
          <t>1000.2800.2190.53000.900</t>
        </is>
      </c>
      <c r="B236" s="8" t="inlineStr">
        <is>
          <t>Purchased Professional</t>
        </is>
      </c>
      <c r="C236" s="16" t="n">
        <v>0</v>
      </c>
      <c r="D236" s="16" t="n">
        <v>52312.5</v>
      </c>
      <c r="E236" s="16" t="n">
        <v>0</v>
      </c>
      <c r="F236" s="16" t="n">
        <v>0</v>
      </c>
      <c r="G236" s="16" t="n">
        <v>0</v>
      </c>
      <c r="H236" s="16">
        <f>G236-F236</f>
        <v/>
      </c>
      <c r="I236" s="14">
        <f>IF(F236=0,0,G236/F236-1)</f>
        <v/>
      </c>
    </row>
    <row r="237">
      <c r="A237" s="9" t="n"/>
      <c r="B237" s="22" t="inlineStr">
        <is>
          <t>Program 2800 Total</t>
        </is>
      </c>
      <c r="C237" s="23">
        <f>SUM(C233:C236)</f>
        <v/>
      </c>
      <c r="D237" s="23">
        <f>SUM(D233:D236)</f>
        <v/>
      </c>
      <c r="E237" s="23">
        <f>SUM(E233:E236)</f>
        <v/>
      </c>
      <c r="F237" s="23">
        <f>SUM(F233:F236)</f>
        <v/>
      </c>
      <c r="G237" s="23">
        <f>SUM(G233:G236)</f>
        <v/>
      </c>
      <c r="H237" s="23">
        <f>SUM(H233:H236)</f>
        <v/>
      </c>
      <c r="I237" s="23">
        <f>SUM(I233:I236)</f>
        <v/>
      </c>
    </row>
    <row r="238">
      <c r="A238" s="8" t="inlineStr">
        <is>
          <t>1000.2500.2330.51010.900</t>
        </is>
      </c>
      <c r="B238" s="8" t="inlineStr">
        <is>
          <t>Instructional Strategist</t>
        </is>
      </c>
      <c r="C238" s="16" t="n">
        <v>243084.65</v>
      </c>
      <c r="D238" s="16" t="n">
        <v>188508.79</v>
      </c>
      <c r="E238" s="16" t="n">
        <v>250823.8</v>
      </c>
      <c r="F238" s="16" t="n">
        <v>268529</v>
      </c>
      <c r="G238" s="16" t="n">
        <v>289046</v>
      </c>
      <c r="H238" s="16">
        <f>G238-F238</f>
        <v/>
      </c>
      <c r="I238" s="14">
        <f>IF(F238=0,0,G238/F238-1)</f>
        <v/>
      </c>
    </row>
    <row r="239">
      <c r="A239" s="8" t="inlineStr">
        <is>
          <t>1000.2500.2330.51040.900</t>
        </is>
      </c>
      <c r="B239" s="8" t="inlineStr">
        <is>
          <t>Admin Salaries</t>
        </is>
      </c>
      <c r="C239" s="16" t="n">
        <v>126756.56</v>
      </c>
      <c r="D239" s="16" t="n">
        <v>127681.13</v>
      </c>
      <c r="E239" s="16" t="n">
        <v>143015</v>
      </c>
      <c r="F239" s="16" t="n">
        <v>147250</v>
      </c>
      <c r="G239" s="16" t="n">
        <v>155350</v>
      </c>
      <c r="H239" s="16">
        <f>G239-F239</f>
        <v/>
      </c>
      <c r="I239" s="14">
        <f>IF(F239=0,0,G239/F239-1)</f>
        <v/>
      </c>
    </row>
    <row r="240">
      <c r="A240" s="8" t="inlineStr">
        <is>
          <t>1000.2500.2330.51180.900</t>
        </is>
      </c>
      <c r="B240" s="8" t="inlineStr">
        <is>
          <t>Support Wages</t>
        </is>
      </c>
      <c r="C240" s="16" t="n">
        <v>53188.92</v>
      </c>
      <c r="D240" s="16" t="n">
        <v>38430</v>
      </c>
      <c r="E240" s="16" t="n">
        <v>58728.71</v>
      </c>
      <c r="F240" s="16" t="n">
        <v>63542</v>
      </c>
      <c r="G240" s="16" t="n">
        <v>68628</v>
      </c>
      <c r="H240" s="16">
        <f>G240-F240</f>
        <v/>
      </c>
      <c r="I240" s="14">
        <f>IF(F240=0,0,G240/F240-1)</f>
        <v/>
      </c>
    </row>
    <row r="241">
      <c r="A241" s="8" t="inlineStr">
        <is>
          <t>1000.2500.2330.52010.900</t>
        </is>
      </c>
      <c r="B241" s="8" t="inlineStr">
        <is>
          <t>Instructional Strategist</t>
        </is>
      </c>
      <c r="C241" s="16" t="n">
        <v>33629.63</v>
      </c>
      <c r="D241" s="16" t="n">
        <v>28636.37</v>
      </c>
      <c r="E241" s="16" t="n">
        <v>61896.19</v>
      </c>
      <c r="F241" s="16" t="n">
        <v>60421</v>
      </c>
      <c r="G241" s="16" t="n">
        <v>64655</v>
      </c>
      <c r="H241" s="16">
        <f>G241-F241</f>
        <v/>
      </c>
      <c r="I241" s="14">
        <f>IF(F241=0,0,G241/F241-1)</f>
        <v/>
      </c>
    </row>
    <row r="242">
      <c r="A242" s="8" t="inlineStr">
        <is>
          <t>1000.2500.2330.52040.900</t>
        </is>
      </c>
      <c r="B242" s="8" t="inlineStr">
        <is>
          <t>Admin Benefits</t>
        </is>
      </c>
      <c r="C242" s="16" t="n">
        <v>11669.3</v>
      </c>
      <c r="D242" s="16" t="n">
        <v>18963.39</v>
      </c>
      <c r="E242" s="16" t="n">
        <v>4272.9</v>
      </c>
      <c r="F242" s="16" t="n">
        <v>19254</v>
      </c>
      <c r="G242" s="16" t="n">
        <v>22740</v>
      </c>
      <c r="H242" s="16">
        <f>G242-F242</f>
        <v/>
      </c>
      <c r="I242" s="14">
        <f>IF(F242=0,0,G242/F242-1)</f>
        <v/>
      </c>
    </row>
    <row r="243">
      <c r="A243" s="8" t="inlineStr">
        <is>
          <t>1000.2500.2330.52080.900</t>
        </is>
      </c>
      <c r="B243" s="8" t="inlineStr">
        <is>
          <t>Support Benefits</t>
        </is>
      </c>
      <c r="C243" s="16" t="n">
        <v>22600.25</v>
      </c>
      <c r="D243" s="16" t="n">
        <v>17392.45</v>
      </c>
      <c r="E243" s="16" t="n">
        <v>25642.4</v>
      </c>
      <c r="F243" s="16" t="n">
        <v>28875</v>
      </c>
      <c r="G243" s="16" t="n">
        <v>30939</v>
      </c>
      <c r="H243" s="16">
        <f>G243-F243</f>
        <v/>
      </c>
      <c r="I243" s="14">
        <f>IF(F243=0,0,G243/F243-1)</f>
        <v/>
      </c>
    </row>
    <row r="244">
      <c r="A244" s="8" t="inlineStr">
        <is>
          <t>1000.2500.2330.52310.900</t>
        </is>
      </c>
      <c r="B244" s="8" t="inlineStr">
        <is>
          <t>Retirement</t>
        </is>
      </c>
      <c r="C244" s="16" t="n">
        <v>9334.030000000001</v>
      </c>
      <c r="D244" s="16" t="n">
        <v>8403.540000000001</v>
      </c>
      <c r="E244" s="16" t="n">
        <v>10860.93</v>
      </c>
      <c r="F244" s="16" t="n">
        <v>12003</v>
      </c>
      <c r="G244" s="16" t="n">
        <v>12920</v>
      </c>
      <c r="H244" s="16">
        <f>G244-F244</f>
        <v/>
      </c>
      <c r="I244" s="14">
        <f>IF(F244=0,0,G244/F244-1)</f>
        <v/>
      </c>
    </row>
    <row r="245">
      <c r="A245" s="8" t="inlineStr">
        <is>
          <t>1000.2500.2330.52340.900</t>
        </is>
      </c>
      <c r="B245" s="8" t="inlineStr">
        <is>
          <t>Retirement</t>
        </is>
      </c>
      <c r="C245" s="16" t="n">
        <v>4466.17</v>
      </c>
      <c r="D245" s="16" t="n">
        <v>5707.28</v>
      </c>
      <c r="E245" s="16" t="n">
        <v>6209.58</v>
      </c>
      <c r="F245" s="16" t="n">
        <v>6582</v>
      </c>
      <c r="G245" s="16" t="n">
        <v>6944</v>
      </c>
      <c r="H245" s="16">
        <f>G245-F245</f>
        <v/>
      </c>
      <c r="I245" s="14">
        <f>IF(F245=0,0,G245/F245-1)</f>
        <v/>
      </c>
    </row>
    <row r="246">
      <c r="A246" s="8" t="inlineStr">
        <is>
          <t>1000.2500.2330.52380.900</t>
        </is>
      </c>
      <c r="B246" s="8" t="inlineStr">
        <is>
          <t>Retirement</t>
        </is>
      </c>
      <c r="C246" s="16" t="n">
        <v>1332.62</v>
      </c>
      <c r="D246" s="16" t="n">
        <v>1917.78</v>
      </c>
      <c r="E246" s="16" t="n">
        <v>2975.59</v>
      </c>
      <c r="F246" s="16" t="n">
        <v>3177</v>
      </c>
      <c r="G246" s="16" t="n">
        <v>3431</v>
      </c>
      <c r="H246" s="16">
        <f>G246-F246</f>
        <v/>
      </c>
      <c r="I246" s="14">
        <f>IF(F246=0,0,G246/F246-1)</f>
        <v/>
      </c>
    </row>
    <row r="247">
      <c r="A247" s="8" t="inlineStr">
        <is>
          <t>1000.2500.2330.53000.900</t>
        </is>
      </c>
      <c r="B247" s="8" t="inlineStr">
        <is>
          <t>Legal</t>
        </is>
      </c>
      <c r="C247" s="16" t="n">
        <v>21472</v>
      </c>
      <c r="D247" s="16" t="n">
        <v>14280.9</v>
      </c>
      <c r="E247" s="16" t="n">
        <v>15667.57</v>
      </c>
      <c r="F247" s="16" t="n">
        <v>20000</v>
      </c>
      <c r="G247" s="16" t="n">
        <v>20000</v>
      </c>
      <c r="H247" s="16">
        <f>G247-F247</f>
        <v/>
      </c>
      <c r="I247" s="14">
        <f>IF(F247=0,0,G247/F247-1)</f>
        <v/>
      </c>
    </row>
    <row r="248">
      <c r="A248" s="8" t="inlineStr">
        <is>
          <t>1000.2500.2330.53200.900</t>
        </is>
      </c>
      <c r="B248" s="8" t="inlineStr">
        <is>
          <t>Telephone</t>
        </is>
      </c>
      <c r="C248" s="16" t="n">
        <v>39.25</v>
      </c>
      <c r="D248" s="16" t="n">
        <v>0</v>
      </c>
      <c r="E248" s="16" t="n">
        <v>165.24</v>
      </c>
      <c r="F248" s="16" t="n">
        <v>240</v>
      </c>
      <c r="G248" s="16" t="n">
        <v>240</v>
      </c>
      <c r="H248" s="16">
        <f>G248-F248</f>
        <v/>
      </c>
      <c r="I248" s="14">
        <f>IF(F248=0,0,G248/F248-1)</f>
        <v/>
      </c>
    </row>
    <row r="249">
      <c r="A249" s="8" t="inlineStr">
        <is>
          <t>1000.2500.2330.53300.900</t>
        </is>
      </c>
      <c r="B249" s="8" t="inlineStr">
        <is>
          <t>Prof Empl Train &amp; Dev</t>
        </is>
      </c>
      <c r="C249" s="16" t="n">
        <v>0</v>
      </c>
      <c r="D249" s="16" t="n">
        <v>0</v>
      </c>
      <c r="E249" s="16" t="n">
        <v>0</v>
      </c>
      <c r="F249" s="16" t="n">
        <v>0</v>
      </c>
      <c r="G249" s="16" t="n">
        <v>2500</v>
      </c>
      <c r="H249" s="16">
        <f>G249-F249</f>
        <v/>
      </c>
      <c r="I249" s="14">
        <f>IF(F249=0,0,G249/F249-1)</f>
        <v/>
      </c>
    </row>
    <row r="250">
      <c r="A250" s="8" t="inlineStr">
        <is>
          <t>1000.2500.2330.53400.900</t>
        </is>
      </c>
      <c r="B250" s="8" t="inlineStr">
        <is>
          <t>Contracted Services</t>
        </is>
      </c>
      <c r="C250" s="16" t="n">
        <v>0</v>
      </c>
      <c r="D250" s="16" t="n">
        <v>54474.78</v>
      </c>
      <c r="E250" s="16" t="n">
        <v>525</v>
      </c>
      <c r="F250" s="16" t="n">
        <v>0</v>
      </c>
      <c r="G250" s="16" t="n">
        <v>0</v>
      </c>
      <c r="H250" s="16">
        <f>G250-F250</f>
        <v/>
      </c>
      <c r="I250" s="14">
        <f>IF(F250=0,0,G250/F250-1)</f>
        <v/>
      </c>
    </row>
    <row r="251">
      <c r="A251" s="8" t="inlineStr">
        <is>
          <t>1000.2500.2330.53401.900</t>
        </is>
      </c>
      <c r="B251" s="8" t="inlineStr">
        <is>
          <t>Admin Purchased Services</t>
        </is>
      </c>
      <c r="C251" s="16" t="n">
        <v>0</v>
      </c>
      <c r="D251" s="16" t="n">
        <v>7319</v>
      </c>
      <c r="E251" s="16" t="n">
        <v>13945.5</v>
      </c>
      <c r="F251" s="16" t="n">
        <v>15000</v>
      </c>
      <c r="G251" s="16" t="n">
        <v>15000</v>
      </c>
      <c r="H251" s="16">
        <f>G251-F251</f>
        <v/>
      </c>
      <c r="I251" s="14">
        <f>IF(F251=0,0,G251/F251-1)</f>
        <v/>
      </c>
    </row>
    <row r="252">
      <c r="A252" s="8" t="inlineStr">
        <is>
          <t>1000.2500.2330.53440.900</t>
        </is>
      </c>
      <c r="B252" s="8" t="inlineStr">
        <is>
          <t>Purchased Professional</t>
        </is>
      </c>
      <c r="C252" s="16" t="n">
        <v>6665.97</v>
      </c>
      <c r="D252" s="16" t="n">
        <v>0</v>
      </c>
      <c r="E252" s="16" t="n">
        <v>0</v>
      </c>
      <c r="F252" s="16" t="n">
        <v>0</v>
      </c>
      <c r="G252" s="16" t="n">
        <v>0</v>
      </c>
      <c r="H252" s="16">
        <f>G252-F252</f>
        <v/>
      </c>
      <c r="I252" s="14">
        <f>IF(F252=0,0,G252/F252-1)</f>
        <v/>
      </c>
    </row>
    <row r="253">
      <c r="A253" s="8" t="inlineStr">
        <is>
          <t>1000.2500.2330.55310.900</t>
        </is>
      </c>
      <c r="B253" s="8" t="inlineStr">
        <is>
          <t>Postage</t>
        </is>
      </c>
      <c r="C253" s="16" t="n">
        <v>14.78</v>
      </c>
      <c r="D253" s="16" t="n">
        <v>1986.06</v>
      </c>
      <c r="E253" s="16" t="n">
        <v>3000</v>
      </c>
      <c r="F253" s="16" t="n">
        <v>4000</v>
      </c>
      <c r="G253" s="16" t="n">
        <v>4500</v>
      </c>
      <c r="H253" s="16">
        <f>G253-F253</f>
        <v/>
      </c>
      <c r="I253" s="14">
        <f>IF(F253=0,0,G253/F253-1)</f>
        <v/>
      </c>
    </row>
    <row r="254">
      <c r="A254" s="8" t="inlineStr">
        <is>
          <t>1000.2500.2330.55350.900</t>
        </is>
      </c>
      <c r="B254" s="8" t="inlineStr">
        <is>
          <t>Adori Special Ed Software</t>
        </is>
      </c>
      <c r="C254" s="16" t="n">
        <v>0</v>
      </c>
      <c r="D254" s="16" t="n">
        <v>3768</v>
      </c>
      <c r="E254" s="16" t="n">
        <v>4368</v>
      </c>
      <c r="F254" s="16" t="n">
        <v>4500</v>
      </c>
      <c r="G254" s="16" t="n">
        <v>5000</v>
      </c>
      <c r="H254" s="16">
        <f>G254-F254</f>
        <v/>
      </c>
      <c r="I254" s="14">
        <f>IF(F254=0,0,G254/F254-1)</f>
        <v/>
      </c>
    </row>
    <row r="255">
      <c r="A255" s="8" t="inlineStr">
        <is>
          <t>1000.2500.2330.55800.900</t>
        </is>
      </c>
      <c r="B255" s="8" t="inlineStr">
        <is>
          <t>Travel</t>
        </is>
      </c>
      <c r="C255" s="16" t="n">
        <v>2982</v>
      </c>
      <c r="D255" s="16" t="n">
        <v>403.71</v>
      </c>
      <c r="E255" s="16" t="n">
        <v>3105.63</v>
      </c>
      <c r="F255" s="16" t="n">
        <v>4000</v>
      </c>
      <c r="G255" s="16" t="n">
        <v>4000</v>
      </c>
      <c r="H255" s="16">
        <f>G255-F255</f>
        <v/>
      </c>
      <c r="I255" s="14">
        <f>IF(F255=0,0,G255/F255-1)</f>
        <v/>
      </c>
    </row>
    <row r="256">
      <c r="A256" s="8" t="inlineStr">
        <is>
          <t>1000.2500.2330.56000.900</t>
        </is>
      </c>
      <c r="B256" s="8" t="inlineStr">
        <is>
          <t>Supplies</t>
        </is>
      </c>
      <c r="C256" s="16" t="n">
        <v>4523.67</v>
      </c>
      <c r="D256" s="16" t="n">
        <v>6231.81</v>
      </c>
      <c r="E256" s="16" t="n">
        <v>2681.74</v>
      </c>
      <c r="F256" s="16" t="n">
        <v>9800</v>
      </c>
      <c r="G256" s="16" t="n">
        <v>4300</v>
      </c>
      <c r="H256" s="16">
        <f>G256-F256</f>
        <v/>
      </c>
      <c r="I256" s="14">
        <f>IF(F256=0,0,G256/F256-1)</f>
        <v/>
      </c>
    </row>
    <row r="257">
      <c r="A257" s="8" t="inlineStr">
        <is>
          <t>1000.2500.2330.58100.900</t>
        </is>
      </c>
      <c r="B257" s="8" t="inlineStr">
        <is>
          <t>Dues &amp; Fees</t>
        </is>
      </c>
      <c r="C257" s="16" t="n">
        <v>855.98</v>
      </c>
      <c r="D257" s="16" t="n">
        <v>578</v>
      </c>
      <c r="E257" s="16" t="n">
        <v>749</v>
      </c>
      <c r="F257" s="16" t="n">
        <v>865</v>
      </c>
      <c r="G257" s="16" t="n">
        <v>865</v>
      </c>
      <c r="H257" s="16">
        <f>G257-F257</f>
        <v/>
      </c>
      <c r="I257" s="14">
        <f>IF(F257=0,0,G257/F257-1)</f>
        <v/>
      </c>
    </row>
    <row r="258">
      <c r="A258" s="8" t="inlineStr">
        <is>
          <t>1000.2500.2330.59000.900</t>
        </is>
      </c>
      <c r="B258" s="8" t="inlineStr">
        <is>
          <t>Contingency</t>
        </is>
      </c>
      <c r="C258" s="16" t="n">
        <v>220000</v>
      </c>
      <c r="D258" s="16" t="n">
        <v>0</v>
      </c>
      <c r="E258" s="16" t="n">
        <v>0</v>
      </c>
      <c r="F258" s="16" t="n">
        <v>0</v>
      </c>
      <c r="G258" s="16" t="n">
        <v>0</v>
      </c>
      <c r="H258" s="16">
        <f>G258-F258</f>
        <v/>
      </c>
      <c r="I258" s="14">
        <f>IF(F258=0,0,G258/F258-1)</f>
        <v/>
      </c>
    </row>
    <row r="259">
      <c r="A259" s="9" t="n"/>
      <c r="B259" s="22" t="inlineStr">
        <is>
          <t>Program 2500 Total</t>
        </is>
      </c>
      <c r="C259" s="23">
        <f>SUM(C238:C258)</f>
        <v/>
      </c>
      <c r="D259" s="23">
        <f>SUM(D238:D258)</f>
        <v/>
      </c>
      <c r="E259" s="23">
        <f>SUM(E238:E258)</f>
        <v/>
      </c>
      <c r="F259" s="23">
        <f>SUM(F238:F258)</f>
        <v/>
      </c>
      <c r="G259" s="23">
        <f>SUM(G238:G258)</f>
        <v/>
      </c>
      <c r="H259" s="23">
        <f>SUM(H238:H258)</f>
        <v/>
      </c>
      <c r="I259" s="23">
        <f>SUM(I238:I258)</f>
        <v/>
      </c>
    </row>
    <row r="260">
      <c r="A260" s="9" t="n"/>
      <c r="B260" s="12" t="inlineStr">
        <is>
          <t>Cost Center ('900',) Total</t>
        </is>
      </c>
      <c r="C260" s="26">
        <f>C237+C259</f>
        <v/>
      </c>
      <c r="D260" s="26">
        <f>D237+D259</f>
        <v/>
      </c>
      <c r="E260" s="26">
        <f>E237+E259</f>
        <v/>
      </c>
      <c r="F260" s="26">
        <f>F237+F259</f>
        <v/>
      </c>
      <c r="G260" s="26">
        <f>G237+G259</f>
        <v/>
      </c>
      <c r="H260" s="26">
        <f>H237+H259</f>
        <v/>
      </c>
      <c r="I260" s="26">
        <f>I237+I259</f>
        <v/>
      </c>
    </row>
    <row r="262">
      <c r="A262" s="3" t="inlineStr">
        <is>
          <t>Cost Center: ('950',)</t>
        </is>
      </c>
    </row>
    <row r="263">
      <c r="A263" s="8" t="inlineStr">
        <is>
          <t>1000.2100.1000.51210.950</t>
        </is>
      </c>
      <c r="B263" s="8" t="inlineStr">
        <is>
          <t>Tutor Salaries/ESY</t>
        </is>
      </c>
      <c r="C263" s="16" t="n">
        <v>12525.15</v>
      </c>
      <c r="D263" s="16" t="n">
        <v>12786.1</v>
      </c>
      <c r="E263" s="16" t="n">
        <v>27558.39</v>
      </c>
      <c r="F263" s="16" t="n">
        <v>16011</v>
      </c>
      <c r="G263" s="16" t="n">
        <v>0</v>
      </c>
      <c r="H263" s="16">
        <f>G263-F263</f>
        <v/>
      </c>
      <c r="I263" s="14">
        <f>IF(F263=0,0,G263/F263-1)</f>
        <v/>
      </c>
    </row>
    <row r="264">
      <c r="A264" s="8" t="inlineStr">
        <is>
          <t>1000.2100.1000.52010.950</t>
        </is>
      </c>
      <c r="B264" s="8" t="inlineStr">
        <is>
          <t>Benefit</t>
        </is>
      </c>
      <c r="C264" s="16" t="n">
        <v>270.5</v>
      </c>
      <c r="D264" s="16" t="n">
        <v>507.35</v>
      </c>
      <c r="E264" s="16" t="n">
        <v>3404.2</v>
      </c>
      <c r="F264" s="16" t="n">
        <v>715</v>
      </c>
      <c r="G264" s="16" t="n">
        <v>0</v>
      </c>
      <c r="H264" s="16">
        <f>G264-F264</f>
        <v/>
      </c>
      <c r="I264" s="14">
        <f>IF(F264=0,0,G264/F264-1)</f>
        <v/>
      </c>
    </row>
    <row r="265">
      <c r="A265" s="8" t="inlineStr">
        <is>
          <t>1000.2100.1000.52310.950</t>
        </is>
      </c>
      <c r="B265" s="8" t="inlineStr">
        <is>
          <t>Retirement</t>
        </is>
      </c>
      <c r="C265" s="16" t="n">
        <v>491.69</v>
      </c>
      <c r="D265" s="16" t="n">
        <v>463.09</v>
      </c>
      <c r="E265" s="16" t="n">
        <v>1164.58</v>
      </c>
      <c r="F265" s="16" t="n">
        <v>538</v>
      </c>
      <c r="G265" s="16" t="n">
        <v>0</v>
      </c>
      <c r="H265" s="16">
        <f>G265-F265</f>
        <v/>
      </c>
      <c r="I265" s="14">
        <f>IF(F265=0,0,G265/F265-1)</f>
        <v/>
      </c>
    </row>
    <row r="266">
      <c r="A266" s="8" t="inlineStr">
        <is>
          <t>1000.2100.1000.53440.950</t>
        </is>
      </c>
      <c r="B266" s="8" t="inlineStr">
        <is>
          <t>Purchased Professional</t>
        </is>
      </c>
      <c r="C266" s="16" t="n">
        <v>1424.2</v>
      </c>
      <c r="D266" s="16" t="n">
        <v>1517.65</v>
      </c>
      <c r="E266" s="16" t="n">
        <v>2075.99</v>
      </c>
      <c r="F266" s="16" t="n">
        <v>1250</v>
      </c>
      <c r="G266" s="16" t="n">
        <v>0</v>
      </c>
      <c r="H266" s="16">
        <f>G266-F266</f>
        <v/>
      </c>
      <c r="I266" s="14">
        <f>IF(F266=0,0,G266/F266-1)</f>
        <v/>
      </c>
    </row>
    <row r="267">
      <c r="A267" s="9" t="n"/>
      <c r="B267" s="22" t="inlineStr">
        <is>
          <t>Program 2100 Total</t>
        </is>
      </c>
      <c r="C267" s="23">
        <f>SUM(C263:C266)</f>
        <v/>
      </c>
      <c r="D267" s="23">
        <f>SUM(D263:D266)</f>
        <v/>
      </c>
      <c r="E267" s="23">
        <f>SUM(E263:E266)</f>
        <v/>
      </c>
      <c r="F267" s="23">
        <f>SUM(F263:F266)</f>
        <v/>
      </c>
      <c r="G267" s="23">
        <f>SUM(G263:G266)</f>
        <v/>
      </c>
      <c r="H267" s="23">
        <f>SUM(H263:H266)</f>
        <v/>
      </c>
      <c r="I267" s="23">
        <f>SUM(I263:I266)</f>
        <v/>
      </c>
    </row>
    <row r="268">
      <c r="A268" s="8" t="inlineStr">
        <is>
          <t>1000.2400.1000.53440.950</t>
        </is>
      </c>
      <c r="B268" s="8" t="inlineStr">
        <is>
          <t>Tutoring Services -</t>
        </is>
      </c>
      <c r="C268" s="16" t="n">
        <v>9109.6</v>
      </c>
      <c r="D268" s="16" t="n">
        <v>0</v>
      </c>
      <c r="E268" s="16" t="n">
        <v>3477.5</v>
      </c>
      <c r="F268" s="16" t="n">
        <v>7500</v>
      </c>
      <c r="G268" s="16" t="n">
        <v>7500</v>
      </c>
      <c r="H268" s="16">
        <f>G268-F268</f>
        <v/>
      </c>
      <c r="I268" s="14">
        <f>IF(F268=0,0,G268/F268-1)</f>
        <v/>
      </c>
    </row>
    <row r="269">
      <c r="A269" s="8" t="inlineStr">
        <is>
          <t>1000.2810.1000.51010.950</t>
        </is>
      </c>
      <c r="B269" s="8" t="inlineStr">
        <is>
          <t>Summer School Teacher</t>
        </is>
      </c>
      <c r="C269" s="16" t="n">
        <v>0</v>
      </c>
      <c r="D269" s="16" t="n">
        <v>0</v>
      </c>
      <c r="E269" s="16" t="n">
        <v>0</v>
      </c>
      <c r="F269" s="16" t="n">
        <v>0</v>
      </c>
      <c r="G269" s="16" t="n">
        <v>17159</v>
      </c>
      <c r="H269" s="16">
        <f>G269-F269</f>
        <v/>
      </c>
      <c r="I269" s="14">
        <f>IF(F269=0,0,G269/F269-1)</f>
        <v/>
      </c>
    </row>
    <row r="270">
      <c r="A270" s="8" t="inlineStr">
        <is>
          <t>1000.2810.1000.51020.950</t>
        </is>
      </c>
      <c r="B270" s="8" t="inlineStr">
        <is>
          <t>Summer School Ed Tech</t>
        </is>
      </c>
      <c r="C270" s="16" t="n">
        <v>0</v>
      </c>
      <c r="D270" s="16" t="n">
        <v>0</v>
      </c>
      <c r="E270" s="16" t="n">
        <v>0</v>
      </c>
      <c r="F270" s="16" t="n">
        <v>0</v>
      </c>
      <c r="G270" s="16" t="n">
        <v>14400</v>
      </c>
      <c r="H270" s="16">
        <f>G270-F270</f>
        <v/>
      </c>
      <c r="I270" s="14">
        <f>IF(F270=0,0,G270/F270-1)</f>
        <v/>
      </c>
    </row>
    <row r="271">
      <c r="A271" s="8" t="inlineStr">
        <is>
          <t>1000.2810.1000.52010.950</t>
        </is>
      </c>
      <c r="B271" s="8" t="inlineStr">
        <is>
          <t>Summer School Teacher</t>
        </is>
      </c>
      <c r="C271" s="16" t="n">
        <v>0</v>
      </c>
      <c r="D271" s="16" t="n">
        <v>0</v>
      </c>
      <c r="E271" s="16" t="n">
        <v>0</v>
      </c>
      <c r="F271" s="16" t="n">
        <v>0</v>
      </c>
      <c r="G271" s="16" t="n">
        <v>1777</v>
      </c>
      <c r="H271" s="16">
        <f>G271-F271</f>
        <v/>
      </c>
      <c r="I271" s="14">
        <f>IF(F271=0,0,G271/F271-1)</f>
        <v/>
      </c>
    </row>
    <row r="272">
      <c r="A272" s="8" t="inlineStr">
        <is>
          <t>1000.2810.1000.52020.950</t>
        </is>
      </c>
      <c r="B272" s="8" t="inlineStr">
        <is>
          <t>Summer School Ed Tech</t>
        </is>
      </c>
      <c r="C272" s="16" t="n">
        <v>0</v>
      </c>
      <c r="D272" s="16" t="n">
        <v>0</v>
      </c>
      <c r="E272" s="16" t="n">
        <v>0</v>
      </c>
      <c r="F272" s="16" t="n">
        <v>0</v>
      </c>
      <c r="G272" s="16" t="n">
        <v>1492</v>
      </c>
      <c r="H272" s="16">
        <f>G272-F272</f>
        <v/>
      </c>
      <c r="I272" s="14">
        <f>IF(F272=0,0,G272/F272-1)</f>
        <v/>
      </c>
    </row>
    <row r="273">
      <c r="A273" s="8" t="inlineStr">
        <is>
          <t>1000.2810.1000.52310.950</t>
        </is>
      </c>
      <c r="B273" s="8" t="inlineStr">
        <is>
          <t>Summer School Teacher</t>
        </is>
      </c>
      <c r="C273" s="16" t="n">
        <v>0</v>
      </c>
      <c r="D273" s="16" t="n">
        <v>0</v>
      </c>
      <c r="E273" s="16" t="n">
        <v>0</v>
      </c>
      <c r="F273" s="16" t="n">
        <v>0</v>
      </c>
      <c r="G273" s="16" t="n">
        <v>766</v>
      </c>
      <c r="H273" s="16">
        <f>G273-F273</f>
        <v/>
      </c>
      <c r="I273" s="14">
        <f>IF(F273=0,0,G273/F273-1)</f>
        <v/>
      </c>
    </row>
    <row r="274">
      <c r="A274" s="8" t="inlineStr">
        <is>
          <t>1000.2810.1000.52320.950</t>
        </is>
      </c>
      <c r="B274" s="8" t="inlineStr">
        <is>
          <t>Summer School Ed Tech</t>
        </is>
      </c>
      <c r="C274" s="16" t="n">
        <v>0</v>
      </c>
      <c r="D274" s="16" t="n">
        <v>0</v>
      </c>
      <c r="E274" s="16" t="n">
        <v>0</v>
      </c>
      <c r="F274" s="16" t="n">
        <v>0</v>
      </c>
      <c r="G274" s="16" t="n">
        <v>644</v>
      </c>
      <c r="H274" s="16">
        <f>G274-F274</f>
        <v/>
      </c>
      <c r="I274" s="14">
        <f>IF(F274=0,0,G274/F274-1)</f>
        <v/>
      </c>
    </row>
    <row r="275">
      <c r="A275" s="8" t="inlineStr">
        <is>
          <t>1000.2810.1000.56100.950</t>
        </is>
      </c>
      <c r="B275" s="8" t="inlineStr">
        <is>
          <t>Summer School Supplies</t>
        </is>
      </c>
      <c r="C275" s="16" t="n">
        <v>0</v>
      </c>
      <c r="D275" s="16" t="n">
        <v>0</v>
      </c>
      <c r="E275" s="16" t="n">
        <v>0</v>
      </c>
      <c r="F275" s="16" t="n">
        <v>0</v>
      </c>
      <c r="G275" s="16" t="n">
        <v>50</v>
      </c>
      <c r="H275" s="16">
        <f>G275-F275</f>
        <v/>
      </c>
      <c r="I275" s="14">
        <f>IF(F275=0,0,G275/F275-1)</f>
        <v/>
      </c>
    </row>
    <row r="276">
      <c r="A276" s="9" t="n"/>
      <c r="B276" s="22" t="inlineStr">
        <is>
          <t>Program 2810 Total</t>
        </is>
      </c>
      <c r="C276" s="23">
        <f>SUM(C269:C275)</f>
        <v/>
      </c>
      <c r="D276" s="23">
        <f>SUM(D269:D275)</f>
        <v/>
      </c>
      <c r="E276" s="23">
        <f>SUM(E269:E275)</f>
        <v/>
      </c>
      <c r="F276" s="23">
        <f>SUM(F269:F275)</f>
        <v/>
      </c>
      <c r="G276" s="23">
        <f>SUM(G269:G275)</f>
        <v/>
      </c>
      <c r="H276" s="23">
        <f>SUM(H269:H275)</f>
        <v/>
      </c>
      <c r="I276" s="23">
        <f>SUM(I269:I275)</f>
        <v/>
      </c>
    </row>
    <row r="277">
      <c r="A277" s="9" t="n"/>
      <c r="B277" s="24" t="inlineStr">
        <is>
          <t>Function 1000 Total</t>
        </is>
      </c>
      <c r="C277" s="25">
        <f>C267+C276</f>
        <v/>
      </c>
      <c r="D277" s="25">
        <f>D267+D276</f>
        <v/>
      </c>
      <c r="E277" s="25">
        <f>E267+E276</f>
        <v/>
      </c>
      <c r="F277" s="25">
        <f>F267+F276</f>
        <v/>
      </c>
      <c r="G277" s="25">
        <f>G267+G276</f>
        <v/>
      </c>
      <c r="H277" s="25">
        <f>H267+H276</f>
        <v/>
      </c>
      <c r="I277" s="25">
        <f>I267+I276</f>
        <v/>
      </c>
    </row>
    <row r="278">
      <c r="A278" s="8" t="inlineStr">
        <is>
          <t>1000.2800.2110.53440.950</t>
        </is>
      </c>
      <c r="B278" s="8" t="inlineStr">
        <is>
          <t>MAINECARE SEED-</t>
        </is>
      </c>
      <c r="C278" s="16" t="n">
        <v>909.99</v>
      </c>
      <c r="D278" s="16" t="n">
        <v>0</v>
      </c>
      <c r="E278" s="16" t="n">
        <v>0</v>
      </c>
      <c r="F278" s="16" t="n">
        <v>0</v>
      </c>
      <c r="G278" s="16" t="n">
        <v>2500</v>
      </c>
      <c r="H278" s="16">
        <f>G278-F278</f>
        <v/>
      </c>
      <c r="I278" s="14">
        <f>IF(F278=0,0,G278/F278-1)</f>
        <v/>
      </c>
    </row>
    <row r="279">
      <c r="A279" s="8" t="inlineStr">
        <is>
          <t>1000.2800.2140.51010.950</t>
        </is>
      </c>
      <c r="B279" s="8" t="inlineStr">
        <is>
          <t>Psychological Services</t>
        </is>
      </c>
      <c r="C279" s="16" t="n">
        <v>71220.21000000001</v>
      </c>
      <c r="D279" s="16" t="n">
        <v>45643.51</v>
      </c>
      <c r="E279" s="16" t="n">
        <v>99887.21000000001</v>
      </c>
      <c r="F279" s="16" t="n">
        <v>105388</v>
      </c>
      <c r="G279" s="16" t="n">
        <v>111184</v>
      </c>
      <c r="H279" s="16">
        <f>G279-F279</f>
        <v/>
      </c>
      <c r="I279" s="14">
        <f>IF(F279=0,0,G279/F279-1)</f>
        <v/>
      </c>
    </row>
    <row r="280">
      <c r="A280" s="8" t="inlineStr">
        <is>
          <t>1000.2800.2140.52010.950</t>
        </is>
      </c>
      <c r="B280" s="8" t="inlineStr">
        <is>
          <t>Psych Services Benefit</t>
        </is>
      </c>
      <c r="C280" s="16" t="n">
        <v>9616.309999999999</v>
      </c>
      <c r="D280" s="16" t="n">
        <v>5591.16</v>
      </c>
      <c r="E280" s="16" t="n">
        <v>17709.42</v>
      </c>
      <c r="F280" s="16" t="n">
        <v>22008</v>
      </c>
      <c r="G280" s="16" t="n">
        <v>23547</v>
      </c>
      <c r="H280" s="16">
        <f>G280-F280</f>
        <v/>
      </c>
      <c r="I280" s="14">
        <f>IF(F280=0,0,G280/F280-1)</f>
        <v/>
      </c>
    </row>
    <row r="281">
      <c r="A281" s="8" t="inlineStr">
        <is>
          <t>1000.2800.2140.52310.950</t>
        </is>
      </c>
      <c r="B281" s="8" t="inlineStr">
        <is>
          <t>Retirement</t>
        </is>
      </c>
      <c r="C281" s="16" t="n">
        <v>2734.69</v>
      </c>
      <c r="D281" s="16" t="n">
        <v>2040.23</v>
      </c>
      <c r="E281" s="16" t="n">
        <v>4448.14</v>
      </c>
      <c r="F281" s="16" t="n">
        <v>4711</v>
      </c>
      <c r="G281" s="16" t="n">
        <v>4970</v>
      </c>
      <c r="H281" s="16">
        <f>G281-F281</f>
        <v/>
      </c>
      <c r="I281" s="14">
        <f>IF(F281=0,0,G281/F281-1)</f>
        <v/>
      </c>
    </row>
    <row r="282">
      <c r="A282" s="8" t="inlineStr">
        <is>
          <t>1000.2800.2140.53000.950</t>
        </is>
      </c>
      <c r="B282" s="8" t="inlineStr">
        <is>
          <t>Purchased Professional</t>
        </is>
      </c>
      <c r="C282" s="16" t="n">
        <v>0</v>
      </c>
      <c r="D282" s="16" t="n">
        <v>147764.15</v>
      </c>
      <c r="E282" s="16" t="n">
        <v>0</v>
      </c>
      <c r="F282" s="16" t="n">
        <v>0</v>
      </c>
      <c r="G282" s="16" t="n">
        <v>0</v>
      </c>
      <c r="H282" s="16">
        <f>G282-F282</f>
        <v/>
      </c>
      <c r="I282" s="14">
        <f>IF(F282=0,0,G282/F282-1)</f>
        <v/>
      </c>
    </row>
    <row r="283">
      <c r="A283" s="8" t="inlineStr">
        <is>
          <t>1000.2800.2140.55800.950</t>
        </is>
      </c>
      <c r="B283" s="8" t="inlineStr">
        <is>
          <t>Travel</t>
        </is>
      </c>
      <c r="C283" s="16" t="n">
        <v>133.13</v>
      </c>
      <c r="D283" s="16" t="n">
        <v>0</v>
      </c>
      <c r="E283" s="16" t="n">
        <v>0</v>
      </c>
      <c r="F283" s="16" t="n">
        <v>0</v>
      </c>
      <c r="G283" s="16" t="n">
        <v>0</v>
      </c>
      <c r="H283" s="16">
        <f>G283-F283</f>
        <v/>
      </c>
      <c r="I283" s="14">
        <f>IF(F283=0,0,G283/F283-1)</f>
        <v/>
      </c>
    </row>
    <row r="284">
      <c r="A284" s="9" t="n"/>
      <c r="B284" s="22" t="inlineStr">
        <is>
          <t>Program 2800 Total</t>
        </is>
      </c>
      <c r="C284" s="23">
        <f>SUM(C279:C283)</f>
        <v/>
      </c>
      <c r="D284" s="23">
        <f>SUM(D279:D283)</f>
        <v/>
      </c>
      <c r="E284" s="23">
        <f>SUM(E279:E283)</f>
        <v/>
      </c>
      <c r="F284" s="23">
        <f>SUM(F279:F283)</f>
        <v/>
      </c>
      <c r="G284" s="23">
        <f>SUM(G279:G283)</f>
        <v/>
      </c>
      <c r="H284" s="23">
        <f>SUM(H279:H283)</f>
        <v/>
      </c>
      <c r="I284" s="23">
        <f>SUM(I279:I283)</f>
        <v/>
      </c>
    </row>
    <row r="285">
      <c r="A285" s="8" t="inlineStr">
        <is>
          <t>1000.2800.2150.53000.950</t>
        </is>
      </c>
      <c r="B285" s="8" t="inlineStr">
        <is>
          <t>Purchased Professional</t>
        </is>
      </c>
      <c r="C285" s="16" t="n">
        <v>0</v>
      </c>
      <c r="D285" s="16" t="n">
        <v>117415</v>
      </c>
      <c r="E285" s="16" t="n">
        <v>0</v>
      </c>
      <c r="F285" s="16" t="n">
        <v>0</v>
      </c>
      <c r="G285" s="16" t="n">
        <v>0</v>
      </c>
      <c r="H285" s="16">
        <f>G285-F285</f>
        <v/>
      </c>
      <c r="I285" s="14">
        <f>IF(F285=0,0,G285/F285-1)</f>
        <v/>
      </c>
    </row>
    <row r="286">
      <c r="A286" s="8" t="inlineStr">
        <is>
          <t>1000.2800.2150.53440.950</t>
        </is>
      </c>
      <c r="B286" s="8" t="inlineStr">
        <is>
          <t>MAINECARE SEED-</t>
        </is>
      </c>
      <c r="C286" s="16" t="n">
        <v>76.41</v>
      </c>
      <c r="D286" s="16" t="n">
        <v>308.84</v>
      </c>
      <c r="E286" s="16" t="n">
        <v>873.3</v>
      </c>
      <c r="F286" s="16" t="n">
        <v>0</v>
      </c>
      <c r="G286" s="16" t="n">
        <v>0</v>
      </c>
      <c r="H286" s="16">
        <f>G286-F286</f>
        <v/>
      </c>
      <c r="I286" s="14">
        <f>IF(F286=0,0,G286/F286-1)</f>
        <v/>
      </c>
    </row>
    <row r="287">
      <c r="A287" s="9" t="n"/>
      <c r="B287" s="22" t="inlineStr">
        <is>
          <t>Program 2800 Total</t>
        </is>
      </c>
      <c r="C287" s="23">
        <f>SUM(C285:C286)</f>
        <v/>
      </c>
      <c r="D287" s="23">
        <f>SUM(D285:D286)</f>
        <v/>
      </c>
      <c r="E287" s="23">
        <f>SUM(E285:E286)</f>
        <v/>
      </c>
      <c r="F287" s="23">
        <f>SUM(F285:F286)</f>
        <v/>
      </c>
      <c r="G287" s="23">
        <f>SUM(G285:G286)</f>
        <v/>
      </c>
      <c r="H287" s="23">
        <f>SUM(H285:H286)</f>
        <v/>
      </c>
      <c r="I287" s="23">
        <f>SUM(I285:I286)</f>
        <v/>
      </c>
    </row>
    <row r="288">
      <c r="A288" s="8" t="inlineStr">
        <is>
          <t>1000.2800.2170.51010.950</t>
        </is>
      </c>
      <c r="B288" s="8" t="inlineStr">
        <is>
          <t>PT Salary</t>
        </is>
      </c>
      <c r="C288" s="16" t="n">
        <v>43265.4</v>
      </c>
      <c r="D288" s="16" t="n">
        <v>42632.48</v>
      </c>
      <c r="E288" s="16" t="n">
        <v>67919.82000000001</v>
      </c>
      <c r="F288" s="16" t="n">
        <v>71995</v>
      </c>
      <c r="G288" s="16" t="n">
        <v>75955</v>
      </c>
      <c r="H288" s="16">
        <f>G288-F288</f>
        <v/>
      </c>
      <c r="I288" s="14">
        <f>IF(F288=0,0,G288/F288-1)</f>
        <v/>
      </c>
    </row>
    <row r="289">
      <c r="A289" s="8" t="inlineStr">
        <is>
          <t>1000.2800.2170.52010.950</t>
        </is>
      </c>
      <c r="B289" s="8" t="inlineStr">
        <is>
          <t>PT Benefits</t>
        </is>
      </c>
      <c r="C289" s="16" t="n">
        <v>11547.44</v>
      </c>
      <c r="D289" s="16" t="n">
        <v>9869.969999999999</v>
      </c>
      <c r="E289" s="16" t="n">
        <v>17452.18</v>
      </c>
      <c r="F289" s="16" t="n">
        <v>20058</v>
      </c>
      <c r="G289" s="16" t="n">
        <v>21501</v>
      </c>
      <c r="H289" s="16">
        <f>G289-F289</f>
        <v/>
      </c>
      <c r="I289" s="14">
        <f>IF(F289=0,0,G289/F289-1)</f>
        <v/>
      </c>
    </row>
    <row r="290">
      <c r="A290" s="8" t="inlineStr">
        <is>
          <t>1000.2800.2170.52310.950</t>
        </is>
      </c>
      <c r="B290" s="8" t="inlineStr">
        <is>
          <t>PT Retirement</t>
        </is>
      </c>
      <c r="C290" s="16" t="n">
        <v>2322.18</v>
      </c>
      <c r="D290" s="16" t="n">
        <v>2046.47</v>
      </c>
      <c r="E290" s="16" t="n">
        <v>3024.54</v>
      </c>
      <c r="F290" s="16" t="n">
        <v>3218</v>
      </c>
      <c r="G290" s="16" t="n">
        <v>3395</v>
      </c>
      <c r="H290" s="16">
        <f>G290-F290</f>
        <v/>
      </c>
      <c r="I290" s="14">
        <f>IF(F290=0,0,G290/F290-1)</f>
        <v/>
      </c>
    </row>
    <row r="291">
      <c r="A291" s="8" t="inlineStr">
        <is>
          <t>1000.2800.2170.53440.950</t>
        </is>
      </c>
      <c r="B291" s="8" t="inlineStr">
        <is>
          <t>MAINECARE SEED-</t>
        </is>
      </c>
      <c r="C291" s="16" t="n">
        <v>0</v>
      </c>
      <c r="D291" s="16" t="n">
        <v>0</v>
      </c>
      <c r="E291" s="16" t="n">
        <v>118.56</v>
      </c>
      <c r="F291" s="16" t="n">
        <v>0</v>
      </c>
      <c r="G291" s="16" t="n">
        <v>0</v>
      </c>
      <c r="H291" s="16">
        <f>G291-F291</f>
        <v/>
      </c>
      <c r="I291" s="14">
        <f>IF(F291=0,0,G291/F291-1)</f>
        <v/>
      </c>
    </row>
    <row r="292">
      <c r="A292" s="8" t="inlineStr">
        <is>
          <t>1000.2800.2170.55800.950</t>
        </is>
      </c>
      <c r="B292" s="8" t="inlineStr">
        <is>
          <t>Travel</t>
        </is>
      </c>
      <c r="C292" s="16" t="n">
        <v>242.83</v>
      </c>
      <c r="D292" s="16" t="n">
        <v>0</v>
      </c>
      <c r="E292" s="16" t="n">
        <v>0</v>
      </c>
      <c r="F292" s="16" t="n">
        <v>300</v>
      </c>
      <c r="G292" s="16" t="n">
        <v>300</v>
      </c>
      <c r="H292" s="16">
        <f>G292-F292</f>
        <v/>
      </c>
      <c r="I292" s="14">
        <f>IF(F292=0,0,G292/F292-1)</f>
        <v/>
      </c>
    </row>
    <row r="293">
      <c r="A293" s="9" t="n"/>
      <c r="B293" s="22" t="inlineStr">
        <is>
          <t>Program 2800 Total</t>
        </is>
      </c>
      <c r="C293" s="23">
        <f>SUM(C288:C292)</f>
        <v/>
      </c>
      <c r="D293" s="23">
        <f>SUM(D288:D292)</f>
        <v/>
      </c>
      <c r="E293" s="23">
        <f>SUM(E288:E292)</f>
        <v/>
      </c>
      <c r="F293" s="23">
        <f>SUM(F288:F292)</f>
        <v/>
      </c>
      <c r="G293" s="23">
        <f>SUM(G288:G292)</f>
        <v/>
      </c>
      <c r="H293" s="23">
        <f>SUM(H288:H292)</f>
        <v/>
      </c>
      <c r="I293" s="23">
        <f>SUM(I288:I292)</f>
        <v/>
      </c>
    </row>
    <row r="294">
      <c r="A294" s="8" t="inlineStr">
        <is>
          <t>1000.2500.2330.53440.950</t>
        </is>
      </c>
      <c r="B294" s="8" t="inlineStr">
        <is>
          <t>MAINECARE SEED-</t>
        </is>
      </c>
      <c r="C294" s="16" t="n">
        <v>45032.3</v>
      </c>
      <c r="D294" s="16" t="n">
        <v>2603.49</v>
      </c>
      <c r="E294" s="16" t="n">
        <v>10343.58</v>
      </c>
      <c r="F294" s="16" t="n">
        <v>54500</v>
      </c>
      <c r="G294" s="16" t="n">
        <v>60000</v>
      </c>
      <c r="H294" s="16">
        <f>G294-F294</f>
        <v/>
      </c>
      <c r="I294" s="14">
        <f>IF(F294=0,0,G294/F294-1)</f>
        <v/>
      </c>
    </row>
    <row r="295">
      <c r="A295" s="9" t="n"/>
      <c r="B295" s="12" t="inlineStr">
        <is>
          <t>Cost Center ('950',) Total</t>
        </is>
      </c>
      <c r="C295" s="26">
        <f>C277+C284+C287+C293</f>
        <v/>
      </c>
      <c r="D295" s="26">
        <f>D277+D284+D287+D293</f>
        <v/>
      </c>
      <c r="E295" s="26">
        <f>E277+E284+E287+E293</f>
        <v/>
      </c>
      <c r="F295" s="26">
        <f>F277+F284+F287+F293</f>
        <v/>
      </c>
      <c r="G295" s="26">
        <f>G277+G284+G287+G293</f>
        <v/>
      </c>
      <c r="H295" s="26">
        <f>H277+H284+H287+H293</f>
        <v/>
      </c>
      <c r="I295" s="26">
        <f>I277+I284+I287+I293</f>
        <v/>
      </c>
    </row>
    <row r="297">
      <c r="A297" s="3" t="inlineStr">
        <is>
          <t>Cost Center: ('990',)</t>
        </is>
      </c>
    </row>
    <row r="298">
      <c r="A298" s="8" t="inlineStr">
        <is>
          <t>1000.2300.1000.55630.990</t>
        </is>
      </c>
      <c r="B298" s="8" t="inlineStr">
        <is>
          <t>Secondary Private Tuition</t>
        </is>
      </c>
      <c r="C298" s="16" t="n">
        <v>0</v>
      </c>
      <c r="D298" s="16" t="n">
        <v>0</v>
      </c>
      <c r="E298" s="16" t="n">
        <v>0</v>
      </c>
      <c r="F298" s="16" t="n">
        <v>0</v>
      </c>
      <c r="G298" s="16" t="n">
        <v>195000</v>
      </c>
      <c r="H298" s="16">
        <f>G298-F298</f>
        <v/>
      </c>
      <c r="I298" s="14">
        <f>IF(F298=0,0,G298/F298-1)</f>
        <v/>
      </c>
    </row>
    <row r="299">
      <c r="A299" s="8" t="inlineStr">
        <is>
          <t>1000.2400.1000.53440.990</t>
        </is>
      </c>
      <c r="B299" s="8" t="inlineStr">
        <is>
          <t>Tutoring Services -</t>
        </is>
      </c>
      <c r="C299" s="16" t="n">
        <v>0</v>
      </c>
      <c r="D299" s="16" t="n">
        <v>7726.5</v>
      </c>
      <c r="E299" s="16" t="n">
        <v>8372.75</v>
      </c>
      <c r="F299" s="16" t="n">
        <v>7500</v>
      </c>
      <c r="G299" s="16" t="n">
        <v>7500</v>
      </c>
      <c r="H299" s="16">
        <f>G299-F299</f>
        <v/>
      </c>
      <c r="I299" s="14">
        <f>IF(F299=0,0,G299/F299-1)</f>
        <v/>
      </c>
    </row>
    <row r="300">
      <c r="A300" s="8" t="inlineStr">
        <is>
          <t>1000.2800.2140.51010.990</t>
        </is>
      </c>
      <c r="B300" s="8" t="inlineStr">
        <is>
          <t>Psychological Services</t>
        </is>
      </c>
      <c r="C300" s="16" t="n">
        <v>71220.42999999999</v>
      </c>
      <c r="D300" s="16" t="n">
        <v>45643.52</v>
      </c>
      <c r="E300" s="16" t="n">
        <v>99887.73</v>
      </c>
      <c r="F300" s="16" t="n">
        <v>105388</v>
      </c>
      <c r="G300" s="16" t="n">
        <v>111184</v>
      </c>
      <c r="H300" s="16">
        <f>G300-F300</f>
        <v/>
      </c>
      <c r="I300" s="14">
        <f>IF(F300=0,0,G300/F300-1)</f>
        <v/>
      </c>
    </row>
    <row r="301">
      <c r="A301" s="8" t="inlineStr">
        <is>
          <t>1000.2800.2140.52010.990</t>
        </is>
      </c>
      <c r="B301" s="8" t="inlineStr">
        <is>
          <t>Psych Services Benefit</t>
        </is>
      </c>
      <c r="C301" s="16" t="n">
        <v>9617.24</v>
      </c>
      <c r="D301" s="16" t="n">
        <v>5591.22</v>
      </c>
      <c r="E301" s="16" t="n">
        <v>17710.05</v>
      </c>
      <c r="F301" s="16" t="n">
        <v>22008</v>
      </c>
      <c r="G301" s="16" t="n">
        <v>23547</v>
      </c>
      <c r="H301" s="16">
        <f>G301-F301</f>
        <v/>
      </c>
      <c r="I301" s="14">
        <f>IF(F301=0,0,G301/F301-1)</f>
        <v/>
      </c>
    </row>
    <row r="302">
      <c r="A302" s="8" t="inlineStr">
        <is>
          <t>1000.2800.2140.52310.990</t>
        </is>
      </c>
      <c r="B302" s="8" t="inlineStr">
        <is>
          <t>Retirement</t>
        </is>
      </c>
      <c r="C302" s="16" t="n">
        <v>2734.95</v>
      </c>
      <c r="D302" s="16" t="n">
        <v>2040.23</v>
      </c>
      <c r="E302" s="16" t="n">
        <v>4448.37</v>
      </c>
      <c r="F302" s="16" t="n">
        <v>4711</v>
      </c>
      <c r="G302" s="16" t="n">
        <v>4970</v>
      </c>
      <c r="H302" s="16">
        <f>G302-F302</f>
        <v/>
      </c>
      <c r="I302" s="14">
        <f>IF(F302=0,0,G302/F302-1)</f>
        <v/>
      </c>
    </row>
    <row r="303">
      <c r="A303" s="8" t="inlineStr">
        <is>
          <t>1000.2800.2140.53440.990</t>
        </is>
      </c>
      <c r="B303" s="8" t="inlineStr">
        <is>
          <t>MAINECARE SEED-</t>
        </is>
      </c>
      <c r="C303" s="16" t="n">
        <v>0</v>
      </c>
      <c r="D303" s="16" t="n">
        <v>1766.76</v>
      </c>
      <c r="E303" s="16" t="n">
        <v>42.73</v>
      </c>
      <c r="F303" s="16" t="n">
        <v>0</v>
      </c>
      <c r="G303" s="16" t="n">
        <v>0</v>
      </c>
      <c r="H303" s="16">
        <f>G303-F303</f>
        <v/>
      </c>
      <c r="I303" s="14">
        <f>IF(F303=0,0,G303/F303-1)</f>
        <v/>
      </c>
    </row>
    <row r="304">
      <c r="A304" s="9" t="n"/>
      <c r="B304" s="22" t="inlineStr">
        <is>
          <t>Program 2800 Total</t>
        </is>
      </c>
      <c r="C304" s="23">
        <f>SUM(C300:C303)</f>
        <v/>
      </c>
      <c r="D304" s="23">
        <f>SUM(D300:D303)</f>
        <v/>
      </c>
      <c r="E304" s="23">
        <f>SUM(E300:E303)</f>
        <v/>
      </c>
      <c r="F304" s="23">
        <f>SUM(F300:F303)</f>
        <v/>
      </c>
      <c r="G304" s="23">
        <f>SUM(G300:G303)</f>
        <v/>
      </c>
      <c r="H304" s="23">
        <f>SUM(H300:H303)</f>
        <v/>
      </c>
      <c r="I304" s="23">
        <f>SUM(I300:I303)</f>
        <v/>
      </c>
    </row>
    <row r="305">
      <c r="A305" s="8" t="inlineStr">
        <is>
          <t>1000.2800.2150.53440.990</t>
        </is>
      </c>
      <c r="B305" s="8" t="inlineStr">
        <is>
          <t>MAINECARE SEED-</t>
        </is>
      </c>
      <c r="C305" s="16" t="n">
        <v>430</v>
      </c>
      <c r="D305" s="16" t="n">
        <v>411.98</v>
      </c>
      <c r="E305" s="16" t="n">
        <v>0</v>
      </c>
      <c r="F305" s="16" t="n">
        <v>0</v>
      </c>
      <c r="G305" s="16" t="n">
        <v>0</v>
      </c>
      <c r="H305" s="16">
        <f>G305-F305</f>
        <v/>
      </c>
      <c r="I305" s="14">
        <f>IF(F305=0,0,G305/F305-1)</f>
        <v/>
      </c>
    </row>
    <row r="306">
      <c r="A306" s="8" t="inlineStr">
        <is>
          <t>1000.2800.2150.55800.990</t>
        </is>
      </c>
      <c r="B306" s="8" t="inlineStr">
        <is>
          <t>Travel</t>
        </is>
      </c>
      <c r="C306" s="16" t="n">
        <v>22.5</v>
      </c>
      <c r="D306" s="16" t="n">
        <v>0</v>
      </c>
      <c r="E306" s="16" t="n">
        <v>0</v>
      </c>
      <c r="F306" s="16" t="n">
        <v>0</v>
      </c>
      <c r="G306" s="16" t="n">
        <v>0</v>
      </c>
      <c r="H306" s="16">
        <f>G306-F306</f>
        <v/>
      </c>
      <c r="I306" s="14">
        <f>IF(F306=0,0,G306/F306-1)</f>
        <v/>
      </c>
    </row>
    <row r="307">
      <c r="A307" s="9" t="n"/>
      <c r="B307" s="22" t="inlineStr">
        <is>
          <t>Program 2800 Total</t>
        </is>
      </c>
      <c r="C307" s="23">
        <f>SUM(C305:C306)</f>
        <v/>
      </c>
      <c r="D307" s="23">
        <f>SUM(D305:D306)</f>
        <v/>
      </c>
      <c r="E307" s="23">
        <f>SUM(E305:E306)</f>
        <v/>
      </c>
      <c r="F307" s="23">
        <f>SUM(F305:F306)</f>
        <v/>
      </c>
      <c r="G307" s="23">
        <f>SUM(G305:G306)</f>
        <v/>
      </c>
      <c r="H307" s="23">
        <f>SUM(H305:H306)</f>
        <v/>
      </c>
      <c r="I307" s="23">
        <f>SUM(I305:I306)</f>
        <v/>
      </c>
    </row>
    <row r="308">
      <c r="A308" s="8" t="inlineStr">
        <is>
          <t>1000.2500.2330.53440.990</t>
        </is>
      </c>
      <c r="B308" s="8" t="inlineStr">
        <is>
          <t>MAINE CARE SEED-</t>
        </is>
      </c>
      <c r="C308" s="16" t="n">
        <v>16748.04</v>
      </c>
      <c r="D308" s="16" t="n">
        <v>18699.17</v>
      </c>
      <c r="E308" s="16" t="n">
        <v>16480.17</v>
      </c>
      <c r="F308" s="16" t="n">
        <v>17400</v>
      </c>
      <c r="G308" s="16" t="n">
        <v>17400</v>
      </c>
      <c r="H308" s="16">
        <f>G308-F308</f>
        <v/>
      </c>
      <c r="I308" s="14">
        <f>IF(F308=0,0,G308/F308-1)</f>
        <v/>
      </c>
    </row>
    <row r="309">
      <c r="A309" s="9" t="n"/>
      <c r="B309" s="12" t="inlineStr">
        <is>
          <t>Cost Center ('990',) Total</t>
        </is>
      </c>
      <c r="C309" s="26">
        <f>C304+C307</f>
        <v/>
      </c>
      <c r="D309" s="26">
        <f>D304+D307</f>
        <v/>
      </c>
      <c r="E309" s="26">
        <f>E304+E307</f>
        <v/>
      </c>
      <c r="F309" s="26">
        <f>F304+F307</f>
        <v/>
      </c>
      <c r="G309" s="26">
        <f>G304+G307</f>
        <v/>
      </c>
      <c r="H309" s="26">
        <f>H304+H307</f>
        <v/>
      </c>
      <c r="I309" s="26">
        <f>I304+I307</f>
        <v/>
      </c>
    </row>
    <row r="311">
      <c r="A311" s="9" t="n"/>
      <c r="B311" s="27" t="inlineStr">
        <is>
          <t>ARTICLE 2 TOTAL</t>
        </is>
      </c>
      <c r="C311" s="28">
        <f>C39+C74+C101+C139+C175+C226+C260+C295+C309</f>
        <v/>
      </c>
      <c r="D311" s="28">
        <f>D39+D74+D101+D139+D175+D226+D260+D295+D309</f>
        <v/>
      </c>
      <c r="E311" s="28">
        <f>E39+E74+E101+E139+E175+E226+E260+E295+E309</f>
        <v/>
      </c>
      <c r="F311" s="28">
        <f>F39+F74+F101+F139+F175+F226+F260+F295+F309</f>
        <v/>
      </c>
      <c r="G311" s="28">
        <f>G39+G74+G101+G139+G175+G226+G260+G295+G309</f>
        <v/>
      </c>
      <c r="H311" s="28">
        <f>H39+H74+H101+H139+H175+H226+H260+H295+H309</f>
        <v/>
      </c>
      <c r="I311" s="28">
        <f>I39+I74+I101+I139+I175+I226+I260+I295+I309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3 - Career &amp; Technical Education</t>
        </is>
      </c>
    </row>
    <row r="2">
      <c r="A2" s="2" t="inlineStr">
        <is>
          <t>Source: FY27 Proposed Budget, RSU 5</t>
        </is>
      </c>
    </row>
    <row r="3">
      <c r="A3" s="2" t="inlineStr">
        <is>
          <t>Verification: UNRECONCILED -- see Summary tab</t>
        </is>
      </c>
    </row>
    <row r="5">
      <c r="A5" s="4" t="inlineStr">
        <is>
          <t>Account</t>
        </is>
      </c>
      <c r="B5" s="4" t="inlineStr">
        <is>
          <t>Description</t>
        </is>
      </c>
      <c r="C5" s="4" t="inlineStr">
        <is>
          <t>FY23 Actual</t>
        </is>
      </c>
      <c r="D5" s="4" t="inlineStr">
        <is>
          <t>FY24 Actual</t>
        </is>
      </c>
      <c r="E5" s="4" t="inlineStr">
        <is>
          <t>FY25 Actual</t>
        </is>
      </c>
      <c r="F5" s="4" t="inlineStr">
        <is>
          <t>FY26 Adopted</t>
        </is>
      </c>
      <c r="G5" s="4" t="inlineStr">
        <is>
          <t>FY27 Proposed</t>
        </is>
      </c>
      <c r="H5" s="4" t="inlineStr">
        <is>
          <t>$ Diff</t>
        </is>
      </c>
      <c r="I5" s="4" t="inlineStr">
        <is>
          <t>% Diff</t>
        </is>
      </c>
    </row>
    <row r="6">
      <c r="A6" s="3" t="inlineStr">
        <is>
          <t>Cost Center: ('300',)</t>
        </is>
      </c>
    </row>
    <row r="7">
      <c r="A7" s="8" t="inlineStr">
        <is>
          <t>1000.3000.1000.55640.300</t>
        </is>
      </c>
      <c r="B7" s="8" t="inlineStr">
        <is>
          <t>MVR 10 Assessment</t>
        </is>
      </c>
      <c r="C7" s="16" t="n">
        <v>184596</v>
      </c>
      <c r="D7" s="16" t="n">
        <v>272017</v>
      </c>
      <c r="E7" s="16" t="n">
        <v>289668</v>
      </c>
      <c r="F7" s="16" t="n">
        <v>307645</v>
      </c>
      <c r="G7" s="16" t="n">
        <v>337282</v>
      </c>
      <c r="H7" s="16">
        <f>G7-F7</f>
        <v/>
      </c>
      <c r="I7" s="14">
        <f>IF(F7=0,0,G7/F7-1)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4 - Other Instruction</t>
        </is>
      </c>
    </row>
    <row r="2">
      <c r="A2" s="2" t="inlineStr">
        <is>
          <t>Source: FY27 Proposed Budget, RSU 5</t>
        </is>
      </c>
    </row>
    <row r="3">
      <c r="A3" s="2" t="inlineStr">
        <is>
          <t>Verification: UNRECONCILED -- see Summary tab</t>
        </is>
      </c>
    </row>
    <row r="5">
      <c r="A5" s="4" t="inlineStr">
        <is>
          <t>Account</t>
        </is>
      </c>
      <c r="B5" s="4" t="inlineStr">
        <is>
          <t>Description</t>
        </is>
      </c>
      <c r="C5" s="4" t="inlineStr">
        <is>
          <t>FY23 Actual</t>
        </is>
      </c>
      <c r="D5" s="4" t="inlineStr">
        <is>
          <t>FY24 Actual</t>
        </is>
      </c>
      <c r="E5" s="4" t="inlineStr">
        <is>
          <t>FY25 Actual</t>
        </is>
      </c>
      <c r="F5" s="4" t="inlineStr">
        <is>
          <t>FY26 Adopted</t>
        </is>
      </c>
      <c r="G5" s="4" t="inlineStr">
        <is>
          <t>FY27 Proposed</t>
        </is>
      </c>
      <c r="H5" s="4" t="inlineStr">
        <is>
          <t>$ Diff</t>
        </is>
      </c>
      <c r="I5" s="4" t="inlineStr">
        <is>
          <t>% Diff</t>
        </is>
      </c>
    </row>
    <row r="6">
      <c r="A6" s="3" t="inlineStr">
        <is>
          <t>Cost Center: ('010',)</t>
        </is>
      </c>
    </row>
    <row r="7">
      <c r="A7" s="8" t="inlineStr">
        <is>
          <t>1000.4300.1000.51010.010</t>
        </is>
      </c>
      <c r="B7" s="8" t="inlineStr">
        <is>
          <t>Summer School Teacher</t>
        </is>
      </c>
      <c r="C7" s="16" t="n">
        <v>0</v>
      </c>
      <c r="D7" s="16" t="n">
        <v>0</v>
      </c>
      <c r="E7" s="16" t="n">
        <v>0</v>
      </c>
      <c r="F7" s="16" t="n">
        <v>8352</v>
      </c>
      <c r="G7" s="16" t="n">
        <v>8937</v>
      </c>
      <c r="H7" s="16">
        <f>G7-F7</f>
        <v/>
      </c>
      <c r="I7" s="14">
        <f>IF(F7=0,0,G7/F7-1)</f>
        <v/>
      </c>
    </row>
    <row r="8">
      <c r="A8" s="8" t="inlineStr">
        <is>
          <t>1000.4300.1000.51020.010</t>
        </is>
      </c>
      <c r="B8" s="8" t="inlineStr">
        <is>
          <t>Summer School ET Wages</t>
        </is>
      </c>
      <c r="C8" s="16" t="n">
        <v>0</v>
      </c>
      <c r="D8" s="16" t="n">
        <v>0</v>
      </c>
      <c r="E8" s="16" t="n">
        <v>0</v>
      </c>
      <c r="F8" s="16" t="n">
        <v>4050</v>
      </c>
      <c r="G8" s="16" t="n">
        <v>4050</v>
      </c>
      <c r="H8" s="16">
        <f>G8-F8</f>
        <v/>
      </c>
      <c r="I8" s="14">
        <f>IF(F8=0,0,G8/F8-1)</f>
        <v/>
      </c>
    </row>
    <row r="9">
      <c r="A9" s="8" t="inlineStr">
        <is>
          <t>1000.4300.1000.52010.010</t>
        </is>
      </c>
      <c r="B9" s="8" t="inlineStr">
        <is>
          <t>Summer School Teacher</t>
        </is>
      </c>
      <c r="C9" s="16" t="n">
        <v>0</v>
      </c>
      <c r="D9" s="16" t="n">
        <v>0</v>
      </c>
      <c r="E9" s="16" t="n">
        <v>0</v>
      </c>
      <c r="F9" s="16" t="n">
        <v>281</v>
      </c>
      <c r="G9" s="16" t="n">
        <v>894</v>
      </c>
      <c r="H9" s="16">
        <f>G9-F9</f>
        <v/>
      </c>
      <c r="I9" s="14">
        <f>IF(F9=0,0,G9/F9-1)</f>
        <v/>
      </c>
    </row>
    <row r="10">
      <c r="A10" s="8" t="inlineStr">
        <is>
          <t>1000.4300.1000.52020.010</t>
        </is>
      </c>
      <c r="B10" s="8" t="inlineStr">
        <is>
          <t>Summer School ET Benefits</t>
        </is>
      </c>
      <c r="C10" s="16" t="n">
        <v>0</v>
      </c>
      <c r="D10" s="16" t="n">
        <v>0</v>
      </c>
      <c r="E10" s="16" t="n">
        <v>0</v>
      </c>
      <c r="F10" s="16" t="n">
        <v>136</v>
      </c>
      <c r="G10" s="16" t="n">
        <v>405</v>
      </c>
      <c r="H10" s="16">
        <f>G10-F10</f>
        <v/>
      </c>
      <c r="I10" s="14">
        <f>IF(F10=0,0,G10/F10-1)</f>
        <v/>
      </c>
    </row>
    <row r="11">
      <c r="A11" s="8" t="inlineStr">
        <is>
          <t>1000.4300.1000.52310.010</t>
        </is>
      </c>
      <c r="B11" s="8" t="inlineStr">
        <is>
          <t>Summer School Teacher</t>
        </is>
      </c>
      <c r="C11" s="16" t="n">
        <v>0</v>
      </c>
      <c r="D11" s="16" t="n">
        <v>0</v>
      </c>
      <c r="E11" s="16" t="n">
        <v>0</v>
      </c>
      <c r="F11" s="16" t="n">
        <v>373</v>
      </c>
      <c r="G11" s="16" t="n">
        <v>399</v>
      </c>
      <c r="H11" s="16">
        <f>G11-F11</f>
        <v/>
      </c>
      <c r="I11" s="14">
        <f>IF(F11=0,0,G11/F11-1)</f>
        <v/>
      </c>
    </row>
    <row r="12">
      <c r="A12" s="8" t="inlineStr">
        <is>
          <t>1000.4300.1000.52320.010</t>
        </is>
      </c>
      <c r="B12" s="8" t="inlineStr">
        <is>
          <t>Summer School ET</t>
        </is>
      </c>
      <c r="C12" s="16" t="n">
        <v>0</v>
      </c>
      <c r="D12" s="16" t="n">
        <v>0</v>
      </c>
      <c r="E12" s="16" t="n">
        <v>0</v>
      </c>
      <c r="F12" s="16" t="n">
        <v>181</v>
      </c>
      <c r="G12" s="16" t="n">
        <v>181</v>
      </c>
      <c r="H12" s="16">
        <f>G12-F12</f>
        <v/>
      </c>
      <c r="I12" s="14">
        <f>IF(F12=0,0,G12/F12-1)</f>
        <v/>
      </c>
    </row>
    <row r="13">
      <c r="A13" s="9" t="n"/>
      <c r="B13" s="22" t="inlineStr">
        <is>
          <t>Program 4300 Total</t>
        </is>
      </c>
      <c r="C13" s="23">
        <f>SUM(C7:C12)</f>
        <v/>
      </c>
      <c r="D13" s="23">
        <f>SUM(D7:D12)</f>
        <v/>
      </c>
      <c r="E13" s="23">
        <f>SUM(E7:E12)</f>
        <v/>
      </c>
      <c r="F13" s="23">
        <f>SUM(F7:F12)</f>
        <v/>
      </c>
      <c r="G13" s="23">
        <f>SUM(G7:G12)</f>
        <v/>
      </c>
      <c r="H13" s="23">
        <f>SUM(H7:H12)</f>
        <v/>
      </c>
      <c r="I13" s="23">
        <f>SUM(I7:I12)</f>
        <v/>
      </c>
    </row>
    <row r="14">
      <c r="A14" s="8" t="inlineStr">
        <is>
          <t>1000.9100.1000.51180.010</t>
        </is>
      </c>
      <c r="B14" s="8" t="inlineStr">
        <is>
          <t>Support Wages - DCS</t>
        </is>
      </c>
      <c r="C14" s="16" t="n">
        <v>228.75</v>
      </c>
      <c r="D14" s="16" t="n">
        <v>420</v>
      </c>
      <c r="E14" s="16" t="n">
        <v>200</v>
      </c>
      <c r="F14" s="16" t="n">
        <v>0</v>
      </c>
      <c r="G14" s="16" t="n">
        <v>0</v>
      </c>
      <c r="H14" s="16">
        <f>G14-F14</f>
        <v/>
      </c>
      <c r="I14" s="14">
        <f>IF(F14=0,0,G14/F14-1)</f>
        <v/>
      </c>
    </row>
    <row r="15">
      <c r="A15" s="8" t="inlineStr">
        <is>
          <t>1000.9100.1000.51500.010</t>
        </is>
      </c>
      <c r="B15" s="8" t="inlineStr">
        <is>
          <t>Stipends</t>
        </is>
      </c>
      <c r="C15" s="16" t="n">
        <v>33146.19</v>
      </c>
      <c r="D15" s="16" t="n">
        <v>24884.57</v>
      </c>
      <c r="E15" s="16" t="n">
        <v>25167</v>
      </c>
      <c r="F15" s="16" t="n">
        <v>30841</v>
      </c>
      <c r="G15" s="16" t="n">
        <v>29441</v>
      </c>
      <c r="H15" s="16">
        <f>G15-F15</f>
        <v/>
      </c>
      <c r="I15" s="14">
        <f>IF(F15=0,0,G15/F15-1)</f>
        <v/>
      </c>
    </row>
    <row r="16">
      <c r="A16" s="8" t="inlineStr">
        <is>
          <t>1000.9100.1000.52000.010</t>
        </is>
      </c>
      <c r="B16" s="8" t="inlineStr">
        <is>
          <t>Benefits</t>
        </is>
      </c>
      <c r="C16" s="16" t="n">
        <v>5078.01</v>
      </c>
      <c r="D16" s="16" t="n">
        <v>4674.4</v>
      </c>
      <c r="E16" s="16" t="n">
        <v>4276.68</v>
      </c>
      <c r="F16" s="16" t="n">
        <v>1036</v>
      </c>
      <c r="G16" s="16" t="n">
        <v>989</v>
      </c>
      <c r="H16" s="16">
        <f>G16-F16</f>
        <v/>
      </c>
      <c r="I16" s="14">
        <f>IF(F16=0,0,G16/F16-1)</f>
        <v/>
      </c>
    </row>
    <row r="17">
      <c r="A17" s="8" t="inlineStr">
        <is>
          <t>1000.9100.1000.52080.010</t>
        </is>
      </c>
      <c r="B17" s="8" t="inlineStr">
        <is>
          <t>Support Benefits - DCS</t>
        </is>
      </c>
      <c r="C17" s="16" t="n">
        <v>2.48</v>
      </c>
      <c r="D17" s="16" t="n">
        <v>16.3</v>
      </c>
      <c r="E17" s="16" t="n">
        <v>5.75</v>
      </c>
      <c r="F17" s="16" t="n">
        <v>0</v>
      </c>
      <c r="G17" s="16" t="n">
        <v>0</v>
      </c>
      <c r="H17" s="16">
        <f>G17-F17</f>
        <v/>
      </c>
      <c r="I17" s="14">
        <f>IF(F17=0,0,G17/F17-1)</f>
        <v/>
      </c>
    </row>
    <row r="18">
      <c r="A18" s="8" t="inlineStr">
        <is>
          <t>1000.9100.1000.52300.010</t>
        </is>
      </c>
      <c r="B18" s="8" t="inlineStr">
        <is>
          <t>Retirement</t>
        </is>
      </c>
      <c r="C18" s="16" t="n">
        <v>1064</v>
      </c>
      <c r="D18" s="16" t="n">
        <v>997.71</v>
      </c>
      <c r="E18" s="16" t="n">
        <v>1116.27</v>
      </c>
      <c r="F18" s="16" t="n">
        <v>1379</v>
      </c>
      <c r="G18" s="16" t="n">
        <v>1316</v>
      </c>
      <c r="H18" s="16">
        <f>G18-F18</f>
        <v/>
      </c>
      <c r="I18" s="14">
        <f>IF(F18=0,0,G18/F18-1)</f>
        <v/>
      </c>
    </row>
    <row r="19">
      <c r="A19" s="8" t="inlineStr">
        <is>
          <t>1000.9100.1000.52380.010</t>
        </is>
      </c>
      <c r="B19" s="8" t="inlineStr">
        <is>
          <t>Retirement for Regular</t>
        </is>
      </c>
      <c r="C19" s="16" t="n">
        <v>0</v>
      </c>
      <c r="D19" s="16" t="n">
        <v>19.62</v>
      </c>
      <c r="E19" s="16" t="n">
        <v>12.96</v>
      </c>
      <c r="F19" s="16" t="n">
        <v>0</v>
      </c>
      <c r="G19" s="16" t="n">
        <v>0</v>
      </c>
      <c r="H19" s="16">
        <f>G19-F19</f>
        <v/>
      </c>
      <c r="I19" s="14">
        <f>IF(F19=0,0,G19/F19-1)</f>
        <v/>
      </c>
    </row>
    <row r="20">
      <c r="A20" s="8" t="inlineStr">
        <is>
          <t>1000.9100.1000.56000.010</t>
        </is>
      </c>
      <c r="B20" s="8" t="inlineStr">
        <is>
          <t>Supplies</t>
        </is>
      </c>
      <c r="C20" s="16" t="n">
        <v>726.65</v>
      </c>
      <c r="D20" s="16" t="n">
        <v>1043.27</v>
      </c>
      <c r="E20" s="16" t="n">
        <v>1020.22</v>
      </c>
      <c r="F20" s="16" t="n">
        <v>1250</v>
      </c>
      <c r="G20" s="16" t="n">
        <v>1250</v>
      </c>
      <c r="H20" s="16">
        <f>G20-F20</f>
        <v/>
      </c>
      <c r="I20" s="14">
        <f>IF(F20=0,0,G20/F20-1)</f>
        <v/>
      </c>
    </row>
    <row r="21">
      <c r="A21" s="8" t="inlineStr">
        <is>
          <t>1000.9100.1000.58100.010</t>
        </is>
      </c>
      <c r="B21" s="8" t="inlineStr">
        <is>
          <t>Dues &amp; Fees</t>
        </is>
      </c>
      <c r="C21" s="16" t="n">
        <v>810</v>
      </c>
      <c r="D21" s="16" t="n">
        <v>765</v>
      </c>
      <c r="E21" s="16" t="n">
        <v>1500</v>
      </c>
      <c r="F21" s="16" t="n">
        <v>1422</v>
      </c>
      <c r="G21" s="16" t="n">
        <v>1867</v>
      </c>
      <c r="H21" s="16">
        <f>G21-F21</f>
        <v/>
      </c>
      <c r="I21" s="14">
        <f>IF(F21=0,0,G21/F21-1)</f>
        <v/>
      </c>
    </row>
    <row r="22">
      <c r="A22" s="9" t="n"/>
      <c r="B22" s="22" t="inlineStr">
        <is>
          <t>Program 9100 Total</t>
        </is>
      </c>
      <c r="C22" s="23">
        <f>SUM(C14:C21)</f>
        <v/>
      </c>
      <c r="D22" s="23">
        <f>SUM(D14:D21)</f>
        <v/>
      </c>
      <c r="E22" s="23">
        <f>SUM(E14:E21)</f>
        <v/>
      </c>
      <c r="F22" s="23">
        <f>SUM(F14:F21)</f>
        <v/>
      </c>
      <c r="G22" s="23">
        <f>SUM(G14:G21)</f>
        <v/>
      </c>
      <c r="H22" s="23">
        <f>SUM(H14:H21)</f>
        <v/>
      </c>
      <c r="I22" s="23">
        <f>SUM(I14:I21)</f>
        <v/>
      </c>
    </row>
    <row r="23">
      <c r="A23" s="8" t="inlineStr">
        <is>
          <t>1000.9200.1000.51500.010</t>
        </is>
      </c>
      <c r="B23" s="8" t="inlineStr">
        <is>
          <t>EXTRA-CURRICULAR</t>
        </is>
      </c>
      <c r="C23" s="16" t="n">
        <v>4090</v>
      </c>
      <c r="D23" s="16" t="n">
        <v>4090</v>
      </c>
      <c r="E23" s="16" t="n">
        <v>2180</v>
      </c>
      <c r="F23" s="16" t="n">
        <v>37477</v>
      </c>
      <c r="G23" s="16" t="n">
        <v>37477</v>
      </c>
      <c r="H23" s="16">
        <f>G23-F23</f>
        <v/>
      </c>
      <c r="I23" s="14">
        <f>IF(F23=0,0,G23/F23-1)</f>
        <v/>
      </c>
    </row>
    <row r="24">
      <c r="A24" s="8" t="inlineStr">
        <is>
          <t>1000.9200.1000.52000.010</t>
        </is>
      </c>
      <c r="B24" s="8" t="inlineStr">
        <is>
          <t>EXTRA-CURR STIPEND</t>
        </is>
      </c>
      <c r="C24" s="16" t="n">
        <v>872.53</v>
      </c>
      <c r="D24" s="16" t="n">
        <v>720.5</v>
      </c>
      <c r="E24" s="16" t="n">
        <v>365.02</v>
      </c>
      <c r="F24" s="16" t="n">
        <v>1259</v>
      </c>
      <c r="G24" s="16" t="n">
        <v>1259</v>
      </c>
      <c r="H24" s="16">
        <f>G24-F24</f>
        <v/>
      </c>
      <c r="I24" s="14">
        <f>IF(F24=0,0,G24/F24-1)</f>
        <v/>
      </c>
    </row>
    <row r="25">
      <c r="A25" s="8" t="inlineStr">
        <is>
          <t>1000.9200.1000.52300.010</t>
        </is>
      </c>
      <c r="B25" s="8" t="inlineStr">
        <is>
          <t>EXTRA-CURR STIPEND</t>
        </is>
      </c>
      <c r="C25" s="16" t="n">
        <v>157.06</v>
      </c>
      <c r="D25" s="16" t="n">
        <v>182.83</v>
      </c>
      <c r="E25" s="16" t="n">
        <v>97.44</v>
      </c>
      <c r="F25" s="16" t="n">
        <v>1675</v>
      </c>
      <c r="G25" s="16" t="n">
        <v>1675</v>
      </c>
      <c r="H25" s="16">
        <f>G25-F25</f>
        <v/>
      </c>
      <c r="I25" s="14">
        <f>IF(F25=0,0,G25/F25-1)</f>
        <v/>
      </c>
    </row>
    <row r="26">
      <c r="A26" s="9" t="n"/>
      <c r="B26" s="22" t="inlineStr">
        <is>
          <t>Program 9200 Total</t>
        </is>
      </c>
      <c r="C26" s="23">
        <f>SUM(C23:C25)</f>
        <v/>
      </c>
      <c r="D26" s="23">
        <f>SUM(D23:D25)</f>
        <v/>
      </c>
      <c r="E26" s="23">
        <f>SUM(E23:E25)</f>
        <v/>
      </c>
      <c r="F26" s="23">
        <f>SUM(F23:F25)</f>
        <v/>
      </c>
      <c r="G26" s="23">
        <f>SUM(G23:G25)</f>
        <v/>
      </c>
      <c r="H26" s="23">
        <f>SUM(H23:H25)</f>
        <v/>
      </c>
      <c r="I26" s="23">
        <f>SUM(I23:I25)</f>
        <v/>
      </c>
    </row>
    <row r="27">
      <c r="A27" s="9" t="n"/>
      <c r="B27" s="24" t="inlineStr">
        <is>
          <t>Function 1000 Total</t>
        </is>
      </c>
      <c r="C27" s="25">
        <f>C13+C22+C26</f>
        <v/>
      </c>
      <c r="D27" s="25">
        <f>D13+D22+D26</f>
        <v/>
      </c>
      <c r="E27" s="25">
        <f>E13+E22+E26</f>
        <v/>
      </c>
      <c r="F27" s="25">
        <f>F13+F22+F26</f>
        <v/>
      </c>
      <c r="G27" s="25">
        <f>G13+G22+G26</f>
        <v/>
      </c>
      <c r="H27" s="25">
        <f>H13+H22+H26</f>
        <v/>
      </c>
      <c r="I27" s="25">
        <f>I13+I22+I26</f>
        <v/>
      </c>
    </row>
    <row r="28">
      <c r="A28" s="9" t="n"/>
      <c r="B28" s="12" t="inlineStr">
        <is>
          <t>Cost Center ('010',) Total</t>
        </is>
      </c>
      <c r="C28" s="26">
        <f>C27</f>
        <v/>
      </c>
      <c r="D28" s="26">
        <f>D27</f>
        <v/>
      </c>
      <c r="E28" s="26">
        <f>E27</f>
        <v/>
      </c>
      <c r="F28" s="26">
        <f>F27</f>
        <v/>
      </c>
      <c r="G28" s="26">
        <f>G27</f>
        <v/>
      </c>
      <c r="H28" s="26">
        <f>H27</f>
        <v/>
      </c>
      <c r="I28" s="26">
        <f>I27</f>
        <v/>
      </c>
    </row>
    <row r="30">
      <c r="A30" s="3" t="inlineStr">
        <is>
          <t>Cost Center: ('020',)</t>
        </is>
      </c>
    </row>
    <row r="31">
      <c r="A31" s="8" t="inlineStr">
        <is>
          <t>1000.4300.1000.51010.020</t>
        </is>
      </c>
      <c r="B31" s="8" t="inlineStr">
        <is>
          <t>Summer School Teacher</t>
        </is>
      </c>
      <c r="C31" s="16" t="n">
        <v>0</v>
      </c>
      <c r="D31" s="16" t="n">
        <v>0</v>
      </c>
      <c r="E31" s="16" t="n">
        <v>0</v>
      </c>
      <c r="F31" s="16" t="n">
        <v>0</v>
      </c>
      <c r="G31" s="16" t="n">
        <v>7150</v>
      </c>
      <c r="H31" s="16">
        <f>G31-F31</f>
        <v/>
      </c>
      <c r="I31" s="14">
        <f>IF(F31=0,0,G31/F31-1)</f>
        <v/>
      </c>
    </row>
    <row r="32">
      <c r="A32" s="8" t="inlineStr">
        <is>
          <t>1000.4300.1000.51020.020</t>
        </is>
      </c>
      <c r="B32" s="8" t="inlineStr">
        <is>
          <t>Summer School ET Wages</t>
        </is>
      </c>
      <c r="C32" s="16" t="n">
        <v>0</v>
      </c>
      <c r="D32" s="16" t="n">
        <v>4564.12</v>
      </c>
      <c r="E32" s="16" t="n">
        <v>0</v>
      </c>
      <c r="F32" s="16" t="n">
        <v>0</v>
      </c>
      <c r="G32" s="16" t="n">
        <v>0</v>
      </c>
      <c r="H32" s="16">
        <f>G32-F32</f>
        <v/>
      </c>
      <c r="I32" s="14">
        <f>IF(F32=0,0,G32/F32-1)</f>
        <v/>
      </c>
    </row>
    <row r="33">
      <c r="A33" s="8" t="inlineStr">
        <is>
          <t>1000.4300.1000.52010.020</t>
        </is>
      </c>
      <c r="B33" s="8" t="inlineStr">
        <is>
          <t>Summer School Teacher</t>
        </is>
      </c>
      <c r="C33" s="16" t="n">
        <v>0</v>
      </c>
      <c r="D33" s="16" t="n">
        <v>0</v>
      </c>
      <c r="E33" s="16" t="n">
        <v>0</v>
      </c>
      <c r="F33" s="16" t="n">
        <v>0</v>
      </c>
      <c r="G33" s="16" t="n">
        <v>240</v>
      </c>
      <c r="H33" s="16">
        <f>G33-F33</f>
        <v/>
      </c>
      <c r="I33" s="14">
        <f>IF(F33=0,0,G33/F33-1)</f>
        <v/>
      </c>
    </row>
    <row r="34">
      <c r="A34" s="8" t="inlineStr">
        <is>
          <t>1000.4300.1000.52310.020</t>
        </is>
      </c>
      <c r="B34" s="8" t="inlineStr">
        <is>
          <t>Summer School Teacher</t>
        </is>
      </c>
      <c r="C34" s="16" t="n">
        <v>0</v>
      </c>
      <c r="D34" s="16" t="n">
        <v>0</v>
      </c>
      <c r="E34" s="16" t="n">
        <v>0</v>
      </c>
      <c r="F34" s="16" t="n">
        <v>0</v>
      </c>
      <c r="G34" s="16" t="n">
        <v>320</v>
      </c>
      <c r="H34" s="16">
        <f>G34-F34</f>
        <v/>
      </c>
      <c r="I34" s="14">
        <f>IF(F34=0,0,G34/F34-1)</f>
        <v/>
      </c>
    </row>
    <row r="35">
      <c r="A35" s="9" t="n"/>
      <c r="B35" s="22" t="inlineStr">
        <is>
          <t>Program 4300 Total</t>
        </is>
      </c>
      <c r="C35" s="23">
        <f>SUM(C31:C34)</f>
        <v/>
      </c>
      <c r="D35" s="23">
        <f>SUM(D31:D34)</f>
        <v/>
      </c>
      <c r="E35" s="23">
        <f>SUM(E31:E34)</f>
        <v/>
      </c>
      <c r="F35" s="23">
        <f>SUM(F31:F34)</f>
        <v/>
      </c>
      <c r="G35" s="23">
        <f>SUM(G31:G34)</f>
        <v/>
      </c>
      <c r="H35" s="23">
        <f>SUM(H31:H34)</f>
        <v/>
      </c>
      <c r="I35" s="23">
        <f>SUM(I31:I34)</f>
        <v/>
      </c>
    </row>
    <row r="36">
      <c r="A36" s="9" t="n"/>
      <c r="B36" s="12" t="inlineStr">
        <is>
          <t>Cost Center ('020',) Total</t>
        </is>
      </c>
      <c r="C36" s="26">
        <f>C35</f>
        <v/>
      </c>
      <c r="D36" s="26">
        <f>D35</f>
        <v/>
      </c>
      <c r="E36" s="26">
        <f>E35</f>
        <v/>
      </c>
      <c r="F36" s="26">
        <f>F35</f>
        <v/>
      </c>
      <c r="G36" s="26">
        <f>G35</f>
        <v/>
      </c>
      <c r="H36" s="26">
        <f>H35</f>
        <v/>
      </c>
      <c r="I36" s="26">
        <f>I35</f>
        <v/>
      </c>
    </row>
    <row r="38">
      <c r="A38" s="3" t="inlineStr">
        <is>
          <t>Cost Center: ('030',)</t>
        </is>
      </c>
    </row>
    <row r="39">
      <c r="A39" s="8" t="inlineStr">
        <is>
          <t>1000.4300.1000.51020.030</t>
        </is>
      </c>
      <c r="B39" s="8" t="inlineStr">
        <is>
          <t>Summer School ET Wages</t>
        </is>
      </c>
      <c r="C39" s="16" t="n">
        <v>0</v>
      </c>
      <c r="D39" s="16" t="n">
        <v>0</v>
      </c>
      <c r="E39" s="16" t="n">
        <v>0</v>
      </c>
      <c r="F39" s="16" t="n">
        <v>1950</v>
      </c>
      <c r="G39" s="16" t="n">
        <v>3873</v>
      </c>
      <c r="H39" s="16">
        <f>G39-F39</f>
        <v/>
      </c>
      <c r="I39" s="14">
        <f>IF(F39=0,0,G39/F39-1)</f>
        <v/>
      </c>
    </row>
    <row r="40">
      <c r="A40" s="8" t="inlineStr">
        <is>
          <t>1000.4300.1000.52020.030</t>
        </is>
      </c>
      <c r="B40" s="8" t="inlineStr">
        <is>
          <t>Summer School ET Benefits</t>
        </is>
      </c>
      <c r="C40" s="16" t="n">
        <v>0</v>
      </c>
      <c r="D40" s="16" t="n">
        <v>0</v>
      </c>
      <c r="E40" s="16" t="n">
        <v>0</v>
      </c>
      <c r="F40" s="16" t="n">
        <v>66</v>
      </c>
      <c r="G40" s="16" t="n">
        <v>387</v>
      </c>
      <c r="H40" s="16">
        <f>G40-F40</f>
        <v/>
      </c>
      <c r="I40" s="14">
        <f>IF(F40=0,0,G40/F40-1)</f>
        <v/>
      </c>
    </row>
    <row r="41">
      <c r="A41" s="8" t="inlineStr">
        <is>
          <t>1000.4300.1000.52320.030</t>
        </is>
      </c>
      <c r="B41" s="8" t="inlineStr">
        <is>
          <t>Summer School ET</t>
        </is>
      </c>
      <c r="C41" s="16" t="n">
        <v>0</v>
      </c>
      <c r="D41" s="16" t="n">
        <v>0</v>
      </c>
      <c r="E41" s="16" t="n">
        <v>0</v>
      </c>
      <c r="F41" s="16" t="n">
        <v>87</v>
      </c>
      <c r="G41" s="16" t="n">
        <v>173</v>
      </c>
      <c r="H41" s="16">
        <f>G41-F41</f>
        <v/>
      </c>
      <c r="I41" s="14">
        <f>IF(F41=0,0,G41/F41-1)</f>
        <v/>
      </c>
    </row>
    <row r="42">
      <c r="A42" s="9" t="n"/>
      <c r="B42" s="22" t="inlineStr">
        <is>
          <t>Program 4300 Total</t>
        </is>
      </c>
      <c r="C42" s="23">
        <f>SUM(C39:C41)</f>
        <v/>
      </c>
      <c r="D42" s="23">
        <f>SUM(D39:D41)</f>
        <v/>
      </c>
      <c r="E42" s="23">
        <f>SUM(E39:E41)</f>
        <v/>
      </c>
      <c r="F42" s="23">
        <f>SUM(F39:F41)</f>
        <v/>
      </c>
      <c r="G42" s="23">
        <f>SUM(G39:G41)</f>
        <v/>
      </c>
      <c r="H42" s="23">
        <f>SUM(H39:H41)</f>
        <v/>
      </c>
      <c r="I42" s="23">
        <f>SUM(I39:I41)</f>
        <v/>
      </c>
    </row>
    <row r="43">
      <c r="A43" s="8" t="inlineStr">
        <is>
          <t>1000.9100.1000.51500.030</t>
        </is>
      </c>
      <c r="B43" s="8" t="inlineStr">
        <is>
          <t>Stipends</t>
        </is>
      </c>
      <c r="C43" s="16" t="n">
        <v>6321</v>
      </c>
      <c r="D43" s="16" t="n">
        <v>3966</v>
      </c>
      <c r="E43" s="16" t="n">
        <v>2672</v>
      </c>
      <c r="F43" s="16" t="n">
        <v>5944</v>
      </c>
      <c r="G43" s="16" t="n">
        <v>5944</v>
      </c>
      <c r="H43" s="16">
        <f>G43-F43</f>
        <v/>
      </c>
      <c r="I43" s="14">
        <f>IF(F43=0,0,G43/F43-1)</f>
        <v/>
      </c>
    </row>
    <row r="44">
      <c r="A44" s="8" t="inlineStr">
        <is>
          <t>1000.9100.1000.52000.030</t>
        </is>
      </c>
      <c r="B44" s="8" t="inlineStr">
        <is>
          <t>Stipend Benefits</t>
        </is>
      </c>
      <c r="C44" s="16" t="n">
        <v>815.03</v>
      </c>
      <c r="D44" s="16" t="n">
        <v>229.19</v>
      </c>
      <c r="E44" s="16" t="n">
        <v>354.75</v>
      </c>
      <c r="F44" s="16" t="n">
        <v>200</v>
      </c>
      <c r="G44" s="16" t="n">
        <v>200</v>
      </c>
      <c r="H44" s="16">
        <f>G44-F44</f>
        <v/>
      </c>
      <c r="I44" s="14">
        <f>IF(F44=0,0,G44/F44-1)</f>
        <v/>
      </c>
    </row>
    <row r="45">
      <c r="A45" s="8" t="inlineStr">
        <is>
          <t>1000.9100.1000.52300.030</t>
        </is>
      </c>
      <c r="B45" s="8" t="inlineStr">
        <is>
          <t>MPERS Employer</t>
        </is>
      </c>
      <c r="C45" s="16" t="n">
        <v>242.59</v>
      </c>
      <c r="D45" s="16" t="n">
        <v>177.27</v>
      </c>
      <c r="E45" s="16" t="n">
        <v>119.42</v>
      </c>
      <c r="F45" s="16" t="n">
        <v>266</v>
      </c>
      <c r="G45" s="16" t="n">
        <v>266</v>
      </c>
      <c r="H45" s="16">
        <f>G45-F45</f>
        <v/>
      </c>
      <c r="I45" s="14">
        <f>IF(F45=0,0,G45/F45-1)</f>
        <v/>
      </c>
    </row>
    <row r="46">
      <c r="A46" s="9" t="n"/>
      <c r="B46" s="22" t="inlineStr">
        <is>
          <t>Program 9100 Total</t>
        </is>
      </c>
      <c r="C46" s="23">
        <f>SUM(C43:C45)</f>
        <v/>
      </c>
      <c r="D46" s="23">
        <f>SUM(D43:D45)</f>
        <v/>
      </c>
      <c r="E46" s="23">
        <f>SUM(E43:E45)</f>
        <v/>
      </c>
      <c r="F46" s="23">
        <f>SUM(F43:F45)</f>
        <v/>
      </c>
      <c r="G46" s="23">
        <f>SUM(G43:G45)</f>
        <v/>
      </c>
      <c r="H46" s="23">
        <f>SUM(H43:H45)</f>
        <v/>
      </c>
      <c r="I46" s="23">
        <f>SUM(I43:I45)</f>
        <v/>
      </c>
    </row>
    <row r="47">
      <c r="A47" s="8" t="inlineStr">
        <is>
          <t>1000.9200.1000.51500.030</t>
        </is>
      </c>
      <c r="B47" s="8" t="inlineStr">
        <is>
          <t>Extra-Curricular Stipends -</t>
        </is>
      </c>
      <c r="C47" s="16" t="n">
        <v>2016</v>
      </c>
      <c r="D47" s="16" t="n">
        <v>2166</v>
      </c>
      <c r="E47" s="16" t="n">
        <v>2416</v>
      </c>
      <c r="F47" s="16" t="n">
        <v>2116</v>
      </c>
      <c r="G47" s="16" t="n">
        <v>2116</v>
      </c>
      <c r="H47" s="16">
        <f>G47-F47</f>
        <v/>
      </c>
      <c r="I47" s="14">
        <f>IF(F47=0,0,G47/F47-1)</f>
        <v/>
      </c>
    </row>
    <row r="48">
      <c r="A48" s="8" t="inlineStr">
        <is>
          <t>1000.9200.1000.52000.030</t>
        </is>
      </c>
      <c r="B48" s="8" t="inlineStr">
        <is>
          <t>Extra-Curricular Stipends</t>
        </is>
      </c>
      <c r="C48" s="16" t="n">
        <v>261.86</v>
      </c>
      <c r="D48" s="16" t="n">
        <v>284.35</v>
      </c>
      <c r="E48" s="16" t="n">
        <v>312.99</v>
      </c>
      <c r="F48" s="16" t="n">
        <v>71</v>
      </c>
      <c r="G48" s="16" t="n">
        <v>71</v>
      </c>
      <c r="H48" s="16">
        <f>G48-F48</f>
        <v/>
      </c>
      <c r="I48" s="14">
        <f>IF(F48=0,0,G48/F48-1)</f>
        <v/>
      </c>
    </row>
    <row r="49">
      <c r="A49" s="8" t="inlineStr">
        <is>
          <t>1000.9200.1000.52300.030</t>
        </is>
      </c>
      <c r="B49" s="8" t="inlineStr">
        <is>
          <t>Extra-Curricular Stipends</t>
        </is>
      </c>
      <c r="C49" s="16" t="n">
        <v>77.40000000000001</v>
      </c>
      <c r="D49" s="16" t="n">
        <v>96.79000000000001</v>
      </c>
      <c r="E49" s="16" t="n">
        <v>107.99</v>
      </c>
      <c r="F49" s="16" t="n">
        <v>95</v>
      </c>
      <c r="G49" s="16" t="n">
        <v>95</v>
      </c>
      <c r="H49" s="16">
        <f>G49-F49</f>
        <v/>
      </c>
      <c r="I49" s="14">
        <f>IF(F49=0,0,G49/F49-1)</f>
        <v/>
      </c>
    </row>
    <row r="50">
      <c r="A50" s="9" t="n"/>
      <c r="B50" s="22" t="inlineStr">
        <is>
          <t>Program 9200 Total</t>
        </is>
      </c>
      <c r="C50" s="23">
        <f>SUM(C47:C49)</f>
        <v/>
      </c>
      <c r="D50" s="23">
        <f>SUM(D47:D49)</f>
        <v/>
      </c>
      <c r="E50" s="23">
        <f>SUM(E47:E49)</f>
        <v/>
      </c>
      <c r="F50" s="23">
        <f>SUM(F47:F49)</f>
        <v/>
      </c>
      <c r="G50" s="23">
        <f>SUM(G47:G49)</f>
        <v/>
      </c>
      <c r="H50" s="23">
        <f>SUM(H47:H49)</f>
        <v/>
      </c>
      <c r="I50" s="23">
        <f>SUM(I47:I49)</f>
        <v/>
      </c>
    </row>
    <row r="51">
      <c r="A51" s="9" t="n"/>
      <c r="B51" s="24" t="inlineStr">
        <is>
          <t>Function 1000 Total</t>
        </is>
      </c>
      <c r="C51" s="25">
        <f>C42+C46+C50</f>
        <v/>
      </c>
      <c r="D51" s="25">
        <f>D42+D46+D50</f>
        <v/>
      </c>
      <c r="E51" s="25">
        <f>E42+E46+E50</f>
        <v/>
      </c>
      <c r="F51" s="25">
        <f>F42+F46+F50</f>
        <v/>
      </c>
      <c r="G51" s="25">
        <f>G42+G46+G50</f>
        <v/>
      </c>
      <c r="H51" s="25">
        <f>H42+H46+H50</f>
        <v/>
      </c>
      <c r="I51" s="25">
        <f>I42+I46+I50</f>
        <v/>
      </c>
    </row>
    <row r="52">
      <c r="A52" s="9" t="n"/>
      <c r="B52" s="12" t="inlineStr">
        <is>
          <t>Cost Center ('030',) Total</t>
        </is>
      </c>
      <c r="C52" s="26">
        <f>C51</f>
        <v/>
      </c>
      <c r="D52" s="26">
        <f>D51</f>
        <v/>
      </c>
      <c r="E52" s="26">
        <f>E51</f>
        <v/>
      </c>
      <c r="F52" s="26">
        <f>F51</f>
        <v/>
      </c>
      <c r="G52" s="26">
        <f>G51</f>
        <v/>
      </c>
      <c r="H52" s="26">
        <f>H51</f>
        <v/>
      </c>
      <c r="I52" s="26">
        <f>I51</f>
        <v/>
      </c>
    </row>
    <row r="54">
      <c r="A54" s="3" t="inlineStr">
        <is>
          <t>Cost Center: ('040',)</t>
        </is>
      </c>
    </row>
    <row r="55">
      <c r="A55" s="8" t="inlineStr">
        <is>
          <t>1000.9100.1000.51500.040</t>
        </is>
      </c>
      <c r="B55" s="8" t="inlineStr">
        <is>
          <t>Stipends</t>
        </is>
      </c>
      <c r="C55" s="16" t="n">
        <v>11055.41</v>
      </c>
      <c r="D55" s="16" t="n">
        <v>9998.440000000001</v>
      </c>
      <c r="E55" s="16" t="n">
        <v>10590</v>
      </c>
      <c r="F55" s="16" t="n">
        <v>11190</v>
      </c>
      <c r="G55" s="16" t="n">
        <v>11190</v>
      </c>
      <c r="H55" s="16">
        <f>G55-F55</f>
        <v/>
      </c>
      <c r="I55" s="14">
        <f>IF(F55=0,0,G55/F55-1)</f>
        <v/>
      </c>
    </row>
    <row r="56">
      <c r="A56" s="8" t="inlineStr">
        <is>
          <t>1000.9100.1000.52000.040</t>
        </is>
      </c>
      <c r="B56" s="8" t="inlineStr">
        <is>
          <t>Stipend Benefits</t>
        </is>
      </c>
      <c r="C56" s="16" t="n">
        <v>2628.77</v>
      </c>
      <c r="D56" s="16" t="n">
        <v>2216.33</v>
      </c>
      <c r="E56" s="16" t="n">
        <v>1946.3</v>
      </c>
      <c r="F56" s="16" t="n">
        <v>376</v>
      </c>
      <c r="G56" s="16" t="n">
        <v>376</v>
      </c>
      <c r="H56" s="16">
        <f>G56-F56</f>
        <v/>
      </c>
      <c r="I56" s="14">
        <f>IF(F56=0,0,G56/F56-1)</f>
        <v/>
      </c>
    </row>
    <row r="57">
      <c r="A57" s="8" t="inlineStr">
        <is>
          <t>1000.9100.1000.52300.040</t>
        </is>
      </c>
      <c r="B57" s="8" t="inlineStr">
        <is>
          <t>RETIREMENT</t>
        </is>
      </c>
      <c r="C57" s="16" t="n">
        <v>330.59</v>
      </c>
      <c r="D57" s="16" t="n">
        <v>342.8</v>
      </c>
      <c r="E57" s="16" t="n">
        <v>362.5</v>
      </c>
      <c r="F57" s="16" t="n">
        <v>500</v>
      </c>
      <c r="G57" s="16" t="n">
        <v>500</v>
      </c>
      <c r="H57" s="16">
        <f>G57-F57</f>
        <v/>
      </c>
      <c r="I57" s="14">
        <f>IF(F57=0,0,G57/F57-1)</f>
        <v/>
      </c>
    </row>
    <row r="58">
      <c r="A58" s="8" t="inlineStr">
        <is>
          <t>1000.9100.1000.58100.040</t>
        </is>
      </c>
      <c r="B58" s="8" t="inlineStr">
        <is>
          <t>Dues &amp; Fees</t>
        </is>
      </c>
      <c r="C58" s="16" t="n">
        <v>275</v>
      </c>
      <c r="D58" s="16" t="n">
        <v>0</v>
      </c>
      <c r="E58" s="16" t="n">
        <v>378.4</v>
      </c>
      <c r="F58" s="16" t="n">
        <v>560</v>
      </c>
      <c r="G58" s="16" t="n">
        <v>560</v>
      </c>
      <c r="H58" s="16">
        <f>G58-F58</f>
        <v/>
      </c>
      <c r="I58" s="14">
        <f>IF(F58=0,0,G58/F58-1)</f>
        <v/>
      </c>
    </row>
    <row r="59">
      <c r="A59" s="9" t="n"/>
      <c r="B59" s="22" t="inlineStr">
        <is>
          <t>Program 9100 Total</t>
        </is>
      </c>
      <c r="C59" s="23">
        <f>SUM(C55:C58)</f>
        <v/>
      </c>
      <c r="D59" s="23">
        <f>SUM(D55:D58)</f>
        <v/>
      </c>
      <c r="E59" s="23">
        <f>SUM(E55:E58)</f>
        <v/>
      </c>
      <c r="F59" s="23">
        <f>SUM(F55:F58)</f>
        <v/>
      </c>
      <c r="G59" s="23">
        <f>SUM(G55:G58)</f>
        <v/>
      </c>
      <c r="H59" s="23">
        <f>SUM(H55:H58)</f>
        <v/>
      </c>
      <c r="I59" s="23">
        <f>SUM(I55:I58)</f>
        <v/>
      </c>
    </row>
    <row r="60">
      <c r="A60" s="9" t="n"/>
      <c r="B60" s="12" t="inlineStr">
        <is>
          <t>Cost Center ('040',) Total</t>
        </is>
      </c>
      <c r="C60" s="26">
        <f>C59</f>
        <v/>
      </c>
      <c r="D60" s="26">
        <f>D59</f>
        <v/>
      </c>
      <c r="E60" s="26">
        <f>E59</f>
        <v/>
      </c>
      <c r="F60" s="26">
        <f>F59</f>
        <v/>
      </c>
      <c r="G60" s="26">
        <f>G59</f>
        <v/>
      </c>
      <c r="H60" s="26">
        <f>H59</f>
        <v/>
      </c>
      <c r="I60" s="26">
        <f>I59</f>
        <v/>
      </c>
    </row>
    <row r="62">
      <c r="A62" s="3" t="inlineStr">
        <is>
          <t>Cost Center: ('050',)</t>
        </is>
      </c>
    </row>
    <row r="63">
      <c r="A63" s="8" t="inlineStr">
        <is>
          <t>1000.4300.1000.51010.050</t>
        </is>
      </c>
      <c r="B63" s="8" t="inlineStr">
        <is>
          <t>Summer School Teacher</t>
        </is>
      </c>
      <c r="C63" s="16" t="n">
        <v>0</v>
      </c>
      <c r="D63" s="16" t="n">
        <v>340</v>
      </c>
      <c r="E63" s="16" t="n">
        <v>0</v>
      </c>
      <c r="F63" s="16" t="n">
        <v>0</v>
      </c>
      <c r="G63" s="16" t="n">
        <v>0</v>
      </c>
      <c r="H63" s="16">
        <f>G63-F63</f>
        <v/>
      </c>
      <c r="I63" s="14">
        <f>IF(F63=0,0,G63/F63-1)</f>
        <v/>
      </c>
    </row>
    <row r="64">
      <c r="A64" s="8" t="inlineStr">
        <is>
          <t>1000.9100.1000.51500.050</t>
        </is>
      </c>
      <c r="B64" s="8" t="inlineStr">
        <is>
          <t>Stipends</t>
        </is>
      </c>
      <c r="C64" s="16" t="n">
        <v>54113</v>
      </c>
      <c r="D64" s="16" t="n">
        <v>51759.64</v>
      </c>
      <c r="E64" s="16" t="n">
        <v>45350.89</v>
      </c>
      <c r="F64" s="16" t="n">
        <v>35164</v>
      </c>
      <c r="G64" s="16" t="n">
        <v>33828</v>
      </c>
      <c r="H64" s="16">
        <f>G64-F64</f>
        <v/>
      </c>
      <c r="I64" s="14">
        <f>IF(F64=0,0,G64/F64-1)</f>
        <v/>
      </c>
    </row>
    <row r="65">
      <c r="A65" s="8" t="inlineStr">
        <is>
          <t>1000.9100.1000.52000.050</t>
        </is>
      </c>
      <c r="B65" s="8" t="inlineStr">
        <is>
          <t>Stipend Benefits</t>
        </is>
      </c>
      <c r="C65" s="16" t="n">
        <v>7462.2</v>
      </c>
      <c r="D65" s="16" t="n">
        <v>8575.16</v>
      </c>
      <c r="E65" s="16" t="n">
        <v>7748.47</v>
      </c>
      <c r="F65" s="16" t="n">
        <v>1181</v>
      </c>
      <c r="G65" s="16" t="n">
        <v>1137</v>
      </c>
      <c r="H65" s="16">
        <f>G65-F65</f>
        <v/>
      </c>
      <c r="I65" s="14">
        <f>IF(F65=0,0,G65/F65-1)</f>
        <v/>
      </c>
    </row>
    <row r="66">
      <c r="A66" s="8" t="inlineStr">
        <is>
          <t>1000.9100.1000.52300.050</t>
        </is>
      </c>
      <c r="B66" s="8" t="inlineStr">
        <is>
          <t>Retirement</t>
        </is>
      </c>
      <c r="C66" s="16" t="n">
        <v>1843.25</v>
      </c>
      <c r="D66" s="16" t="n">
        <v>1603.78</v>
      </c>
      <c r="E66" s="16" t="n">
        <v>1480.9</v>
      </c>
      <c r="F66" s="16" t="n">
        <v>1572</v>
      </c>
      <c r="G66" s="16" t="n">
        <v>1512</v>
      </c>
      <c r="H66" s="16">
        <f>G66-F66</f>
        <v/>
      </c>
      <c r="I66" s="14">
        <f>IF(F66=0,0,G66/F66-1)</f>
        <v/>
      </c>
    </row>
    <row r="67">
      <c r="A67" s="8" t="inlineStr">
        <is>
          <t>1000.9100.1000.56100.050</t>
        </is>
      </c>
      <c r="B67" s="8" t="inlineStr">
        <is>
          <t>Instructional Supplies</t>
        </is>
      </c>
      <c r="C67" s="16" t="n">
        <v>3867.48</v>
      </c>
      <c r="D67" s="16" t="n">
        <v>3899.48</v>
      </c>
      <c r="E67" s="16" t="n">
        <v>3514.3</v>
      </c>
      <c r="F67" s="16" t="n">
        <v>3900</v>
      </c>
      <c r="G67" s="16" t="n">
        <v>3900</v>
      </c>
      <c r="H67" s="16">
        <f>G67-F67</f>
        <v/>
      </c>
      <c r="I67" s="14">
        <f>IF(F67=0,0,G67/F67-1)</f>
        <v/>
      </c>
    </row>
    <row r="68">
      <c r="A68" s="8" t="inlineStr">
        <is>
          <t>1000.9100.1000.58100.050</t>
        </is>
      </c>
      <c r="B68" s="8" t="inlineStr">
        <is>
          <t>Dues &amp; Fees</t>
        </is>
      </c>
      <c r="C68" s="16" t="n">
        <v>1902.5</v>
      </c>
      <c r="D68" s="16" t="n">
        <v>2348.59</v>
      </c>
      <c r="E68" s="16" t="n">
        <v>1515</v>
      </c>
      <c r="F68" s="16" t="n">
        <v>2350</v>
      </c>
      <c r="G68" s="16" t="n">
        <v>2350</v>
      </c>
      <c r="H68" s="16">
        <f>G68-F68</f>
        <v/>
      </c>
      <c r="I68" s="14">
        <f>IF(F68=0,0,G68/F68-1)</f>
        <v/>
      </c>
    </row>
    <row r="69">
      <c r="A69" s="9" t="n"/>
      <c r="B69" s="22" t="inlineStr">
        <is>
          <t>Program 9100 Total</t>
        </is>
      </c>
      <c r="C69" s="23">
        <f>SUM(C64:C68)</f>
        <v/>
      </c>
      <c r="D69" s="23">
        <f>SUM(D64:D68)</f>
        <v/>
      </c>
      <c r="E69" s="23">
        <f>SUM(E64:E68)</f>
        <v/>
      </c>
      <c r="F69" s="23">
        <f>SUM(F64:F68)</f>
        <v/>
      </c>
      <c r="G69" s="23">
        <f>SUM(G64:G68)</f>
        <v/>
      </c>
      <c r="H69" s="23">
        <f>SUM(H64:H68)</f>
        <v/>
      </c>
      <c r="I69" s="23">
        <f>SUM(I64:I68)</f>
        <v/>
      </c>
    </row>
    <row r="70">
      <c r="A70" s="8" t="inlineStr">
        <is>
          <t>1000.9200.1000.51180.050</t>
        </is>
      </c>
      <c r="B70" s="8" t="inlineStr">
        <is>
          <t>Support Salary</t>
        </is>
      </c>
      <c r="C70" s="16" t="n">
        <v>314.49</v>
      </c>
      <c r="D70" s="16" t="n">
        <v>0</v>
      </c>
      <c r="E70" s="16" t="n">
        <v>0</v>
      </c>
      <c r="F70" s="16" t="n">
        <v>0</v>
      </c>
      <c r="G70" s="16" t="n">
        <v>0</v>
      </c>
      <c r="H70" s="16">
        <f>G70-F70</f>
        <v/>
      </c>
      <c r="I70" s="14">
        <f>IF(F70=0,0,G70/F70-1)</f>
        <v/>
      </c>
    </row>
    <row r="71">
      <c r="A71" s="8" t="inlineStr">
        <is>
          <t>1000.9200.1000.51230.050</t>
        </is>
      </c>
      <c r="B71" s="8" t="inlineStr">
        <is>
          <t>Other Wages</t>
        </is>
      </c>
      <c r="C71" s="16" t="n">
        <v>400</v>
      </c>
      <c r="D71" s="16" t="n">
        <v>125</v>
      </c>
      <c r="E71" s="16" t="n">
        <v>175</v>
      </c>
      <c r="F71" s="16" t="n">
        <v>0</v>
      </c>
      <c r="G71" s="16" t="n">
        <v>0</v>
      </c>
      <c r="H71" s="16">
        <f>G71-F71</f>
        <v/>
      </c>
      <c r="I71" s="14">
        <f>IF(F71=0,0,G71/F71-1)</f>
        <v/>
      </c>
    </row>
    <row r="72">
      <c r="A72" s="8" t="inlineStr">
        <is>
          <t>1000.9200.1000.51500.050</t>
        </is>
      </c>
      <c r="B72" s="8" t="inlineStr">
        <is>
          <t>Stipends-Coaches</t>
        </is>
      </c>
      <c r="C72" s="16" t="n">
        <v>88798.21000000001</v>
      </c>
      <c r="D72" s="16" t="n">
        <v>92844.89999999999</v>
      </c>
      <c r="E72" s="16" t="n">
        <v>104341.64</v>
      </c>
      <c r="F72" s="16" t="n">
        <v>81816</v>
      </c>
      <c r="G72" s="16" t="n">
        <v>83996</v>
      </c>
      <c r="H72" s="16">
        <f>G72-F72</f>
        <v/>
      </c>
      <c r="I72" s="14">
        <f>IF(F72=0,0,G72/F72-1)</f>
        <v/>
      </c>
    </row>
    <row r="73">
      <c r="A73" s="8" t="inlineStr">
        <is>
          <t>1000.9200.1000.52000.050</t>
        </is>
      </c>
      <c r="B73" s="8" t="inlineStr">
        <is>
          <t>Benefits</t>
        </is>
      </c>
      <c r="C73" s="16" t="n">
        <v>10719.8</v>
      </c>
      <c r="D73" s="16" t="n">
        <v>10256.1</v>
      </c>
      <c r="E73" s="16" t="n">
        <v>11283.71</v>
      </c>
      <c r="F73" s="16" t="n">
        <v>2749</v>
      </c>
      <c r="G73" s="16" t="n">
        <v>2822</v>
      </c>
      <c r="H73" s="16">
        <f>G73-F73</f>
        <v/>
      </c>
      <c r="I73" s="14">
        <f>IF(F73=0,0,G73/F73-1)</f>
        <v/>
      </c>
    </row>
    <row r="74">
      <c r="A74" s="8" t="inlineStr">
        <is>
          <t>1000.9200.1000.52030.050</t>
        </is>
      </c>
      <c r="B74" s="8" t="inlineStr">
        <is>
          <t>Other Benefits</t>
        </is>
      </c>
      <c r="C74" s="16" t="n">
        <v>24.87</v>
      </c>
      <c r="D74" s="16" t="n">
        <v>8.99</v>
      </c>
      <c r="E74" s="16" t="n">
        <v>11.11</v>
      </c>
      <c r="F74" s="16" t="n">
        <v>0</v>
      </c>
      <c r="G74" s="16" t="n">
        <v>0</v>
      </c>
      <c r="H74" s="16">
        <f>G74-F74</f>
        <v/>
      </c>
      <c r="I74" s="14">
        <f>IF(F74=0,0,G74/F74-1)</f>
        <v/>
      </c>
    </row>
    <row r="75">
      <c r="A75" s="8" t="inlineStr">
        <is>
          <t>1000.9200.1000.52080.050</t>
        </is>
      </c>
      <c r="B75" s="8" t="inlineStr">
        <is>
          <t>Support Benefits</t>
        </is>
      </c>
      <c r="C75" s="16" t="n">
        <v>110.93</v>
      </c>
      <c r="D75" s="16" t="n">
        <v>0</v>
      </c>
      <c r="E75" s="16" t="n">
        <v>0</v>
      </c>
      <c r="F75" s="16" t="n">
        <v>0</v>
      </c>
      <c r="G75" s="16" t="n">
        <v>0</v>
      </c>
      <c r="H75" s="16">
        <f>G75-F75</f>
        <v/>
      </c>
      <c r="I75" s="14">
        <f>IF(F75=0,0,G75/F75-1)</f>
        <v/>
      </c>
    </row>
    <row r="76">
      <c r="A76" s="8" t="inlineStr">
        <is>
          <t>1000.9200.1000.52300.050</t>
        </is>
      </c>
      <c r="B76" s="8" t="inlineStr">
        <is>
          <t>Retirement</t>
        </is>
      </c>
      <c r="C76" s="16" t="n">
        <v>1723.36</v>
      </c>
      <c r="D76" s="16" t="n">
        <v>2082.95</v>
      </c>
      <c r="E76" s="16" t="n">
        <v>2465.82</v>
      </c>
      <c r="F76" s="16" t="n">
        <v>3657</v>
      </c>
      <c r="G76" s="16" t="n">
        <v>3754</v>
      </c>
      <c r="H76" s="16">
        <f>G76-F76</f>
        <v/>
      </c>
      <c r="I76" s="14">
        <f>IF(F76=0,0,G76/F76-1)</f>
        <v/>
      </c>
    </row>
    <row r="77">
      <c r="A77" s="8" t="inlineStr">
        <is>
          <t>1000.9200.1000.52380.050</t>
        </is>
      </c>
      <c r="B77" s="8" t="inlineStr">
        <is>
          <t>Retirement for Regular</t>
        </is>
      </c>
      <c r="C77" s="16" t="n">
        <v>11.64</v>
      </c>
      <c r="D77" s="16" t="n">
        <v>0</v>
      </c>
      <c r="E77" s="16" t="n">
        <v>0</v>
      </c>
      <c r="F77" s="16" t="n">
        <v>0</v>
      </c>
      <c r="G77" s="16" t="n">
        <v>0</v>
      </c>
      <c r="H77" s="16">
        <f>G77-F77</f>
        <v/>
      </c>
      <c r="I77" s="14">
        <f>IF(F77=0,0,G77/F77-1)</f>
        <v/>
      </c>
    </row>
    <row r="78">
      <c r="A78" s="8" t="inlineStr">
        <is>
          <t>1000.9200.1000.53000.050</t>
        </is>
      </c>
      <c r="B78" s="8" t="inlineStr">
        <is>
          <t>Game Officials</t>
        </is>
      </c>
      <c r="C78" s="16" t="n">
        <v>13750.54</v>
      </c>
      <c r="D78" s="16" t="n">
        <v>17164.04</v>
      </c>
      <c r="E78" s="16" t="n">
        <v>19592.93</v>
      </c>
      <c r="F78" s="16" t="n">
        <v>28282</v>
      </c>
      <c r="G78" s="16" t="n">
        <v>30511</v>
      </c>
      <c r="H78" s="16">
        <f>G78-F78</f>
        <v/>
      </c>
      <c r="I78" s="14">
        <f>IF(F78=0,0,G78/F78-1)</f>
        <v/>
      </c>
    </row>
    <row r="79">
      <c r="A79" s="8" t="inlineStr">
        <is>
          <t>1000.9200.1000.58100.050</t>
        </is>
      </c>
      <c r="B79" s="8" t="inlineStr">
        <is>
          <t>Dues and Fees</t>
        </is>
      </c>
      <c r="C79" s="16" t="n">
        <v>17621.17</v>
      </c>
      <c r="D79" s="16" t="n">
        <v>18865.15</v>
      </c>
      <c r="E79" s="16" t="n">
        <v>17909.38</v>
      </c>
      <c r="F79" s="16" t="n">
        <v>18243</v>
      </c>
      <c r="G79" s="16" t="n">
        <v>21005</v>
      </c>
      <c r="H79" s="16">
        <f>G79-F79</f>
        <v/>
      </c>
      <c r="I79" s="14">
        <f>IF(F79=0,0,G79/F79-1)</f>
        <v/>
      </c>
    </row>
    <row r="80">
      <c r="A80" s="9" t="n"/>
      <c r="B80" s="22" t="inlineStr">
        <is>
          <t>Program 9200 Total</t>
        </is>
      </c>
      <c r="C80" s="23">
        <f>SUM(C70:C79)</f>
        <v/>
      </c>
      <c r="D80" s="23">
        <f>SUM(D70:D79)</f>
        <v/>
      </c>
      <c r="E80" s="23">
        <f>SUM(E70:E79)</f>
        <v/>
      </c>
      <c r="F80" s="23">
        <f>SUM(F70:F79)</f>
        <v/>
      </c>
      <c r="G80" s="23">
        <f>SUM(G70:G79)</f>
        <v/>
      </c>
      <c r="H80" s="23">
        <f>SUM(H70:H79)</f>
        <v/>
      </c>
      <c r="I80" s="23">
        <f>SUM(I70:I79)</f>
        <v/>
      </c>
    </row>
    <row r="81">
      <c r="A81" s="9" t="n"/>
      <c r="B81" s="24" t="inlineStr">
        <is>
          <t>Function 1000 Total</t>
        </is>
      </c>
      <c r="C81" s="25">
        <f>C69+C80</f>
        <v/>
      </c>
      <c r="D81" s="25">
        <f>D69+D80</f>
        <v/>
      </c>
      <c r="E81" s="25">
        <f>E69+E80</f>
        <v/>
      </c>
      <c r="F81" s="25">
        <f>F69+F80</f>
        <v/>
      </c>
      <c r="G81" s="25">
        <f>G69+G80</f>
        <v/>
      </c>
      <c r="H81" s="25">
        <f>H69+H80</f>
        <v/>
      </c>
      <c r="I81" s="25">
        <f>I69+I80</f>
        <v/>
      </c>
    </row>
    <row r="82">
      <c r="A82" s="8" t="inlineStr">
        <is>
          <t>1000.9200.2330.51010.050</t>
        </is>
      </c>
      <c r="B82" s="8" t="inlineStr">
        <is>
          <t>Athletic Director Salary -</t>
        </is>
      </c>
      <c r="C82" s="16" t="n">
        <v>43085.29</v>
      </c>
      <c r="D82" s="16" t="n">
        <v>33179.98</v>
      </c>
      <c r="E82" s="16" t="n">
        <v>34829.83</v>
      </c>
      <c r="F82" s="16" t="n">
        <v>36729</v>
      </c>
      <c r="G82" s="16" t="n">
        <v>38749</v>
      </c>
      <c r="H82" s="16">
        <f>G82-F82</f>
        <v/>
      </c>
      <c r="I82" s="14">
        <f>IF(F82=0,0,G82/F82-1)</f>
        <v/>
      </c>
    </row>
    <row r="83">
      <c r="A83" s="8" t="inlineStr">
        <is>
          <t>1000.9200.2330.51180.050</t>
        </is>
      </c>
      <c r="B83" s="8" t="inlineStr">
        <is>
          <t>Athletic Office Support Staff</t>
        </is>
      </c>
      <c r="C83" s="16" t="n">
        <v>1934.88</v>
      </c>
      <c r="D83" s="16" t="n">
        <v>6460.85</v>
      </c>
      <c r="E83" s="16" t="n">
        <v>7976.86</v>
      </c>
      <c r="F83" s="16" t="n">
        <v>7112</v>
      </c>
      <c r="G83" s="16" t="n">
        <v>7200</v>
      </c>
      <c r="H83" s="16">
        <f>G83-F83</f>
        <v/>
      </c>
      <c r="I83" s="14">
        <f>IF(F83=0,0,G83/F83-1)</f>
        <v/>
      </c>
    </row>
    <row r="84">
      <c r="A84" s="8" t="inlineStr">
        <is>
          <t>1000.9200.2330.52010.050</t>
        </is>
      </c>
      <c r="B84" s="8" t="inlineStr">
        <is>
          <t>Athletic Director Benefits -</t>
        </is>
      </c>
      <c r="C84" s="16" t="n">
        <v>7062.42</v>
      </c>
      <c r="D84" s="16" t="n">
        <v>5106.76</v>
      </c>
      <c r="E84" s="16" t="n">
        <v>5767.84</v>
      </c>
      <c r="F84" s="16" t="n">
        <v>13381</v>
      </c>
      <c r="G84" s="16" t="n">
        <v>13549</v>
      </c>
      <c r="H84" s="16">
        <f>G84-F84</f>
        <v/>
      </c>
      <c r="I84" s="14">
        <f>IF(F84=0,0,G84/F84-1)</f>
        <v/>
      </c>
    </row>
    <row r="85">
      <c r="A85" s="8" t="inlineStr">
        <is>
          <t>1000.9200.2330.52080.050</t>
        </is>
      </c>
      <c r="B85" s="8" t="inlineStr">
        <is>
          <t>Athletic Office Support Staff</t>
        </is>
      </c>
      <c r="C85" s="16" t="n">
        <v>138.24</v>
      </c>
      <c r="D85" s="16" t="n">
        <v>516.8</v>
      </c>
      <c r="E85" s="16" t="n">
        <v>3814.12</v>
      </c>
      <c r="F85" s="16" t="n">
        <v>1627</v>
      </c>
      <c r="G85" s="16" t="n">
        <v>2298</v>
      </c>
      <c r="H85" s="16">
        <f>G85-F85</f>
        <v/>
      </c>
      <c r="I85" s="14">
        <f>IF(F85=0,0,G85/F85-1)</f>
        <v/>
      </c>
    </row>
    <row r="86">
      <c r="A86" s="8" t="inlineStr">
        <is>
          <t>1000.9200.2330.52310.050</t>
        </is>
      </c>
      <c r="B86" s="8" t="inlineStr">
        <is>
          <t>Athletic Director Retirement</t>
        </is>
      </c>
      <c r="C86" s="16" t="n">
        <v>630.23</v>
      </c>
      <c r="D86" s="16" t="n">
        <v>1475.23</v>
      </c>
      <c r="E86" s="16" t="n">
        <v>1548.82</v>
      </c>
      <c r="F86" s="16" t="n">
        <v>1642</v>
      </c>
      <c r="G86" s="16" t="n">
        <v>1732</v>
      </c>
      <c r="H86" s="16">
        <f>G86-F86</f>
        <v/>
      </c>
      <c r="I86" s="14">
        <f>IF(F86=0,0,G86/F86-1)</f>
        <v/>
      </c>
    </row>
    <row r="87">
      <c r="A87" s="8" t="inlineStr">
        <is>
          <t>1000.9200.2330.52340.050</t>
        </is>
      </c>
      <c r="B87" s="8" t="inlineStr">
        <is>
          <t>Athletic Dir Retirement</t>
        </is>
      </c>
      <c r="C87" s="16" t="n">
        <v>619.78</v>
      </c>
      <c r="D87" s="16" t="n">
        <v>0</v>
      </c>
      <c r="E87" s="16" t="n">
        <v>0</v>
      </c>
      <c r="F87" s="16" t="n">
        <v>0</v>
      </c>
      <c r="G87" s="16" t="n">
        <v>0</v>
      </c>
      <c r="H87" s="16">
        <f>G87-F87</f>
        <v/>
      </c>
      <c r="I87" s="14">
        <f>IF(F87=0,0,G87/F87-1)</f>
        <v/>
      </c>
    </row>
    <row r="88">
      <c r="A88" s="9" t="n"/>
      <c r="B88" s="22" t="inlineStr">
        <is>
          <t>Program 9200 Total</t>
        </is>
      </c>
      <c r="C88" s="23">
        <f>SUM(C82:C87)</f>
        <v/>
      </c>
      <c r="D88" s="23">
        <f>SUM(D82:D87)</f>
        <v/>
      </c>
      <c r="E88" s="23">
        <f>SUM(E82:E87)</f>
        <v/>
      </c>
      <c r="F88" s="23">
        <f>SUM(F82:F87)</f>
        <v/>
      </c>
      <c r="G88" s="23">
        <f>SUM(G82:G87)</f>
        <v/>
      </c>
      <c r="H88" s="23">
        <f>SUM(H82:H87)</f>
        <v/>
      </c>
      <c r="I88" s="23">
        <f>SUM(I82:I87)</f>
        <v/>
      </c>
    </row>
    <row r="89">
      <c r="A89" s="9" t="n"/>
      <c r="B89" s="12" t="inlineStr">
        <is>
          <t>Cost Center ('050',) Total</t>
        </is>
      </c>
      <c r="C89" s="26">
        <f>C81+C88</f>
        <v/>
      </c>
      <c r="D89" s="26">
        <f>D81+D88</f>
        <v/>
      </c>
      <c r="E89" s="26">
        <f>E81+E88</f>
        <v/>
      </c>
      <c r="F89" s="26">
        <f>F81+F88</f>
        <v/>
      </c>
      <c r="G89" s="26">
        <f>G81+G88</f>
        <v/>
      </c>
      <c r="H89" s="26">
        <f>H81+H88</f>
        <v/>
      </c>
      <c r="I89" s="26">
        <f>I81+I88</f>
        <v/>
      </c>
    </row>
    <row r="91">
      <c r="A91" s="3" t="inlineStr">
        <is>
          <t>Cost Center: ('300',)</t>
        </is>
      </c>
    </row>
    <row r="92">
      <c r="A92" s="8" t="inlineStr">
        <is>
          <t>1000.4300.1000.51010.300</t>
        </is>
      </c>
      <c r="B92" s="8" t="inlineStr">
        <is>
          <t>Summer School Teacher</t>
        </is>
      </c>
      <c r="C92" s="16" t="n">
        <v>0</v>
      </c>
      <c r="D92" s="16" t="n">
        <v>0</v>
      </c>
      <c r="E92" s="16" t="n">
        <v>2094.61</v>
      </c>
      <c r="F92" s="16" t="n">
        <v>8686</v>
      </c>
      <c r="G92" s="16" t="n">
        <v>9294</v>
      </c>
      <c r="H92" s="16">
        <f>G92-F92</f>
        <v/>
      </c>
      <c r="I92" s="14">
        <f>IF(F92=0,0,G92/F92-1)</f>
        <v/>
      </c>
    </row>
    <row r="93">
      <c r="A93" s="8" t="inlineStr">
        <is>
          <t>1000.4300.1000.51210.300</t>
        </is>
      </c>
      <c r="B93" s="8" t="inlineStr">
        <is>
          <t>Summer School Tutor</t>
        </is>
      </c>
      <c r="C93" s="16" t="n">
        <v>3386</v>
      </c>
      <c r="D93" s="16" t="n">
        <v>7801.17</v>
      </c>
      <c r="E93" s="16" t="n">
        <v>3501.36</v>
      </c>
      <c r="F93" s="16" t="n">
        <v>0</v>
      </c>
      <c r="G93" s="16" t="n">
        <v>0</v>
      </c>
      <c r="H93" s="16">
        <f>G93-F93</f>
        <v/>
      </c>
      <c r="I93" s="14">
        <f>IF(F93=0,0,G93/F93-1)</f>
        <v/>
      </c>
    </row>
    <row r="94">
      <c r="A94" s="8" t="inlineStr">
        <is>
          <t>1000.4300.1000.52010.300</t>
        </is>
      </c>
      <c r="B94" s="8" t="inlineStr">
        <is>
          <t>Summer School Teacher</t>
        </is>
      </c>
      <c r="C94" s="16" t="n">
        <v>301.46</v>
      </c>
      <c r="D94" s="16" t="n">
        <v>354.83</v>
      </c>
      <c r="E94" s="16" t="n">
        <v>814.97</v>
      </c>
      <c r="F94" s="16" t="n">
        <v>292</v>
      </c>
      <c r="G94" s="16" t="n">
        <v>929</v>
      </c>
      <c r="H94" s="16">
        <f>G94-F94</f>
        <v/>
      </c>
      <c r="I94" s="14">
        <f>IF(F94=0,0,G94/F94-1)</f>
        <v/>
      </c>
    </row>
    <row r="95">
      <c r="A95" s="8" t="inlineStr">
        <is>
          <t>1000.4300.1000.52310.300</t>
        </is>
      </c>
      <c r="B95" s="8" t="inlineStr">
        <is>
          <t>Summer School Teacher</t>
        </is>
      </c>
      <c r="C95" s="16" t="n">
        <v>40.32</v>
      </c>
      <c r="D95" s="16" t="n">
        <v>118.07</v>
      </c>
      <c r="E95" s="16" t="n">
        <v>220.63</v>
      </c>
      <c r="F95" s="16" t="n">
        <v>388</v>
      </c>
      <c r="G95" s="16" t="n">
        <v>415</v>
      </c>
      <c r="H95" s="16">
        <f>G95-F95</f>
        <v/>
      </c>
      <c r="I95" s="14">
        <f>IF(F95=0,0,G95/F95-1)</f>
        <v/>
      </c>
    </row>
    <row r="96">
      <c r="A96" s="9" t="n"/>
      <c r="B96" s="22" t="inlineStr">
        <is>
          <t>Program 4300 Total</t>
        </is>
      </c>
      <c r="C96" s="23">
        <f>SUM(C92:C95)</f>
        <v/>
      </c>
      <c r="D96" s="23">
        <f>SUM(D92:D95)</f>
        <v/>
      </c>
      <c r="E96" s="23">
        <f>SUM(E92:E95)</f>
        <v/>
      </c>
      <c r="F96" s="23">
        <f>SUM(F92:F95)</f>
        <v/>
      </c>
      <c r="G96" s="23">
        <f>SUM(G92:G95)</f>
        <v/>
      </c>
      <c r="H96" s="23">
        <f>SUM(H92:H95)</f>
        <v/>
      </c>
      <c r="I96" s="23">
        <f>SUM(I92:I95)</f>
        <v/>
      </c>
    </row>
    <row r="97">
      <c r="A97" s="8" t="inlineStr">
        <is>
          <t>1000.9500.1000.51500.300</t>
        </is>
      </c>
      <c r="B97" s="8" t="inlineStr">
        <is>
          <t>Stipends</t>
        </is>
      </c>
      <c r="C97" s="16" t="n">
        <v>70001.42</v>
      </c>
      <c r="D97" s="16" t="n">
        <v>73499.36</v>
      </c>
      <c r="E97" s="16" t="n">
        <v>81904.23</v>
      </c>
      <c r="F97" s="16" t="n">
        <v>105262</v>
      </c>
      <c r="G97" s="16" t="n">
        <v>106762</v>
      </c>
      <c r="H97" s="16">
        <f>G97-F97</f>
        <v/>
      </c>
      <c r="I97" s="14">
        <f>IF(F97=0,0,G97/F97-1)</f>
        <v/>
      </c>
    </row>
    <row r="98">
      <c r="A98" s="8" t="inlineStr">
        <is>
          <t>1000.9500.1000.52000.300</t>
        </is>
      </c>
      <c r="B98" s="8" t="inlineStr">
        <is>
          <t>Stipend Benefits</t>
        </is>
      </c>
      <c r="C98" s="16" t="n">
        <v>10785.59</v>
      </c>
      <c r="D98" s="16" t="n">
        <v>10468.6</v>
      </c>
      <c r="E98" s="16" t="n">
        <v>13476.63</v>
      </c>
      <c r="F98" s="16" t="n">
        <v>3537</v>
      </c>
      <c r="G98" s="16" t="n">
        <v>3587</v>
      </c>
      <c r="H98" s="16">
        <f>G98-F98</f>
        <v/>
      </c>
      <c r="I98" s="14">
        <f>IF(F98=0,0,G98/F98-1)</f>
        <v/>
      </c>
    </row>
    <row r="99">
      <c r="A99" s="8" t="inlineStr">
        <is>
          <t>1000.9500.1000.52300.300</t>
        </is>
      </c>
      <c r="B99" s="8" t="inlineStr">
        <is>
          <t>Retirement</t>
        </is>
      </c>
      <c r="C99" s="16" t="n">
        <v>2395.63</v>
      </c>
      <c r="D99" s="16" t="n">
        <v>2913.45</v>
      </c>
      <c r="E99" s="16" t="n">
        <v>3237.74</v>
      </c>
      <c r="F99" s="16" t="n">
        <v>4705</v>
      </c>
      <c r="G99" s="16" t="n">
        <v>4772</v>
      </c>
      <c r="H99" s="16">
        <f>G99-F99</f>
        <v/>
      </c>
      <c r="I99" s="14">
        <f>IF(F99=0,0,G99/F99-1)</f>
        <v/>
      </c>
    </row>
    <row r="100">
      <c r="A100" s="8" t="inlineStr">
        <is>
          <t>1000.9500.1000.53400.300</t>
        </is>
      </c>
      <c r="B100" s="8" t="inlineStr">
        <is>
          <t>Co-Curricular Purch</t>
        </is>
      </c>
      <c r="C100" s="16" t="n">
        <v>0</v>
      </c>
      <c r="D100" s="16" t="n">
        <v>4205</v>
      </c>
      <c r="E100" s="16" t="n">
        <v>4372</v>
      </c>
      <c r="F100" s="16" t="n">
        <v>4377</v>
      </c>
      <c r="G100" s="16" t="n">
        <v>4000</v>
      </c>
      <c r="H100" s="16">
        <f>G100-F100</f>
        <v/>
      </c>
      <c r="I100" s="14">
        <f>IF(F100=0,0,G100/F100-1)</f>
        <v/>
      </c>
    </row>
    <row r="101">
      <c r="A101" s="8" t="inlineStr">
        <is>
          <t>1000.9500.1000.55800.300</t>
        </is>
      </c>
      <c r="B101" s="8" t="inlineStr">
        <is>
          <t>Co-Curricular Travel</t>
        </is>
      </c>
      <c r="C101" s="16" t="n">
        <v>0</v>
      </c>
      <c r="D101" s="16" t="n">
        <v>0</v>
      </c>
      <c r="E101" s="16" t="n">
        <v>276.1</v>
      </c>
      <c r="F101" s="16" t="n">
        <v>200</v>
      </c>
      <c r="G101" s="16" t="n">
        <v>300</v>
      </c>
      <c r="H101" s="16">
        <f>G101-F101</f>
        <v/>
      </c>
      <c r="I101" s="14">
        <f>IF(F101=0,0,G101/F101-1)</f>
        <v/>
      </c>
    </row>
    <row r="102">
      <c r="A102" s="8" t="inlineStr">
        <is>
          <t>1000.9500.1000.56100.300</t>
        </is>
      </c>
      <c r="B102" s="8" t="inlineStr">
        <is>
          <t>Instructional Supplies</t>
        </is>
      </c>
      <c r="C102" s="16" t="n">
        <v>5535</v>
      </c>
      <c r="D102" s="16" t="n">
        <v>2482.48</v>
      </c>
      <c r="E102" s="16" t="n">
        <v>2905.42</v>
      </c>
      <c r="F102" s="16" t="n">
        <v>2770</v>
      </c>
      <c r="G102" s="16" t="n">
        <v>2320</v>
      </c>
      <c r="H102" s="16">
        <f>G102-F102</f>
        <v/>
      </c>
      <c r="I102" s="14">
        <f>IF(F102=0,0,G102/F102-1)</f>
        <v/>
      </c>
    </row>
    <row r="103">
      <c r="A103" s="8" t="inlineStr">
        <is>
          <t>1000.9500.1000.58100.300</t>
        </is>
      </c>
      <c r="B103" s="8" t="inlineStr">
        <is>
          <t>Dues and Fees</t>
        </is>
      </c>
      <c r="C103" s="16" t="n">
        <v>8961.48</v>
      </c>
      <c r="D103" s="16" t="n">
        <v>8974.440000000001</v>
      </c>
      <c r="E103" s="16" t="n">
        <v>10102.84</v>
      </c>
      <c r="F103" s="16" t="n">
        <v>10865</v>
      </c>
      <c r="G103" s="16" t="n">
        <v>11627</v>
      </c>
      <c r="H103" s="16">
        <f>G103-F103</f>
        <v/>
      </c>
      <c r="I103" s="14">
        <f>IF(F103=0,0,G103/F103-1)</f>
        <v/>
      </c>
    </row>
    <row r="104">
      <c r="A104" s="9" t="n"/>
      <c r="B104" s="22" t="inlineStr">
        <is>
          <t>Program 9500 Total</t>
        </is>
      </c>
      <c r="C104" s="23">
        <f>SUM(C97:C103)</f>
        <v/>
      </c>
      <c r="D104" s="23">
        <f>SUM(D97:D103)</f>
        <v/>
      </c>
      <c r="E104" s="23">
        <f>SUM(E97:E103)</f>
        <v/>
      </c>
      <c r="F104" s="23">
        <f>SUM(F97:F103)</f>
        <v/>
      </c>
      <c r="G104" s="23">
        <f>SUM(G97:G103)</f>
        <v/>
      </c>
      <c r="H104" s="23">
        <f>SUM(H97:H103)</f>
        <v/>
      </c>
      <c r="I104" s="23">
        <f>SUM(I97:I103)</f>
        <v/>
      </c>
    </row>
    <row r="105">
      <c r="A105" s="8" t="inlineStr">
        <is>
          <t>1000.9600.1000.51500.300</t>
        </is>
      </c>
      <c r="B105" s="8" t="inlineStr">
        <is>
          <t>Stipends-Coaches</t>
        </is>
      </c>
      <c r="C105" s="16" t="n">
        <v>148772.29</v>
      </c>
      <c r="D105" s="16" t="n">
        <v>152571.98</v>
      </c>
      <c r="E105" s="16" t="n">
        <v>158971.85</v>
      </c>
      <c r="F105" s="16" t="n">
        <v>180688</v>
      </c>
      <c r="G105" s="16" t="n">
        <v>180688</v>
      </c>
      <c r="H105" s="16">
        <f>G105-F105</f>
        <v/>
      </c>
      <c r="I105" s="14">
        <f>IF(F105=0,0,G105/F105-1)</f>
        <v/>
      </c>
    </row>
    <row r="106">
      <c r="A106" s="8" t="inlineStr">
        <is>
          <t>1000.9600.1000.52000.300</t>
        </is>
      </c>
      <c r="B106" s="8" t="inlineStr">
        <is>
          <t>Stipend Benefits</t>
        </is>
      </c>
      <c r="C106" s="16" t="n">
        <v>15866.11</v>
      </c>
      <c r="D106" s="16" t="n">
        <v>15498.78</v>
      </c>
      <c r="E106" s="16" t="n">
        <v>18113.72</v>
      </c>
      <c r="F106" s="16" t="n">
        <v>6071</v>
      </c>
      <c r="G106" s="16" t="n">
        <v>6071</v>
      </c>
      <c r="H106" s="16">
        <f>G106-F106</f>
        <v/>
      </c>
      <c r="I106" s="14">
        <f>IF(F106=0,0,G106/F106-1)</f>
        <v/>
      </c>
    </row>
    <row r="107">
      <c r="A107" s="8" t="inlineStr">
        <is>
          <t>1000.9600.1000.52300.300</t>
        </is>
      </c>
      <c r="B107" s="8" t="inlineStr">
        <is>
          <t>Retirement</t>
        </is>
      </c>
      <c r="C107" s="16" t="n">
        <v>2977.92</v>
      </c>
      <c r="D107" s="16" t="n">
        <v>3479.58</v>
      </c>
      <c r="E107" s="16" t="n">
        <v>3321.58</v>
      </c>
      <c r="F107" s="16" t="n">
        <v>8077</v>
      </c>
      <c r="G107" s="16" t="n">
        <v>8077</v>
      </c>
      <c r="H107" s="16">
        <f>G107-F107</f>
        <v/>
      </c>
      <c r="I107" s="14">
        <f>IF(F107=0,0,G107/F107-1)</f>
        <v/>
      </c>
    </row>
    <row r="108">
      <c r="A108" s="8" t="inlineStr">
        <is>
          <t>1000.9600.1000.53000.300</t>
        </is>
      </c>
      <c r="B108" s="8" t="inlineStr">
        <is>
          <t>Game Officials</t>
        </is>
      </c>
      <c r="C108" s="16" t="n">
        <v>43524.05</v>
      </c>
      <c r="D108" s="16" t="n">
        <v>46762.12</v>
      </c>
      <c r="E108" s="16" t="n">
        <v>46823.52</v>
      </c>
      <c r="F108" s="16" t="n">
        <v>59524</v>
      </c>
      <c r="G108" s="16" t="n">
        <v>60670</v>
      </c>
      <c r="H108" s="16">
        <f>G108-F108</f>
        <v/>
      </c>
      <c r="I108" s="14">
        <f>IF(F108=0,0,G108/F108-1)</f>
        <v/>
      </c>
    </row>
    <row r="109">
      <c r="A109" s="8" t="inlineStr">
        <is>
          <t>1000.9600.1000.55000.300</t>
        </is>
      </c>
      <c r="B109" s="8" t="inlineStr">
        <is>
          <t>Purchased Services</t>
        </is>
      </c>
      <c r="C109" s="16" t="n">
        <v>35208.98</v>
      </c>
      <c r="D109" s="16" t="n">
        <v>13791.57</v>
      </c>
      <c r="E109" s="16" t="n">
        <v>13160.75</v>
      </c>
      <c r="F109" s="16" t="n">
        <v>15711</v>
      </c>
      <c r="G109" s="16" t="n">
        <v>15303</v>
      </c>
      <c r="H109" s="16">
        <f>G109-F109</f>
        <v/>
      </c>
      <c r="I109" s="14">
        <f>IF(F109=0,0,G109/F109-1)</f>
        <v/>
      </c>
    </row>
    <row r="110">
      <c r="A110" s="8" t="inlineStr">
        <is>
          <t>1000.9600.1000.55800.300</t>
        </is>
      </c>
      <c r="B110" s="8" t="inlineStr">
        <is>
          <t>Travel</t>
        </is>
      </c>
      <c r="C110" s="16" t="n">
        <v>572.0700000000001</v>
      </c>
      <c r="D110" s="16" t="n">
        <v>625.05</v>
      </c>
      <c r="E110" s="16" t="n">
        <v>888.23</v>
      </c>
      <c r="F110" s="16" t="n">
        <v>1270</v>
      </c>
      <c r="G110" s="16" t="n">
        <v>1270</v>
      </c>
      <c r="H110" s="16">
        <f>G110-F110</f>
        <v/>
      </c>
      <c r="I110" s="14">
        <f>IF(F110=0,0,G110/F110-1)</f>
        <v/>
      </c>
    </row>
    <row r="111">
      <c r="A111" s="8" t="inlineStr">
        <is>
          <t>1000.9600.1000.56000.300</t>
        </is>
      </c>
      <c r="B111" s="8" t="inlineStr">
        <is>
          <t>Supplies</t>
        </is>
      </c>
      <c r="C111" s="16" t="n">
        <v>41746.31</v>
      </c>
      <c r="D111" s="16" t="n">
        <v>42052.64</v>
      </c>
      <c r="E111" s="16" t="n">
        <v>50632.62</v>
      </c>
      <c r="F111" s="16" t="n">
        <v>48044</v>
      </c>
      <c r="G111" s="16" t="n">
        <v>53292</v>
      </c>
      <c r="H111" s="16">
        <f>G111-F111</f>
        <v/>
      </c>
      <c r="I111" s="14">
        <f>IF(F111=0,0,G111/F111-1)</f>
        <v/>
      </c>
    </row>
    <row r="112">
      <c r="A112" s="8" t="inlineStr">
        <is>
          <t>1000.9600.1000.56100.300</t>
        </is>
      </c>
      <c r="B112" s="8" t="inlineStr">
        <is>
          <t>Instructional Supplies</t>
        </is>
      </c>
      <c r="C112" s="16" t="n">
        <v>0</v>
      </c>
      <c r="D112" s="16" t="n">
        <v>0</v>
      </c>
      <c r="E112" s="16" t="n">
        <v>115.11</v>
      </c>
      <c r="F112" s="16" t="n">
        <v>0</v>
      </c>
      <c r="G112" s="16" t="n">
        <v>0</v>
      </c>
      <c r="H112" s="16">
        <f>G112-F112</f>
        <v/>
      </c>
      <c r="I112" s="14">
        <f>IF(F112=0,0,G112/F112-1)</f>
        <v/>
      </c>
    </row>
    <row r="113">
      <c r="A113" s="8" t="inlineStr">
        <is>
          <t>1000.9600.1000.58100.300</t>
        </is>
      </c>
      <c r="B113" s="8" t="inlineStr">
        <is>
          <t>Dues and Fees</t>
        </is>
      </c>
      <c r="C113" s="16" t="n">
        <v>46310.95</v>
      </c>
      <c r="D113" s="16" t="n">
        <v>49969.41</v>
      </c>
      <c r="E113" s="16" t="n">
        <v>52061.75</v>
      </c>
      <c r="F113" s="16" t="n">
        <v>54260</v>
      </c>
      <c r="G113" s="16" t="n">
        <v>65133</v>
      </c>
      <c r="H113" s="16">
        <f>G113-F113</f>
        <v/>
      </c>
      <c r="I113" s="14">
        <f>IF(F113=0,0,G113/F113-1)</f>
        <v/>
      </c>
    </row>
    <row r="114">
      <c r="A114" s="9" t="n"/>
      <c r="B114" s="22" t="inlineStr">
        <is>
          <t>Program 9600 Total</t>
        </is>
      </c>
      <c r="C114" s="23">
        <f>SUM(C105:C113)</f>
        <v/>
      </c>
      <c r="D114" s="23">
        <f>SUM(D105:D113)</f>
        <v/>
      </c>
      <c r="E114" s="23">
        <f>SUM(E105:E113)</f>
        <v/>
      </c>
      <c r="F114" s="23">
        <f>SUM(F105:F113)</f>
        <v/>
      </c>
      <c r="G114" s="23">
        <f>SUM(G105:G113)</f>
        <v/>
      </c>
      <c r="H114" s="23">
        <f>SUM(H105:H113)</f>
        <v/>
      </c>
      <c r="I114" s="23">
        <f>SUM(I105:I113)</f>
        <v/>
      </c>
    </row>
    <row r="115">
      <c r="A115" s="9" t="n"/>
      <c r="B115" s="24" t="inlineStr">
        <is>
          <t>Function 1000 Total</t>
        </is>
      </c>
      <c r="C115" s="25">
        <f>C96+C104+C114</f>
        <v/>
      </c>
      <c r="D115" s="25">
        <f>D96+D104+D114</f>
        <v/>
      </c>
      <c r="E115" s="25">
        <f>E96+E104+E114</f>
        <v/>
      </c>
      <c r="F115" s="25">
        <f>F96+F104+F114</f>
        <v/>
      </c>
      <c r="G115" s="25">
        <f>G96+G104+G114</f>
        <v/>
      </c>
      <c r="H115" s="25">
        <f>H96+H104+H114</f>
        <v/>
      </c>
      <c r="I115" s="25">
        <f>I96+I104+I114</f>
        <v/>
      </c>
    </row>
    <row r="116">
      <c r="A116" s="8" t="inlineStr">
        <is>
          <t>1000.9600.2330.51010.300</t>
        </is>
      </c>
      <c r="B116" s="8" t="inlineStr">
        <is>
          <t>Athletic Director Salary -</t>
        </is>
      </c>
      <c r="C116" s="16" t="n">
        <v>100618.86</v>
      </c>
      <c r="D116" s="16" t="n">
        <v>77420.02</v>
      </c>
      <c r="E116" s="16" t="n">
        <v>81270.17</v>
      </c>
      <c r="F116" s="16" t="n">
        <v>85701</v>
      </c>
      <c r="G116" s="16" t="n">
        <v>90415</v>
      </c>
      <c r="H116" s="16">
        <f>G116-F116</f>
        <v/>
      </c>
      <c r="I116" s="14">
        <f>IF(F116=0,0,G116/F116-1)</f>
        <v/>
      </c>
    </row>
    <row r="117">
      <c r="A117" s="8" t="inlineStr">
        <is>
          <t>1000.9600.2330.51060.300</t>
        </is>
      </c>
      <c r="B117" s="8" t="inlineStr">
        <is>
          <t>Athletic Trainer Salary</t>
        </is>
      </c>
      <c r="C117" s="16" t="n">
        <v>0</v>
      </c>
      <c r="D117" s="16" t="n">
        <v>64575.2</v>
      </c>
      <c r="E117" s="16" t="n">
        <v>66150</v>
      </c>
      <c r="F117" s="16" t="n">
        <v>70119</v>
      </c>
      <c r="G117" s="16" t="n">
        <v>73976</v>
      </c>
      <c r="H117" s="16">
        <f>G117-F117</f>
        <v/>
      </c>
      <c r="I117" s="14">
        <f>IF(F117=0,0,G117/F117-1)</f>
        <v/>
      </c>
    </row>
    <row r="118">
      <c r="A118" s="8" t="inlineStr">
        <is>
          <t>1000.9600.2330.51180.300</t>
        </is>
      </c>
      <c r="B118" s="8" t="inlineStr">
        <is>
          <t>Athletic Office Support Staff</t>
        </is>
      </c>
      <c r="C118" s="16" t="n">
        <v>7094.56</v>
      </c>
      <c r="D118" s="16" t="n">
        <v>14783.81</v>
      </c>
      <c r="E118" s="16" t="n">
        <v>15235.17</v>
      </c>
      <c r="F118" s="16" t="n">
        <v>16595</v>
      </c>
      <c r="G118" s="16" t="n">
        <v>16800</v>
      </c>
      <c r="H118" s="16">
        <f>G118-F118</f>
        <v/>
      </c>
      <c r="I118" s="14">
        <f>IF(F118=0,0,G118/F118-1)</f>
        <v/>
      </c>
    </row>
    <row r="119">
      <c r="A119" s="8" t="inlineStr">
        <is>
          <t>1000.9600.2330.52010.300</t>
        </is>
      </c>
      <c r="B119" s="8" t="inlineStr">
        <is>
          <t>Athletic Director Benefits -</t>
        </is>
      </c>
      <c r="C119" s="16" t="n">
        <v>16664.94</v>
      </c>
      <c r="D119" s="16" t="n">
        <v>11916.41</v>
      </c>
      <c r="E119" s="16" t="n">
        <v>13457.94</v>
      </c>
      <c r="F119" s="16" t="n">
        <v>20598</v>
      </c>
      <c r="G119" s="16" t="n">
        <v>22394</v>
      </c>
      <c r="H119" s="16">
        <f>G119-F119</f>
        <v/>
      </c>
      <c r="I119" s="14">
        <f>IF(F119=0,0,G119/F119-1)</f>
        <v/>
      </c>
    </row>
    <row r="120">
      <c r="A120" s="8" t="inlineStr">
        <is>
          <t>1000.9600.2330.52060.300</t>
        </is>
      </c>
      <c r="B120" s="8" t="inlineStr">
        <is>
          <t>Athletic Trainer Benefits</t>
        </is>
      </c>
      <c r="C120" s="16" t="n">
        <v>0</v>
      </c>
      <c r="D120" s="16" t="n">
        <v>13784.47</v>
      </c>
      <c r="E120" s="16" t="n">
        <v>23302.69</v>
      </c>
      <c r="F120" s="16" t="n">
        <v>20670</v>
      </c>
      <c r="G120" s="16" t="n">
        <v>21995</v>
      </c>
      <c r="H120" s="16">
        <f>G120-F120</f>
        <v/>
      </c>
      <c r="I120" s="14">
        <f>IF(F120=0,0,G120/F120-1)</f>
        <v/>
      </c>
    </row>
    <row r="121">
      <c r="A121" s="8" t="inlineStr">
        <is>
          <t>1000.9600.2330.52080.300</t>
        </is>
      </c>
      <c r="B121" s="8" t="inlineStr">
        <is>
          <t>Athletic Office Support Staff</t>
        </is>
      </c>
      <c r="C121" s="16" t="n">
        <v>505.05</v>
      </c>
      <c r="D121" s="16" t="n">
        <v>1261.24</v>
      </c>
      <c r="E121" s="16" t="n">
        <v>8494.65</v>
      </c>
      <c r="F121" s="16" t="n">
        <v>3795</v>
      </c>
      <c r="G121" s="16" t="n">
        <v>5362</v>
      </c>
      <c r="H121" s="16">
        <f>G121-F121</f>
        <v/>
      </c>
      <c r="I121" s="14">
        <f>IF(F121=0,0,G121/F121-1)</f>
        <v/>
      </c>
    </row>
    <row r="122">
      <c r="A122" s="8" t="inlineStr">
        <is>
          <t>1000.9600.2330.52310.300</t>
        </is>
      </c>
      <c r="B122" s="8" t="inlineStr">
        <is>
          <t>Athletic Director Retirement</t>
        </is>
      </c>
      <c r="C122" s="16" t="n">
        <v>1558.58</v>
      </c>
      <c r="D122" s="16" t="n">
        <v>3441.88</v>
      </c>
      <c r="E122" s="16" t="n">
        <v>3614</v>
      </c>
      <c r="F122" s="16" t="n">
        <v>3831</v>
      </c>
      <c r="G122" s="16" t="n">
        <v>4042</v>
      </c>
      <c r="H122" s="16">
        <f>G122-F122</f>
        <v/>
      </c>
      <c r="I122" s="14">
        <f>IF(F122=0,0,G122/F122-1)</f>
        <v/>
      </c>
    </row>
    <row r="123">
      <c r="A123" s="8" t="inlineStr">
        <is>
          <t>1000.9600.2330.52340.300</t>
        </is>
      </c>
      <c r="B123" s="8" t="inlineStr">
        <is>
          <t>Athletic Dir Retirement</t>
        </is>
      </c>
      <c r="C123" s="16" t="n">
        <v>1449.55</v>
      </c>
      <c r="D123" s="16" t="n">
        <v>0</v>
      </c>
      <c r="E123" s="16" t="n">
        <v>0</v>
      </c>
      <c r="F123" s="16" t="n">
        <v>0</v>
      </c>
      <c r="G123" s="16" t="n">
        <v>0</v>
      </c>
      <c r="H123" s="16">
        <f>G123-F123</f>
        <v/>
      </c>
      <c r="I123" s="14">
        <f>IF(F123=0,0,G123/F123-1)</f>
        <v/>
      </c>
    </row>
    <row r="124">
      <c r="A124" s="9" t="n"/>
      <c r="B124" s="22" t="inlineStr">
        <is>
          <t>Program 9600 Total</t>
        </is>
      </c>
      <c r="C124" s="23">
        <f>SUM(C116:C123)</f>
        <v/>
      </c>
      <c r="D124" s="23">
        <f>SUM(D116:D123)</f>
        <v/>
      </c>
      <c r="E124" s="23">
        <f>SUM(E116:E123)</f>
        <v/>
      </c>
      <c r="F124" s="23">
        <f>SUM(F116:F123)</f>
        <v/>
      </c>
      <c r="G124" s="23">
        <f>SUM(G116:G123)</f>
        <v/>
      </c>
      <c r="H124" s="23">
        <f>SUM(H116:H123)</f>
        <v/>
      </c>
      <c r="I124" s="23">
        <f>SUM(I116:I123)</f>
        <v/>
      </c>
    </row>
    <row r="125">
      <c r="A125" s="9" t="n"/>
      <c r="B125" s="12" t="inlineStr">
        <is>
          <t>Cost Center ('300',) Total</t>
        </is>
      </c>
      <c r="C125" s="26">
        <f>C115+C124</f>
        <v/>
      </c>
      <c r="D125" s="26">
        <f>D115+D124</f>
        <v/>
      </c>
      <c r="E125" s="26">
        <f>E115+E124</f>
        <v/>
      </c>
      <c r="F125" s="26">
        <f>F115+F124</f>
        <v/>
      </c>
      <c r="G125" s="26">
        <f>G115+G124</f>
        <v/>
      </c>
      <c r="H125" s="26">
        <f>H115+H124</f>
        <v/>
      </c>
      <c r="I125" s="26">
        <f>I115+I124</f>
        <v/>
      </c>
    </row>
    <row r="127">
      <c r="A127" s="3" t="inlineStr">
        <is>
          <t>Cost Center: ('950',)</t>
        </is>
      </c>
    </row>
    <row r="128">
      <c r="A128" s="8" t="inlineStr">
        <is>
          <t>1000.9100.1000.51500.950</t>
        </is>
      </c>
      <c r="B128" s="8" t="inlineStr">
        <is>
          <t>Stipends Paid</t>
        </is>
      </c>
      <c r="C128" s="16" t="n">
        <v>2544</v>
      </c>
      <c r="D128" s="16" t="n">
        <v>1272</v>
      </c>
      <c r="E128" s="16" t="n">
        <v>1380.53</v>
      </c>
      <c r="F128" s="16" t="n">
        <v>1486</v>
      </c>
      <c r="G128" s="16" t="n">
        <v>1486</v>
      </c>
      <c r="H128" s="16">
        <f>G128-F128</f>
        <v/>
      </c>
      <c r="I128" s="14">
        <f>IF(F128=0,0,G128/F128-1)</f>
        <v/>
      </c>
    </row>
    <row r="129">
      <c r="A129" s="8" t="inlineStr">
        <is>
          <t>1000.9100.1000.52000.950</t>
        </is>
      </c>
      <c r="B129" s="8" t="inlineStr">
        <is>
          <t>Employee Benefits</t>
        </is>
      </c>
      <c r="C129" s="16" t="n">
        <v>202.02</v>
      </c>
      <c r="D129" s="16" t="n">
        <v>104.6</v>
      </c>
      <c r="E129" s="16" t="n">
        <v>120.47</v>
      </c>
      <c r="F129" s="16" t="n">
        <v>50</v>
      </c>
      <c r="G129" s="16" t="n">
        <v>50</v>
      </c>
      <c r="H129" s="16">
        <f>G129-F129</f>
        <v/>
      </c>
      <c r="I129" s="14">
        <f>IF(F129=0,0,G129/F129-1)</f>
        <v/>
      </c>
    </row>
    <row r="130">
      <c r="A130" s="9" t="n"/>
      <c r="B130" s="22" t="inlineStr">
        <is>
          <t>Program 9100 Total</t>
        </is>
      </c>
      <c r="C130" s="23">
        <f>SUM(C128:C129)</f>
        <v/>
      </c>
      <c r="D130" s="23">
        <f>SUM(D128:D129)</f>
        <v/>
      </c>
      <c r="E130" s="23">
        <f>SUM(E128:E129)</f>
        <v/>
      </c>
      <c r="F130" s="23">
        <f>SUM(F128:F129)</f>
        <v/>
      </c>
      <c r="G130" s="23">
        <f>SUM(G128:G129)</f>
        <v/>
      </c>
      <c r="H130" s="23">
        <f>SUM(H128:H129)</f>
        <v/>
      </c>
      <c r="I130" s="23">
        <f>SUM(I128:I129)</f>
        <v/>
      </c>
    </row>
    <row r="131">
      <c r="A131" s="9" t="n"/>
      <c r="B131" s="12" t="inlineStr">
        <is>
          <t>Cost Center ('950',) Total</t>
        </is>
      </c>
      <c r="C131" s="26">
        <f>C130</f>
        <v/>
      </c>
      <c r="D131" s="26">
        <f>D130</f>
        <v/>
      </c>
      <c r="E131" s="26">
        <f>E130</f>
        <v/>
      </c>
      <c r="F131" s="26">
        <f>F130</f>
        <v/>
      </c>
      <c r="G131" s="26">
        <f>G130</f>
        <v/>
      </c>
      <c r="H131" s="26">
        <f>H130</f>
        <v/>
      </c>
      <c r="I131" s="26">
        <f>I130</f>
        <v/>
      </c>
    </row>
    <row r="133">
      <c r="A133" s="9" t="n"/>
      <c r="B133" s="27" t="inlineStr">
        <is>
          <t>ARTICLE 4 TOTAL</t>
        </is>
      </c>
      <c r="C133" s="28">
        <f>C28+C36+C52+C60+C89+C125+C131</f>
        <v/>
      </c>
      <c r="D133" s="28">
        <f>D28+D36+D52+D60+D89+D125+D131</f>
        <v/>
      </c>
      <c r="E133" s="28">
        <f>E28+E36+E52+E60+E89+E125+E131</f>
        <v/>
      </c>
      <c r="F133" s="28">
        <f>F28+F36+F52+F60+F89+F125+F131</f>
        <v/>
      </c>
      <c r="G133" s="28">
        <f>G28+G36+G52+G60+G89+G125+G131</f>
        <v/>
      </c>
      <c r="H133" s="28">
        <f>H28+H36+H52+H60+H89+H125+H131</f>
        <v/>
      </c>
      <c r="I133" s="28">
        <f>I28+I36+I52+I60+I89+I125+I131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I33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5 - Student &amp; Staff Support</t>
        </is>
      </c>
    </row>
    <row r="2">
      <c r="A2" s="2" t="inlineStr">
        <is>
          <t>Source: FY27 Proposed Budget, RSU 5</t>
        </is>
      </c>
    </row>
    <row r="3">
      <c r="A3" s="2" t="inlineStr">
        <is>
          <t>Verification: UNRECONCILED -- see Summary tab</t>
        </is>
      </c>
    </row>
    <row r="5">
      <c r="A5" s="4" t="inlineStr">
        <is>
          <t>Account</t>
        </is>
      </c>
      <c r="B5" s="4" t="inlineStr">
        <is>
          <t>Description</t>
        </is>
      </c>
      <c r="C5" s="4" t="inlineStr">
        <is>
          <t>FY23 Actual</t>
        </is>
      </c>
      <c r="D5" s="4" t="inlineStr">
        <is>
          <t>FY24 Actual</t>
        </is>
      </c>
      <c r="E5" s="4" t="inlineStr">
        <is>
          <t>FY25 Actual</t>
        </is>
      </c>
      <c r="F5" s="4" t="inlineStr">
        <is>
          <t>FY26 Adopted</t>
        </is>
      </c>
      <c r="G5" s="4" t="inlineStr">
        <is>
          <t>FY27 Proposed</t>
        </is>
      </c>
      <c r="H5" s="4" t="inlineStr">
        <is>
          <t>$ Diff</t>
        </is>
      </c>
      <c r="I5" s="4" t="inlineStr">
        <is>
          <t>% Diff</t>
        </is>
      </c>
    </row>
    <row r="6">
      <c r="A6" s="3" t="inlineStr">
        <is>
          <t>Cost Center: ('010',)</t>
        </is>
      </c>
    </row>
    <row r="7">
      <c r="A7" s="8" t="inlineStr">
        <is>
          <t>1000.0000.2110.51010.010</t>
        </is>
      </c>
      <c r="B7" s="8" t="inlineStr">
        <is>
          <t>Social Worker Salaries</t>
        </is>
      </c>
      <c r="C7" s="16" t="n">
        <v>0</v>
      </c>
      <c r="D7" s="16" t="n">
        <v>39103.26</v>
      </c>
      <c r="E7" s="16" t="n">
        <v>48445.44</v>
      </c>
      <c r="F7" s="16" t="n">
        <v>47046</v>
      </c>
      <c r="G7" s="16" t="n">
        <v>50269</v>
      </c>
      <c r="H7" s="16">
        <f>G7-F7</f>
        <v/>
      </c>
      <c r="I7" s="14">
        <f>IF(F7=0,0,G7/F7-1)</f>
        <v/>
      </c>
    </row>
    <row r="8">
      <c r="A8" s="8" t="inlineStr">
        <is>
          <t>1000.0000.2110.52010.010</t>
        </is>
      </c>
      <c r="B8" s="8" t="inlineStr">
        <is>
          <t>Social Worker Benefits</t>
        </is>
      </c>
      <c r="C8" s="16" t="n">
        <v>0</v>
      </c>
      <c r="D8" s="16" t="n">
        <v>9467.27</v>
      </c>
      <c r="E8" s="16" t="n">
        <v>5444.06</v>
      </c>
      <c r="F8" s="16" t="n">
        <v>13101</v>
      </c>
      <c r="G8" s="16" t="n">
        <v>14055</v>
      </c>
      <c r="H8" s="16">
        <f>G8-F8</f>
        <v/>
      </c>
      <c r="I8" s="14">
        <f>IF(F8=0,0,G8/F8-1)</f>
        <v/>
      </c>
    </row>
    <row r="9">
      <c r="A9" s="8" t="inlineStr">
        <is>
          <t>1000.0000.2110.52310.010</t>
        </is>
      </c>
      <c r="B9" s="8" t="inlineStr">
        <is>
          <t>Social Worker Retirement</t>
        </is>
      </c>
      <c r="C9" s="16" t="n">
        <v>0</v>
      </c>
      <c r="D9" s="16" t="n">
        <v>1744</v>
      </c>
      <c r="E9" s="16" t="n">
        <v>2072.28</v>
      </c>
      <c r="F9" s="16" t="n">
        <v>2103</v>
      </c>
      <c r="G9" s="16" t="n">
        <v>2247</v>
      </c>
      <c r="H9" s="16">
        <f>G9-F9</f>
        <v/>
      </c>
      <c r="I9" s="14">
        <f>IF(F9=0,0,G9/F9-1)</f>
        <v/>
      </c>
    </row>
    <row r="10">
      <c r="A10" s="9" t="n"/>
      <c r="B10" s="22" t="inlineStr">
        <is>
          <t>Program 0000 Total</t>
        </is>
      </c>
      <c r="C10" s="23">
        <f>SUM(C7:C9)</f>
        <v/>
      </c>
      <c r="D10" s="23">
        <f>SUM(D7:D9)</f>
        <v/>
      </c>
      <c r="E10" s="23">
        <f>SUM(E7:E9)</f>
        <v/>
      </c>
      <c r="F10" s="23">
        <f>SUM(F7:F9)</f>
        <v/>
      </c>
      <c r="G10" s="23">
        <f>SUM(G7:G9)</f>
        <v/>
      </c>
      <c r="H10" s="23">
        <f>SUM(H7:H9)</f>
        <v/>
      </c>
      <c r="I10" s="23">
        <f>SUM(I7:I9)</f>
        <v/>
      </c>
    </row>
    <row r="11">
      <c r="A11" s="8" t="inlineStr">
        <is>
          <t>1000.0000.2120.51010.010</t>
        </is>
      </c>
      <c r="B11" s="8" t="inlineStr">
        <is>
          <t>Guidance Salaries</t>
        </is>
      </c>
      <c r="C11" s="16" t="n">
        <v>107080.83</v>
      </c>
      <c r="D11" s="16" t="n">
        <v>151136.73</v>
      </c>
      <c r="E11" s="16" t="n">
        <v>110822.71</v>
      </c>
      <c r="F11" s="16" t="n">
        <v>154209</v>
      </c>
      <c r="G11" s="16" t="n">
        <v>166388</v>
      </c>
      <c r="H11" s="16">
        <f>G11-F11</f>
        <v/>
      </c>
      <c r="I11" s="14">
        <f>IF(F11=0,0,G11/F11-1)</f>
        <v/>
      </c>
    </row>
    <row r="12">
      <c r="A12" s="8" t="inlineStr">
        <is>
          <t>1000.0000.2120.52010.010</t>
        </is>
      </c>
      <c r="B12" s="8" t="inlineStr">
        <is>
          <t>Benefits</t>
        </is>
      </c>
      <c r="C12" s="16" t="n">
        <v>10208.66</v>
      </c>
      <c r="D12" s="16" t="n">
        <v>10438.44</v>
      </c>
      <c r="E12" s="16" t="n">
        <v>10894.21</v>
      </c>
      <c r="F12" s="16" t="n">
        <v>11936</v>
      </c>
      <c r="G12" s="16" t="n">
        <v>12321</v>
      </c>
      <c r="H12" s="16">
        <f>G12-F12</f>
        <v/>
      </c>
      <c r="I12" s="14">
        <f>IF(F12=0,0,G12/F12-1)</f>
        <v/>
      </c>
    </row>
    <row r="13">
      <c r="A13" s="8" t="inlineStr">
        <is>
          <t>1000.0000.2120.52310.010</t>
        </is>
      </c>
      <c r="B13" s="8" t="inlineStr">
        <is>
          <t>Retirement</t>
        </is>
      </c>
      <c r="C13" s="16" t="n">
        <v>4099.82</v>
      </c>
      <c r="D13" s="16" t="n">
        <v>6760.4</v>
      </c>
      <c r="E13" s="16" t="n">
        <v>4930.08</v>
      </c>
      <c r="F13" s="16" t="n">
        <v>6830</v>
      </c>
      <c r="G13" s="16" t="n">
        <v>7364</v>
      </c>
      <c r="H13" s="16">
        <f>G13-F13</f>
        <v/>
      </c>
      <c r="I13" s="14">
        <f>IF(F13=0,0,G13/F13-1)</f>
        <v/>
      </c>
    </row>
    <row r="14">
      <c r="A14" s="8" t="inlineStr">
        <is>
          <t>1000.0000.2120.53000.010</t>
        </is>
      </c>
      <c r="B14" s="8" t="inlineStr">
        <is>
          <t>Professional Services</t>
        </is>
      </c>
      <c r="C14" s="16" t="n">
        <v>226.25</v>
      </c>
      <c r="D14" s="16" t="n">
        <v>66.67</v>
      </c>
      <c r="E14" s="16" t="n">
        <v>300</v>
      </c>
      <c r="F14" s="16" t="n">
        <v>300</v>
      </c>
      <c r="G14" s="16" t="n">
        <v>300</v>
      </c>
      <c r="H14" s="16">
        <f>G14-F14</f>
        <v/>
      </c>
      <c r="I14" s="14">
        <f>IF(F14=0,0,G14/F14-1)</f>
        <v/>
      </c>
    </row>
    <row r="15">
      <c r="A15" s="8" t="inlineStr">
        <is>
          <t>1000.0000.2120.54330.010</t>
        </is>
      </c>
      <c r="B15" s="8" t="inlineStr">
        <is>
          <t>Software</t>
        </is>
      </c>
      <c r="C15" s="16" t="n">
        <v>333.33</v>
      </c>
      <c r="D15" s="16" t="n">
        <v>333.33</v>
      </c>
      <c r="E15" s="16" t="n">
        <v>275.33</v>
      </c>
      <c r="F15" s="16" t="n">
        <v>334</v>
      </c>
      <c r="G15" s="16" t="n">
        <v>334</v>
      </c>
      <c r="H15" s="16">
        <f>G15-F15</f>
        <v/>
      </c>
      <c r="I15" s="14">
        <f>IF(F15=0,0,G15/F15-1)</f>
        <v/>
      </c>
    </row>
    <row r="16">
      <c r="A16" s="8" t="inlineStr">
        <is>
          <t>1000.0000.2120.55810.010</t>
        </is>
      </c>
      <c r="B16" s="8" t="inlineStr">
        <is>
          <t>Travel - Guidance</t>
        </is>
      </c>
      <c r="C16" s="16" t="n">
        <v>0</v>
      </c>
      <c r="D16" s="16" t="n">
        <v>0</v>
      </c>
      <c r="E16" s="16" t="n">
        <v>0</v>
      </c>
      <c r="F16" s="16" t="n">
        <v>200</v>
      </c>
      <c r="G16" s="16" t="n">
        <v>200</v>
      </c>
      <c r="H16" s="16">
        <f>G16-F16</f>
        <v/>
      </c>
      <c r="I16" s="14">
        <f>IF(F16=0,0,G16/F16-1)</f>
        <v/>
      </c>
    </row>
    <row r="17">
      <c r="A17" s="8" t="inlineStr">
        <is>
          <t>1000.0000.2120.56100.010</t>
        </is>
      </c>
      <c r="B17" s="8" t="inlineStr">
        <is>
          <t>Supplies</t>
        </is>
      </c>
      <c r="C17" s="16" t="n">
        <v>239</v>
      </c>
      <c r="D17" s="16" t="n">
        <v>524.5599999999999</v>
      </c>
      <c r="E17" s="16" t="n">
        <v>473.86</v>
      </c>
      <c r="F17" s="16" t="n">
        <v>1450</v>
      </c>
      <c r="G17" s="16" t="n">
        <v>1450</v>
      </c>
      <c r="H17" s="16">
        <f>G17-F17</f>
        <v/>
      </c>
      <c r="I17" s="14">
        <f>IF(F17=0,0,G17/F17-1)</f>
        <v/>
      </c>
    </row>
    <row r="18">
      <c r="A18" s="8" t="inlineStr">
        <is>
          <t>1000.0000.2120.57300.010</t>
        </is>
      </c>
      <c r="B18" s="8" t="inlineStr">
        <is>
          <t>Equipment</t>
        </is>
      </c>
      <c r="C18" s="16" t="n">
        <v>464.06</v>
      </c>
      <c r="D18" s="16" t="n">
        <v>749.77</v>
      </c>
      <c r="E18" s="16" t="n">
        <v>0</v>
      </c>
      <c r="F18" s="16" t="n">
        <v>0</v>
      </c>
      <c r="G18" s="16" t="n">
        <v>0</v>
      </c>
      <c r="H18" s="16">
        <f>G18-F18</f>
        <v/>
      </c>
      <c r="I18" s="14">
        <f>IF(F18=0,0,G18/F18-1)</f>
        <v/>
      </c>
    </row>
    <row r="19">
      <c r="A19" s="8" t="inlineStr">
        <is>
          <t>1000.0000.2120.58100.010</t>
        </is>
      </c>
      <c r="B19" s="8" t="inlineStr">
        <is>
          <t>Dues &amp; Fees</t>
        </is>
      </c>
      <c r="C19" s="16" t="n">
        <v>473</v>
      </c>
      <c r="D19" s="16" t="n">
        <v>384</v>
      </c>
      <c r="E19" s="16" t="n">
        <v>558</v>
      </c>
      <c r="F19" s="16" t="n">
        <v>758</v>
      </c>
      <c r="G19" s="16" t="n">
        <v>758</v>
      </c>
      <c r="H19" s="16">
        <f>G19-F19</f>
        <v/>
      </c>
      <c r="I19" s="14">
        <f>IF(F19=0,0,G19/F19-1)</f>
        <v/>
      </c>
    </row>
    <row r="20">
      <c r="A20" s="9" t="n"/>
      <c r="B20" s="22" t="inlineStr">
        <is>
          <t>Program 0000 Total</t>
        </is>
      </c>
      <c r="C20" s="23">
        <f>SUM(C11:C19)</f>
        <v/>
      </c>
      <c r="D20" s="23">
        <f>SUM(D11:D19)</f>
        <v/>
      </c>
      <c r="E20" s="23">
        <f>SUM(E11:E19)</f>
        <v/>
      </c>
      <c r="F20" s="23">
        <f>SUM(F11:F19)</f>
        <v/>
      </c>
      <c r="G20" s="23">
        <f>SUM(G11:G19)</f>
        <v/>
      </c>
      <c r="H20" s="23">
        <f>SUM(H11:H19)</f>
        <v/>
      </c>
      <c r="I20" s="23">
        <f>SUM(I11:I19)</f>
        <v/>
      </c>
    </row>
    <row r="21">
      <c r="A21" s="8" t="inlineStr">
        <is>
          <t>1000.0000.2130.51010.010</t>
        </is>
      </c>
      <c r="B21" s="8" t="inlineStr">
        <is>
          <t>Nurse Salary</t>
        </is>
      </c>
      <c r="C21" s="16" t="n">
        <v>73164.92999999999</v>
      </c>
      <c r="D21" s="16" t="n">
        <v>75001.2</v>
      </c>
      <c r="E21" s="16" t="n">
        <v>88966.36</v>
      </c>
      <c r="F21" s="16" t="n">
        <v>91021</v>
      </c>
      <c r="G21" s="16" t="n">
        <v>97392</v>
      </c>
      <c r="H21" s="16">
        <f>G21-F21</f>
        <v/>
      </c>
      <c r="I21" s="14">
        <f>IF(F21=0,0,G21/F21-1)</f>
        <v/>
      </c>
    </row>
    <row r="22">
      <c r="A22" s="8" t="inlineStr">
        <is>
          <t>1000.0000.2130.51200.010</t>
        </is>
      </c>
      <c r="B22" s="8" t="inlineStr">
        <is>
          <t>Nurse Substitute - DCS</t>
        </is>
      </c>
      <c r="C22" s="16" t="n">
        <v>0</v>
      </c>
      <c r="D22" s="16" t="n">
        <v>1459.02</v>
      </c>
      <c r="E22" s="16" t="n">
        <v>2081.52</v>
      </c>
      <c r="F22" s="16" t="n">
        <v>0</v>
      </c>
      <c r="G22" s="16" t="n">
        <v>0</v>
      </c>
      <c r="H22" s="16">
        <f>G22-F22</f>
        <v/>
      </c>
      <c r="I22" s="14">
        <f>IF(F22=0,0,G22/F22-1)</f>
        <v/>
      </c>
    </row>
    <row r="23">
      <c r="A23" s="8" t="inlineStr">
        <is>
          <t>1000.0000.2130.52000.010</t>
        </is>
      </c>
      <c r="B23" s="8" t="inlineStr">
        <is>
          <t>Employee Benefits</t>
        </is>
      </c>
      <c r="C23" s="16" t="n">
        <v>0</v>
      </c>
      <c r="D23" s="16" t="n">
        <v>100.39</v>
      </c>
      <c r="E23" s="16" t="n">
        <v>159.1</v>
      </c>
      <c r="F23" s="16" t="n">
        <v>0</v>
      </c>
      <c r="G23" s="16" t="n">
        <v>0</v>
      </c>
      <c r="H23" s="16">
        <f>G23-F23</f>
        <v/>
      </c>
      <c r="I23" s="14">
        <f>IF(F23=0,0,G23/F23-1)</f>
        <v/>
      </c>
    </row>
    <row r="24">
      <c r="A24" s="8" t="inlineStr">
        <is>
          <t>1000.0000.2130.52010.010</t>
        </is>
      </c>
      <c r="B24" s="8" t="inlineStr">
        <is>
          <t>Nurse Benefits</t>
        </is>
      </c>
      <c r="C24" s="16" t="n">
        <v>18421.44</v>
      </c>
      <c r="D24" s="16" t="n">
        <v>14359.24</v>
      </c>
      <c r="E24" s="16" t="n">
        <v>12168.25</v>
      </c>
      <c r="F24" s="16" t="n">
        <v>20799</v>
      </c>
      <c r="G24" s="16" t="n">
        <v>22330</v>
      </c>
      <c r="H24" s="16">
        <f>G24-F24</f>
        <v/>
      </c>
      <c r="I24" s="14">
        <f>IF(F24=0,0,G24/F24-1)</f>
        <v/>
      </c>
    </row>
    <row r="25">
      <c r="A25" s="8" t="inlineStr">
        <is>
          <t>1000.0000.2130.52300.010</t>
        </is>
      </c>
      <c r="B25" s="8" t="inlineStr">
        <is>
          <t>Retirement - Stipends</t>
        </is>
      </c>
      <c r="C25" s="16" t="n">
        <v>0</v>
      </c>
      <c r="D25" s="16" t="n">
        <v>10.87</v>
      </c>
      <c r="E25" s="16" t="n">
        <v>11.63</v>
      </c>
      <c r="F25" s="16" t="n">
        <v>0</v>
      </c>
      <c r="G25" s="16" t="n">
        <v>0</v>
      </c>
      <c r="H25" s="16">
        <f>G25-F25</f>
        <v/>
      </c>
      <c r="I25" s="14">
        <f>IF(F25=0,0,G25/F25-1)</f>
        <v/>
      </c>
    </row>
    <row r="26">
      <c r="A26" s="8" t="inlineStr">
        <is>
          <t>1000.0000.2130.52310.010</t>
        </is>
      </c>
      <c r="B26" s="8" t="inlineStr">
        <is>
          <t>Retirement</t>
        </is>
      </c>
      <c r="C26" s="16" t="n">
        <v>2782.78</v>
      </c>
      <c r="D26" s="16" t="n">
        <v>3352.45</v>
      </c>
      <c r="E26" s="16" t="n">
        <v>3785.49</v>
      </c>
      <c r="F26" s="16" t="n">
        <v>4069</v>
      </c>
      <c r="G26" s="16" t="n">
        <v>4353</v>
      </c>
      <c r="H26" s="16">
        <f>G26-F26</f>
        <v/>
      </c>
      <c r="I26" s="14">
        <f>IF(F26=0,0,G26/F26-1)</f>
        <v/>
      </c>
    </row>
    <row r="27">
      <c r="A27" s="8" t="inlineStr">
        <is>
          <t>1000.0000.2130.53000.010</t>
        </is>
      </c>
      <c r="B27" s="8" t="inlineStr">
        <is>
          <t>Professional Services</t>
        </is>
      </c>
      <c r="C27" s="16" t="n">
        <v>319</v>
      </c>
      <c r="D27" s="16" t="n">
        <v>279</v>
      </c>
      <c r="E27" s="16" t="n">
        <v>268.99</v>
      </c>
      <c r="F27" s="16" t="n">
        <v>300</v>
      </c>
      <c r="G27" s="16" t="n">
        <v>300</v>
      </c>
      <c r="H27" s="16">
        <f>G27-F27</f>
        <v/>
      </c>
      <c r="I27" s="14">
        <f>IF(F27=0,0,G27/F27-1)</f>
        <v/>
      </c>
    </row>
    <row r="28">
      <c r="A28" s="8" t="inlineStr">
        <is>
          <t>1000.0000.2130.54310.010</t>
        </is>
      </c>
      <c r="B28" s="8" t="inlineStr">
        <is>
          <t>Repairs &amp; Maintenance</t>
        </is>
      </c>
      <c r="C28" s="16" t="n">
        <v>0</v>
      </c>
      <c r="D28" s="16" t="n">
        <v>75</v>
      </c>
      <c r="E28" s="16" t="n">
        <v>0</v>
      </c>
      <c r="F28" s="16" t="n">
        <v>135</v>
      </c>
      <c r="G28" s="16" t="n">
        <v>135</v>
      </c>
      <c r="H28" s="16">
        <f>G28-F28</f>
        <v/>
      </c>
      <c r="I28" s="14">
        <f>IF(F28=0,0,G28/F28-1)</f>
        <v/>
      </c>
    </row>
    <row r="29">
      <c r="A29" s="8" t="inlineStr">
        <is>
          <t>1000.0000.2130.55800.010</t>
        </is>
      </c>
      <c r="B29" s="8" t="inlineStr">
        <is>
          <t>Travel</t>
        </is>
      </c>
      <c r="C29" s="16" t="n">
        <v>0</v>
      </c>
      <c r="D29" s="16" t="n">
        <v>25.46</v>
      </c>
      <c r="E29" s="16" t="n">
        <v>9.380000000000001</v>
      </c>
      <c r="F29" s="16" t="n">
        <v>0</v>
      </c>
      <c r="G29" s="16" t="n">
        <v>0</v>
      </c>
      <c r="H29" s="16">
        <f>G29-F29</f>
        <v/>
      </c>
      <c r="I29" s="14">
        <f>IF(F29=0,0,G29/F29-1)</f>
        <v/>
      </c>
    </row>
    <row r="30">
      <c r="A30" s="8" t="inlineStr">
        <is>
          <t>1000.0000.2130.56000.010</t>
        </is>
      </c>
      <c r="B30" s="8" t="inlineStr">
        <is>
          <t>Supplies</t>
        </is>
      </c>
      <c r="C30" s="16" t="n">
        <v>1209.02</v>
      </c>
      <c r="D30" s="16" t="n">
        <v>1396.38</v>
      </c>
      <c r="E30" s="16" t="n">
        <v>1436.24</v>
      </c>
      <c r="F30" s="16" t="n">
        <v>1701</v>
      </c>
      <c r="G30" s="16" t="n">
        <v>1868</v>
      </c>
      <c r="H30" s="16">
        <f>G30-F30</f>
        <v/>
      </c>
      <c r="I30" s="14">
        <f>IF(F30=0,0,G30/F30-1)</f>
        <v/>
      </c>
    </row>
    <row r="31">
      <c r="A31" s="8" t="inlineStr">
        <is>
          <t>1000.0000.2130.58100.010</t>
        </is>
      </c>
      <c r="B31" s="8" t="inlineStr">
        <is>
          <t>Dues &amp; Fees</t>
        </is>
      </c>
      <c r="C31" s="16" t="n">
        <v>0</v>
      </c>
      <c r="D31" s="16" t="n">
        <v>0</v>
      </c>
      <c r="E31" s="16" t="n">
        <v>150</v>
      </c>
      <c r="F31" s="16" t="n">
        <v>180</v>
      </c>
      <c r="G31" s="16" t="n">
        <v>180</v>
      </c>
      <c r="H31" s="16">
        <f>G31-F31</f>
        <v/>
      </c>
      <c r="I31" s="14">
        <f>IF(F31=0,0,G31/F31-1)</f>
        <v/>
      </c>
    </row>
    <row r="32">
      <c r="A32" s="9" t="n"/>
      <c r="B32" s="22" t="inlineStr">
        <is>
          <t>Program 0000 Total</t>
        </is>
      </c>
      <c r="C32" s="23">
        <f>SUM(C21:C31)</f>
        <v/>
      </c>
      <c r="D32" s="23">
        <f>SUM(D21:D31)</f>
        <v/>
      </c>
      <c r="E32" s="23">
        <f>SUM(E21:E31)</f>
        <v/>
      </c>
      <c r="F32" s="23">
        <f>SUM(F21:F31)</f>
        <v/>
      </c>
      <c r="G32" s="23">
        <f>SUM(G21:G31)</f>
        <v/>
      </c>
      <c r="H32" s="23">
        <f>SUM(H21:H31)</f>
        <v/>
      </c>
      <c r="I32" s="23">
        <f>SUM(I21:I31)</f>
        <v/>
      </c>
    </row>
    <row r="33">
      <c r="A33" s="8" t="inlineStr">
        <is>
          <t>1000.0000.2213.51500.010</t>
        </is>
      </c>
      <c r="B33" s="8" t="inlineStr">
        <is>
          <t>Stipends-Acad Leadership</t>
        </is>
      </c>
      <c r="C33" s="16" t="n">
        <v>43191</v>
      </c>
      <c r="D33" s="16" t="n">
        <v>43431.75</v>
      </c>
      <c r="E33" s="16" t="n">
        <v>42671.1</v>
      </c>
      <c r="F33" s="16" t="n">
        <v>32962</v>
      </c>
      <c r="G33" s="16" t="n">
        <v>32962</v>
      </c>
      <c r="H33" s="16">
        <f>G33-F33</f>
        <v/>
      </c>
      <c r="I33" s="14">
        <f>IF(F33=0,0,G33/F33-1)</f>
        <v/>
      </c>
    </row>
    <row r="34">
      <c r="A34" s="8" t="inlineStr">
        <is>
          <t>1000.0000.2213.52000.010</t>
        </is>
      </c>
      <c r="B34" s="8" t="inlineStr">
        <is>
          <t>Stipend Benefits - DCS</t>
        </is>
      </c>
      <c r="C34" s="16" t="n">
        <v>7383.56</v>
      </c>
      <c r="D34" s="16" t="n">
        <v>6842.34</v>
      </c>
      <c r="E34" s="16" t="n">
        <v>7073.1</v>
      </c>
      <c r="F34" s="16" t="n">
        <v>1108</v>
      </c>
      <c r="G34" s="16" t="n">
        <v>1108</v>
      </c>
      <c r="H34" s="16">
        <f>G34-F34</f>
        <v/>
      </c>
      <c r="I34" s="14">
        <f>IF(F34=0,0,G34/F34-1)</f>
        <v/>
      </c>
    </row>
    <row r="35">
      <c r="A35" s="8" t="inlineStr">
        <is>
          <t>1000.0000.2213.52300.010</t>
        </is>
      </c>
      <c r="B35" s="8" t="inlineStr">
        <is>
          <t>Stipend Retirement - DCS</t>
        </is>
      </c>
      <c r="C35" s="16" t="n">
        <v>1658.68</v>
      </c>
      <c r="D35" s="16" t="n">
        <v>1932.97</v>
      </c>
      <c r="E35" s="16" t="n">
        <v>1903.11</v>
      </c>
      <c r="F35" s="16" t="n">
        <v>1473</v>
      </c>
      <c r="G35" s="16" t="n">
        <v>1473</v>
      </c>
      <c r="H35" s="16">
        <f>G35-F35</f>
        <v/>
      </c>
      <c r="I35" s="14">
        <f>IF(F35=0,0,G35/F35-1)</f>
        <v/>
      </c>
    </row>
    <row r="36">
      <c r="A36" s="8" t="inlineStr">
        <is>
          <t>1000.0000.2213.52510.010</t>
        </is>
      </c>
      <c r="B36" s="8" t="inlineStr">
        <is>
          <t>Tuition Reimbursement</t>
        </is>
      </c>
      <c r="C36" s="16" t="n">
        <v>70</v>
      </c>
      <c r="D36" s="16" t="n">
        <v>0</v>
      </c>
      <c r="E36" s="16" t="n">
        <v>0</v>
      </c>
      <c r="F36" s="16" t="n">
        <v>0</v>
      </c>
      <c r="G36" s="16" t="n">
        <v>0</v>
      </c>
      <c r="H36" s="16">
        <f>G36-F36</f>
        <v/>
      </c>
      <c r="I36" s="14">
        <f>IF(F36=0,0,G36/F36-1)</f>
        <v/>
      </c>
    </row>
    <row r="37">
      <c r="A37" s="9" t="n"/>
      <c r="B37" s="22" t="inlineStr">
        <is>
          <t>Program 0000 Total</t>
        </is>
      </c>
      <c r="C37" s="23">
        <f>SUM(C33:C36)</f>
        <v/>
      </c>
      <c r="D37" s="23">
        <f>SUM(D33:D36)</f>
        <v/>
      </c>
      <c r="E37" s="23">
        <f>SUM(E33:E36)</f>
        <v/>
      </c>
      <c r="F37" s="23">
        <f>SUM(F33:F36)</f>
        <v/>
      </c>
      <c r="G37" s="23">
        <f>SUM(G33:G36)</f>
        <v/>
      </c>
      <c r="H37" s="23">
        <f>SUM(H33:H36)</f>
        <v/>
      </c>
      <c r="I37" s="23">
        <f>SUM(I33:I36)</f>
        <v/>
      </c>
    </row>
    <row r="38">
      <c r="A38" s="8" t="inlineStr">
        <is>
          <t>1000.0000.2220.51010.010</t>
        </is>
      </c>
      <c r="B38" s="8" t="inlineStr">
        <is>
          <t>Librarian Salary</t>
        </is>
      </c>
      <c r="C38" s="16" t="n">
        <v>75593.64999999999</v>
      </c>
      <c r="D38" s="16" t="n">
        <v>79693.42999999999</v>
      </c>
      <c r="E38" s="16" t="n">
        <v>85373.14</v>
      </c>
      <c r="F38" s="16" t="n">
        <v>93415</v>
      </c>
      <c r="G38" s="16" t="n">
        <v>99755</v>
      </c>
      <c r="H38" s="16">
        <f>G38-F38</f>
        <v/>
      </c>
      <c r="I38" s="14">
        <f>IF(F38=0,0,G38/F38-1)</f>
        <v/>
      </c>
    </row>
    <row r="39">
      <c r="A39" s="8" t="inlineStr">
        <is>
          <t>1000.0000.2220.51020.010</t>
        </is>
      </c>
      <c r="B39" s="8" t="inlineStr">
        <is>
          <t>Ed Tech Salaries</t>
        </is>
      </c>
      <c r="C39" s="16" t="n">
        <v>12125.11</v>
      </c>
      <c r="D39" s="16" t="n">
        <v>12785</v>
      </c>
      <c r="E39" s="16" t="n">
        <v>13604.5</v>
      </c>
      <c r="F39" s="16" t="n">
        <v>20799</v>
      </c>
      <c r="G39" s="16" t="n">
        <v>13936</v>
      </c>
      <c r="H39" s="16">
        <f>G39-F39</f>
        <v/>
      </c>
      <c r="I39" s="14">
        <f>IF(F39=0,0,G39/F39-1)</f>
        <v/>
      </c>
    </row>
    <row r="40">
      <c r="A40" s="8" t="inlineStr">
        <is>
          <t>1000.0000.2220.52010.010</t>
        </is>
      </c>
      <c r="B40" s="8" t="inlineStr">
        <is>
          <t>Librarian Benefits</t>
        </is>
      </c>
      <c r="C40" s="16" t="n">
        <v>18223.26</v>
      </c>
      <c r="D40" s="16" t="n">
        <v>16322.35</v>
      </c>
      <c r="E40" s="16" t="n">
        <v>18649.24</v>
      </c>
      <c r="F40" s="16" t="n">
        <v>20876</v>
      </c>
      <c r="G40" s="16" t="n">
        <v>22406</v>
      </c>
      <c r="H40" s="16">
        <f>G40-F40</f>
        <v/>
      </c>
      <c r="I40" s="14">
        <f>IF(F40=0,0,G40/F40-1)</f>
        <v/>
      </c>
    </row>
    <row r="41">
      <c r="A41" s="8" t="inlineStr">
        <is>
          <t>1000.0000.2220.52020.010</t>
        </is>
      </c>
      <c r="B41" s="8" t="inlineStr">
        <is>
          <t>Ed Tech Salaries</t>
        </is>
      </c>
      <c r="C41" s="16" t="n">
        <v>4197.18</v>
      </c>
      <c r="D41" s="16" t="n">
        <v>3351.15</v>
      </c>
      <c r="E41" s="16" t="n">
        <v>3736.28</v>
      </c>
      <c r="F41" s="16" t="n">
        <v>7251</v>
      </c>
      <c r="G41" s="16" t="n">
        <v>6308</v>
      </c>
      <c r="H41" s="16">
        <f>G41-F41</f>
        <v/>
      </c>
      <c r="I41" s="14">
        <f>IF(F41=0,0,G41/F41-1)</f>
        <v/>
      </c>
    </row>
    <row r="42">
      <c r="A42" s="8" t="inlineStr">
        <is>
          <t>1000.0000.2220.52310.010</t>
        </is>
      </c>
      <c r="B42" s="8" t="inlineStr">
        <is>
          <t>Retirement</t>
        </is>
      </c>
      <c r="C42" s="16" t="n">
        <v>2902.87</v>
      </c>
      <c r="D42" s="16" t="n">
        <v>3407.67</v>
      </c>
      <c r="E42" s="16" t="n">
        <v>3812.7</v>
      </c>
      <c r="F42" s="16" t="n">
        <v>4176</v>
      </c>
      <c r="G42" s="16" t="n">
        <v>4459</v>
      </c>
      <c r="H42" s="16">
        <f>G42-F42</f>
        <v/>
      </c>
      <c r="I42" s="14">
        <f>IF(F42=0,0,G42/F42-1)</f>
        <v/>
      </c>
    </row>
    <row r="43">
      <c r="A43" s="8" t="inlineStr">
        <is>
          <t>1000.0000.2220.52320.010</t>
        </is>
      </c>
      <c r="B43" s="8" t="inlineStr">
        <is>
          <t>Ed Tech Retirement</t>
        </is>
      </c>
      <c r="C43" s="16" t="n">
        <v>464.03</v>
      </c>
      <c r="D43" s="16" t="n">
        <v>572.79</v>
      </c>
      <c r="E43" s="16" t="n">
        <v>605.9</v>
      </c>
      <c r="F43" s="16" t="n">
        <v>930</v>
      </c>
      <c r="G43" s="16" t="n">
        <v>673</v>
      </c>
      <c r="H43" s="16">
        <f>G43-F43</f>
        <v/>
      </c>
      <c r="I43" s="14">
        <f>IF(F43=0,0,G43/F43-1)</f>
        <v/>
      </c>
    </row>
    <row r="44">
      <c r="A44" s="8" t="inlineStr">
        <is>
          <t>1000.0000.2220.54330.010</t>
        </is>
      </c>
      <c r="B44" s="8" t="inlineStr">
        <is>
          <t>Software</t>
        </is>
      </c>
      <c r="C44" s="16" t="n">
        <v>1043</v>
      </c>
      <c r="D44" s="16" t="n">
        <v>1275.42</v>
      </c>
      <c r="E44" s="16" t="n">
        <v>1319.05</v>
      </c>
      <c r="F44" s="16" t="n">
        <v>1500</v>
      </c>
      <c r="G44" s="16" t="n">
        <v>1500</v>
      </c>
      <c r="H44" s="16">
        <f>G44-F44</f>
        <v/>
      </c>
      <c r="I44" s="14">
        <f>IF(F44=0,0,G44/F44-1)</f>
        <v/>
      </c>
    </row>
    <row r="45">
      <c r="A45" s="8" t="inlineStr">
        <is>
          <t>1000.0000.2220.56000.010</t>
        </is>
      </c>
      <c r="B45" s="8" t="inlineStr">
        <is>
          <t>Supplies</t>
        </is>
      </c>
      <c r="C45" s="16" t="n">
        <v>1297.17</v>
      </c>
      <c r="D45" s="16" t="n">
        <v>0</v>
      </c>
      <c r="E45" s="16" t="n">
        <v>0</v>
      </c>
      <c r="F45" s="16" t="n">
        <v>0</v>
      </c>
      <c r="G45" s="16" t="n">
        <v>0</v>
      </c>
      <c r="H45" s="16">
        <f>G45-F45</f>
        <v/>
      </c>
      <c r="I45" s="14">
        <f>IF(F45=0,0,G45/F45-1)</f>
        <v/>
      </c>
    </row>
    <row r="46">
      <c r="A46" s="8" t="inlineStr">
        <is>
          <t>1000.0000.2220.56100.010</t>
        </is>
      </c>
      <c r="B46" s="8" t="inlineStr">
        <is>
          <t>Supplies</t>
        </is>
      </c>
      <c r="C46" s="16" t="n">
        <v>0</v>
      </c>
      <c r="D46" s="16" t="n">
        <v>1291.04</v>
      </c>
      <c r="E46" s="16" t="n">
        <v>1290.74</v>
      </c>
      <c r="F46" s="16" t="n">
        <v>1300</v>
      </c>
      <c r="G46" s="16" t="n">
        <v>1300</v>
      </c>
      <c r="H46" s="16">
        <f>G46-F46</f>
        <v/>
      </c>
      <c r="I46" s="14">
        <f>IF(F46=0,0,G46/F46-1)</f>
        <v/>
      </c>
    </row>
    <row r="47">
      <c r="A47" s="8" t="inlineStr">
        <is>
          <t>1000.0000.2220.56400.010</t>
        </is>
      </c>
      <c r="B47" s="8" t="inlineStr">
        <is>
          <t>Books</t>
        </is>
      </c>
      <c r="C47" s="16" t="n">
        <v>10974.46</v>
      </c>
      <c r="D47" s="16" t="n">
        <v>9512.530000000001</v>
      </c>
      <c r="E47" s="16" t="n">
        <v>9953.530000000001</v>
      </c>
      <c r="F47" s="16" t="n">
        <v>10456</v>
      </c>
      <c r="G47" s="16" t="n">
        <v>10057</v>
      </c>
      <c r="H47" s="16">
        <f>G47-F47</f>
        <v/>
      </c>
      <c r="I47" s="14">
        <f>IF(F47=0,0,G47/F47-1)</f>
        <v/>
      </c>
    </row>
    <row r="48">
      <c r="A48" s="9" t="n"/>
      <c r="B48" s="22" t="inlineStr">
        <is>
          <t>Program 0000 Total</t>
        </is>
      </c>
      <c r="C48" s="23">
        <f>SUM(C38:C47)</f>
        <v/>
      </c>
      <c r="D48" s="23">
        <f>SUM(D38:D47)</f>
        <v/>
      </c>
      <c r="E48" s="23">
        <f>SUM(E38:E47)</f>
        <v/>
      </c>
      <c r="F48" s="23">
        <f>SUM(F38:F47)</f>
        <v/>
      </c>
      <c r="G48" s="23">
        <f>SUM(G38:G47)</f>
        <v/>
      </c>
      <c r="H48" s="23">
        <f>SUM(H38:H47)</f>
        <v/>
      </c>
      <c r="I48" s="23">
        <f>SUM(I38:I47)</f>
        <v/>
      </c>
    </row>
    <row r="49">
      <c r="A49" s="8" t="inlineStr">
        <is>
          <t>1000.0000.2230.51500.010</t>
        </is>
      </c>
      <c r="B49" s="8" t="inlineStr">
        <is>
          <t>Stipends</t>
        </is>
      </c>
      <c r="C49" s="16" t="n">
        <v>0</v>
      </c>
      <c r="D49" s="16" t="n">
        <v>0</v>
      </c>
      <c r="E49" s="16" t="n">
        <v>0</v>
      </c>
      <c r="F49" s="16" t="n">
        <v>2972</v>
      </c>
      <c r="G49" s="16" t="n">
        <v>2972</v>
      </c>
      <c r="H49" s="16">
        <f>G49-F49</f>
        <v/>
      </c>
      <c r="I49" s="14">
        <f>IF(F49=0,0,G49/F49-1)</f>
        <v/>
      </c>
    </row>
    <row r="50">
      <c r="A50" s="8" t="inlineStr">
        <is>
          <t>1000.0000.2230.52000.010</t>
        </is>
      </c>
      <c r="B50" s="8" t="inlineStr">
        <is>
          <t>Benefits</t>
        </is>
      </c>
      <c r="C50" s="16" t="n">
        <v>0</v>
      </c>
      <c r="D50" s="16" t="n">
        <v>0</v>
      </c>
      <c r="E50" s="16" t="n">
        <v>0</v>
      </c>
      <c r="F50" s="16" t="n">
        <v>100</v>
      </c>
      <c r="G50" s="16" t="n">
        <v>100</v>
      </c>
      <c r="H50" s="16">
        <f>G50-F50</f>
        <v/>
      </c>
      <c r="I50" s="14">
        <f>IF(F50=0,0,G50/F50-1)</f>
        <v/>
      </c>
    </row>
    <row r="51">
      <c r="A51" s="8" t="inlineStr">
        <is>
          <t>1000.0000.2230.52300.010</t>
        </is>
      </c>
      <c r="B51" s="8" t="inlineStr">
        <is>
          <t>Stipend Retirement</t>
        </is>
      </c>
      <c r="C51" s="16" t="n">
        <v>0</v>
      </c>
      <c r="D51" s="16" t="n">
        <v>0</v>
      </c>
      <c r="E51" s="16" t="n">
        <v>0</v>
      </c>
      <c r="F51" s="16" t="n">
        <v>133</v>
      </c>
      <c r="G51" s="16" t="n">
        <v>133</v>
      </c>
      <c r="H51" s="16">
        <f>G51-F51</f>
        <v/>
      </c>
      <c r="I51" s="14">
        <f>IF(F51=0,0,G51/F51-1)</f>
        <v/>
      </c>
    </row>
    <row r="52">
      <c r="A52" s="9" t="n"/>
      <c r="B52" s="22" t="inlineStr">
        <is>
          <t>Program 0000 Total</t>
        </is>
      </c>
      <c r="C52" s="23">
        <f>SUM(C49:C51)</f>
        <v/>
      </c>
      <c r="D52" s="23">
        <f>SUM(D49:D51)</f>
        <v/>
      </c>
      <c r="E52" s="23">
        <f>SUM(E49:E51)</f>
        <v/>
      </c>
      <c r="F52" s="23">
        <f>SUM(F49:F51)</f>
        <v/>
      </c>
      <c r="G52" s="23">
        <f>SUM(G49:G51)</f>
        <v/>
      </c>
      <c r="H52" s="23">
        <f>SUM(H49:H51)</f>
        <v/>
      </c>
      <c r="I52" s="23">
        <f>SUM(I49:I51)</f>
        <v/>
      </c>
    </row>
    <row r="53">
      <c r="A53" s="9" t="n"/>
      <c r="B53" s="12" t="inlineStr">
        <is>
          <t>Cost Center ('010',) Total</t>
        </is>
      </c>
      <c r="C53" s="26">
        <f>C10+C20+C32+C37+C48+C52</f>
        <v/>
      </c>
      <c r="D53" s="26">
        <f>D10+D20+D32+D37+D48+D52</f>
        <v/>
      </c>
      <c r="E53" s="26">
        <f>E10+E20+E32+E37+E48+E52</f>
        <v/>
      </c>
      <c r="F53" s="26">
        <f>F10+F20+F32+F37+F48+F52</f>
        <v/>
      </c>
      <c r="G53" s="26">
        <f>G10+G20+G32+G37+G48+G52</f>
        <v/>
      </c>
      <c r="H53" s="26">
        <f>H10+H20+H32+H37+H48+H52</f>
        <v/>
      </c>
      <c r="I53" s="26">
        <f>I10+I20+I32+I37+I48+I52</f>
        <v/>
      </c>
    </row>
    <row r="55">
      <c r="A55" s="3" t="inlineStr">
        <is>
          <t>Cost Center: ('020',)</t>
        </is>
      </c>
    </row>
    <row r="56">
      <c r="A56" s="8" t="inlineStr">
        <is>
          <t>1000.0000.2110.51010.020</t>
        </is>
      </c>
      <c r="B56" s="8" t="inlineStr">
        <is>
          <t>Social Worker Salaries</t>
        </is>
      </c>
      <c r="C56" s="16" t="n">
        <v>0</v>
      </c>
      <c r="D56" s="16" t="n">
        <v>22513.76</v>
      </c>
      <c r="E56" s="16" t="n">
        <v>25264.22</v>
      </c>
      <c r="F56" s="16" t="n">
        <v>26915</v>
      </c>
      <c r="G56" s="16" t="n">
        <v>28395</v>
      </c>
      <c r="H56" s="16">
        <f>G56-F56</f>
        <v/>
      </c>
      <c r="I56" s="14">
        <f>IF(F56=0,0,G56/F56-1)</f>
        <v/>
      </c>
    </row>
    <row r="57">
      <c r="A57" s="8" t="inlineStr">
        <is>
          <t>1000.0000.2110.52010.020</t>
        </is>
      </c>
      <c r="B57" s="8" t="inlineStr">
        <is>
          <t>Social Worker Benefits</t>
        </is>
      </c>
      <c r="C57" s="16" t="n">
        <v>0</v>
      </c>
      <c r="D57" s="16" t="n">
        <v>3626.79</v>
      </c>
      <c r="E57" s="16" t="n">
        <v>4582.26</v>
      </c>
      <c r="F57" s="16" t="n">
        <v>5768</v>
      </c>
      <c r="G57" s="16" t="n">
        <v>6158</v>
      </c>
      <c r="H57" s="16">
        <f>G57-F57</f>
        <v/>
      </c>
      <c r="I57" s="14">
        <f>IF(F57=0,0,G57/F57-1)</f>
        <v/>
      </c>
    </row>
    <row r="58">
      <c r="A58" s="8" t="inlineStr">
        <is>
          <t>1000.0000.2110.52310.020</t>
        </is>
      </c>
      <c r="B58" s="8" t="inlineStr">
        <is>
          <t>Social Worker Retirement</t>
        </is>
      </c>
      <c r="C58" s="16" t="n">
        <v>0</v>
      </c>
      <c r="D58" s="16" t="n">
        <v>1006.2</v>
      </c>
      <c r="E58" s="16" t="n">
        <v>1125.1</v>
      </c>
      <c r="F58" s="16" t="n">
        <v>1203</v>
      </c>
      <c r="G58" s="16" t="n">
        <v>1269</v>
      </c>
      <c r="H58" s="16">
        <f>G58-F58</f>
        <v/>
      </c>
      <c r="I58" s="14">
        <f>IF(F58=0,0,G58/F58-1)</f>
        <v/>
      </c>
    </row>
    <row r="59">
      <c r="A59" s="9" t="n"/>
      <c r="B59" s="22" t="inlineStr">
        <is>
          <t>Program 0000 Total</t>
        </is>
      </c>
      <c r="C59" s="23">
        <f>SUM(C56:C58)</f>
        <v/>
      </c>
      <c r="D59" s="23">
        <f>SUM(D56:D58)</f>
        <v/>
      </c>
      <c r="E59" s="23">
        <f>SUM(E56:E58)</f>
        <v/>
      </c>
      <c r="F59" s="23">
        <f>SUM(F56:F58)</f>
        <v/>
      </c>
      <c r="G59" s="23">
        <f>SUM(G56:G58)</f>
        <v/>
      </c>
      <c r="H59" s="23">
        <f>SUM(H56:H58)</f>
        <v/>
      </c>
      <c r="I59" s="23">
        <f>SUM(I56:I58)</f>
        <v/>
      </c>
    </row>
    <row r="60">
      <c r="A60" s="8" t="inlineStr">
        <is>
          <t>1000.0000.2120.51010.020</t>
        </is>
      </c>
      <c r="B60" s="8" t="inlineStr">
        <is>
          <t>Guidance Salaries</t>
        </is>
      </c>
      <c r="C60" s="16" t="n">
        <v>91711.64999999999</v>
      </c>
      <c r="D60" s="16" t="n">
        <v>75001.2</v>
      </c>
      <c r="E60" s="16" t="n">
        <v>80346.88</v>
      </c>
      <c r="F60" s="16" t="n">
        <v>86169</v>
      </c>
      <c r="G60" s="16" t="n">
        <v>92073</v>
      </c>
      <c r="H60" s="16">
        <f>G60-F60</f>
        <v/>
      </c>
      <c r="I60" s="14">
        <f>IF(F60=0,0,G60/F60-1)</f>
        <v/>
      </c>
    </row>
    <row r="61">
      <c r="A61" s="8" t="inlineStr">
        <is>
          <t>1000.0000.2120.52010.020</t>
        </is>
      </c>
      <c r="B61" s="8" t="inlineStr">
        <is>
          <t>Benefits</t>
        </is>
      </c>
      <c r="C61" s="16" t="n">
        <v>21749.14</v>
      </c>
      <c r="D61" s="16" t="n">
        <v>19435.74</v>
      </c>
      <c r="E61" s="16" t="n">
        <v>24429.76</v>
      </c>
      <c r="F61" s="16" t="n">
        <v>27867</v>
      </c>
      <c r="G61" s="16" t="n">
        <v>29931</v>
      </c>
      <c r="H61" s="16">
        <f>G61-F61</f>
        <v/>
      </c>
      <c r="I61" s="14">
        <f>IF(F61=0,0,G61/F61-1)</f>
        <v/>
      </c>
    </row>
    <row r="62">
      <c r="A62" s="8" t="inlineStr">
        <is>
          <t>1000.0000.2120.52310.020</t>
        </is>
      </c>
      <c r="B62" s="8" t="inlineStr">
        <is>
          <t>Retirement</t>
        </is>
      </c>
      <c r="C62" s="16" t="n">
        <v>3521.64</v>
      </c>
      <c r="D62" s="16" t="n">
        <v>3352.45</v>
      </c>
      <c r="E62" s="16" t="n">
        <v>3578.01</v>
      </c>
      <c r="F62" s="16" t="n">
        <v>3852</v>
      </c>
      <c r="G62" s="16" t="n">
        <v>4116</v>
      </c>
      <c r="H62" s="16">
        <f>G62-F62</f>
        <v/>
      </c>
      <c r="I62" s="14">
        <f>IF(F62=0,0,G62/F62-1)</f>
        <v/>
      </c>
    </row>
    <row r="63">
      <c r="A63" s="8" t="inlineStr">
        <is>
          <t>1000.0000.2120.53000.020</t>
        </is>
      </c>
      <c r="B63" s="8" t="inlineStr">
        <is>
          <t>Purchased Professional</t>
        </is>
      </c>
      <c r="C63" s="16" t="n">
        <v>300</v>
      </c>
      <c r="D63" s="16" t="n">
        <v>391.67</v>
      </c>
      <c r="E63" s="16" t="n">
        <v>300</v>
      </c>
      <c r="F63" s="16" t="n">
        <v>400</v>
      </c>
      <c r="G63" s="16" t="n">
        <v>400</v>
      </c>
      <c r="H63" s="16">
        <f>G63-F63</f>
        <v/>
      </c>
      <c r="I63" s="14">
        <f>IF(F63=0,0,G63/F63-1)</f>
        <v/>
      </c>
    </row>
    <row r="64">
      <c r="A64" s="8" t="inlineStr">
        <is>
          <t>1000.0000.2120.54330.020</t>
        </is>
      </c>
      <c r="B64" s="8" t="inlineStr">
        <is>
          <t>Software</t>
        </is>
      </c>
      <c r="C64" s="16" t="n">
        <v>333.33</v>
      </c>
      <c r="D64" s="16" t="n">
        <v>333.33</v>
      </c>
      <c r="E64" s="16" t="n">
        <v>275.33</v>
      </c>
      <c r="F64" s="16" t="n">
        <v>334</v>
      </c>
      <c r="G64" s="16" t="n">
        <v>500</v>
      </c>
      <c r="H64" s="16">
        <f>G64-F64</f>
        <v/>
      </c>
      <c r="I64" s="14">
        <f>IF(F64=0,0,G64/F64-1)</f>
        <v/>
      </c>
    </row>
    <row r="65">
      <c r="A65" s="8" t="inlineStr">
        <is>
          <t>1000.0000.2120.56100.020</t>
        </is>
      </c>
      <c r="B65" s="8" t="inlineStr">
        <is>
          <t>Supplies</t>
        </is>
      </c>
      <c r="C65" s="16" t="n">
        <v>133.85</v>
      </c>
      <c r="D65" s="16" t="n">
        <v>264.81</v>
      </c>
      <c r="E65" s="16" t="n">
        <v>340.96</v>
      </c>
      <c r="F65" s="16" t="n">
        <v>1100</v>
      </c>
      <c r="G65" s="16" t="n">
        <v>1100</v>
      </c>
      <c r="H65" s="16">
        <f>G65-F65</f>
        <v/>
      </c>
      <c r="I65" s="14">
        <f>IF(F65=0,0,G65/F65-1)</f>
        <v/>
      </c>
    </row>
    <row r="66">
      <c r="A66" s="8" t="inlineStr">
        <is>
          <t>1000.0000.2120.56400.020</t>
        </is>
      </c>
      <c r="B66" s="8" t="inlineStr">
        <is>
          <t>Books</t>
        </is>
      </c>
      <c r="C66" s="16" t="n">
        <v>41.96</v>
      </c>
      <c r="D66" s="16" t="n">
        <v>232.47</v>
      </c>
      <c r="E66" s="16" t="n">
        <v>348.85</v>
      </c>
      <c r="F66" s="16" t="n">
        <v>350</v>
      </c>
      <c r="G66" s="16" t="n">
        <v>350</v>
      </c>
      <c r="H66" s="16">
        <f>G66-F66</f>
        <v/>
      </c>
      <c r="I66" s="14">
        <f>IF(F66=0,0,G66/F66-1)</f>
        <v/>
      </c>
    </row>
    <row r="67">
      <c r="A67" s="8" t="inlineStr">
        <is>
          <t>1000.0000.2120.58100.020</t>
        </is>
      </c>
      <c r="B67" s="8" t="inlineStr">
        <is>
          <t>Dues &amp; Fees</t>
        </is>
      </c>
      <c r="C67" s="16" t="n">
        <v>0</v>
      </c>
      <c r="D67" s="16" t="n">
        <v>0</v>
      </c>
      <c r="E67" s="16" t="n">
        <v>0</v>
      </c>
      <c r="F67" s="16" t="n">
        <v>300</v>
      </c>
      <c r="G67" s="16" t="n">
        <v>300</v>
      </c>
      <c r="H67" s="16">
        <f>G67-F67</f>
        <v/>
      </c>
      <c r="I67" s="14">
        <f>IF(F67=0,0,G67/F67-1)</f>
        <v/>
      </c>
    </row>
    <row r="68">
      <c r="A68" s="9" t="n"/>
      <c r="B68" s="22" t="inlineStr">
        <is>
          <t>Program 0000 Total</t>
        </is>
      </c>
      <c r="C68" s="23">
        <f>SUM(C60:C67)</f>
        <v/>
      </c>
      <c r="D68" s="23">
        <f>SUM(D60:D67)</f>
        <v/>
      </c>
      <c r="E68" s="23">
        <f>SUM(E60:E67)</f>
        <v/>
      </c>
      <c r="F68" s="23">
        <f>SUM(F60:F67)</f>
        <v/>
      </c>
      <c r="G68" s="23">
        <f>SUM(G60:G67)</f>
        <v/>
      </c>
      <c r="H68" s="23">
        <f>SUM(H60:H67)</f>
        <v/>
      </c>
      <c r="I68" s="23">
        <f>SUM(I60:I67)</f>
        <v/>
      </c>
    </row>
    <row r="69">
      <c r="A69" s="8" t="inlineStr">
        <is>
          <t>1000.0000.2130.51010.020</t>
        </is>
      </c>
      <c r="B69" s="8" t="inlineStr">
        <is>
          <t>Nurse Salary</t>
        </is>
      </c>
      <c r="C69" s="16" t="n">
        <v>76828.38</v>
      </c>
      <c r="D69" s="16" t="n">
        <v>80487.12</v>
      </c>
      <c r="E69" s="16" t="n">
        <v>94861.89</v>
      </c>
      <c r="F69" s="16" t="n">
        <v>99078</v>
      </c>
      <c r="G69" s="16" t="n">
        <v>106074</v>
      </c>
      <c r="H69" s="16">
        <f>G69-F69</f>
        <v/>
      </c>
      <c r="I69" s="14">
        <f>IF(F69=0,0,G69/F69-1)</f>
        <v/>
      </c>
    </row>
    <row r="70">
      <c r="A70" s="8" t="inlineStr">
        <is>
          <t>1000.0000.2130.51200.020</t>
        </is>
      </c>
      <c r="B70" s="8" t="inlineStr">
        <is>
          <t>Nurse Substitute - MSS</t>
        </is>
      </c>
      <c r="C70" s="16" t="n">
        <v>1050</v>
      </c>
      <c r="D70" s="16" t="n">
        <v>851.1</v>
      </c>
      <c r="E70" s="16" t="n">
        <v>2601.91</v>
      </c>
      <c r="F70" s="16" t="n">
        <v>0</v>
      </c>
      <c r="G70" s="16" t="n">
        <v>0</v>
      </c>
      <c r="H70" s="16">
        <f>G70-F70</f>
        <v/>
      </c>
      <c r="I70" s="14">
        <f>IF(F70=0,0,G70/F70-1)</f>
        <v/>
      </c>
    </row>
    <row r="71">
      <c r="A71" s="8" t="inlineStr">
        <is>
          <t>1000.0000.2130.52000.020</t>
        </is>
      </c>
      <c r="B71" s="8" t="inlineStr">
        <is>
          <t>Employee Benefits</t>
        </is>
      </c>
      <c r="C71" s="16" t="n">
        <v>86.42</v>
      </c>
      <c r="D71" s="16" t="n">
        <v>47.34</v>
      </c>
      <c r="E71" s="16" t="n">
        <v>214.68</v>
      </c>
      <c r="F71" s="16" t="n">
        <v>0</v>
      </c>
      <c r="G71" s="16" t="n">
        <v>0</v>
      </c>
      <c r="H71" s="16">
        <f>G71-F71</f>
        <v/>
      </c>
      <c r="I71" s="14">
        <f>IF(F71=0,0,G71/F71-1)</f>
        <v/>
      </c>
    </row>
    <row r="72">
      <c r="A72" s="8" t="inlineStr">
        <is>
          <t>1000.0000.2130.52010.020</t>
        </is>
      </c>
      <c r="B72" s="8" t="inlineStr">
        <is>
          <t>Nurse Benefits</t>
        </is>
      </c>
      <c r="C72" s="16" t="n">
        <v>4640.37</v>
      </c>
      <c r="D72" s="16" t="n">
        <v>4656.09</v>
      </c>
      <c r="E72" s="16" t="n">
        <v>2663.12</v>
      </c>
      <c r="F72" s="16" t="n">
        <v>6700</v>
      </c>
      <c r="G72" s="16" t="n">
        <v>6926</v>
      </c>
      <c r="H72" s="16">
        <f>G72-F72</f>
        <v/>
      </c>
      <c r="I72" s="14">
        <f>IF(F72=0,0,G72/F72-1)</f>
        <v/>
      </c>
    </row>
    <row r="73">
      <c r="A73" s="8" t="inlineStr">
        <is>
          <t>1000.0000.2130.52300.020</t>
        </is>
      </c>
      <c r="B73" s="8" t="inlineStr">
        <is>
          <t>Retirement - Stipends</t>
        </is>
      </c>
      <c r="C73" s="16" t="n">
        <v>0</v>
      </c>
      <c r="D73" s="16" t="n">
        <v>16.3</v>
      </c>
      <c r="E73" s="16" t="n">
        <v>11.63</v>
      </c>
      <c r="F73" s="16" t="n">
        <v>0</v>
      </c>
      <c r="G73" s="16" t="n">
        <v>0</v>
      </c>
      <c r="H73" s="16">
        <f>G73-F73</f>
        <v/>
      </c>
      <c r="I73" s="14">
        <f>IF(F73=0,0,G73/F73-1)</f>
        <v/>
      </c>
    </row>
    <row r="74">
      <c r="A74" s="8" t="inlineStr">
        <is>
          <t>1000.0000.2130.52310.020</t>
        </is>
      </c>
      <c r="B74" s="8" t="inlineStr">
        <is>
          <t>Retirement</t>
        </is>
      </c>
      <c r="C74" s="16" t="n">
        <v>2949.69</v>
      </c>
      <c r="D74" s="16" t="n">
        <v>3597.87</v>
      </c>
      <c r="E74" s="16" t="n">
        <v>4099.47</v>
      </c>
      <c r="F74" s="16" t="n">
        <v>4429</v>
      </c>
      <c r="G74" s="16" t="n">
        <v>4741</v>
      </c>
      <c r="H74" s="16">
        <f>G74-F74</f>
        <v/>
      </c>
      <c r="I74" s="14">
        <f>IF(F74=0,0,G74/F74-1)</f>
        <v/>
      </c>
    </row>
    <row r="75">
      <c r="A75" s="8" t="inlineStr">
        <is>
          <t>1000.0000.2130.53000.020</t>
        </is>
      </c>
      <c r="B75" s="8" t="inlineStr">
        <is>
          <t>Purchased Professional</t>
        </is>
      </c>
      <c r="C75" s="16" t="n">
        <v>323</v>
      </c>
      <c r="D75" s="16" t="n">
        <v>80</v>
      </c>
      <c r="E75" s="16" t="n">
        <v>0</v>
      </c>
      <c r="F75" s="16" t="n">
        <v>600</v>
      </c>
      <c r="G75" s="16" t="n">
        <v>600</v>
      </c>
      <c r="H75" s="16">
        <f>G75-F75</f>
        <v/>
      </c>
      <c r="I75" s="14">
        <f>IF(F75=0,0,G75/F75-1)</f>
        <v/>
      </c>
    </row>
    <row r="76">
      <c r="A76" s="8" t="inlineStr">
        <is>
          <t>1000.0000.2130.54310.020</t>
        </is>
      </c>
      <c r="B76" s="8" t="inlineStr">
        <is>
          <t>Repairs &amp; Maintenance</t>
        </is>
      </c>
      <c r="C76" s="16" t="n">
        <v>70</v>
      </c>
      <c r="D76" s="16" t="n">
        <v>134.5</v>
      </c>
      <c r="E76" s="16" t="n">
        <v>0</v>
      </c>
      <c r="F76" s="16" t="n">
        <v>135</v>
      </c>
      <c r="G76" s="16" t="n">
        <v>135</v>
      </c>
      <c r="H76" s="16">
        <f>G76-F76</f>
        <v/>
      </c>
      <c r="I76" s="14">
        <f>IF(F76=0,0,G76/F76-1)</f>
        <v/>
      </c>
    </row>
    <row r="77">
      <c r="A77" s="8" t="inlineStr">
        <is>
          <t>1000.0000.2130.56000.020</t>
        </is>
      </c>
      <c r="B77" s="8" t="inlineStr">
        <is>
          <t>Supplies</t>
        </is>
      </c>
      <c r="C77" s="16" t="n">
        <v>802.0599999999999</v>
      </c>
      <c r="D77" s="16" t="n">
        <v>970.0599999999999</v>
      </c>
      <c r="E77" s="16" t="n">
        <v>814.8200000000001</v>
      </c>
      <c r="F77" s="16" t="n">
        <v>1012</v>
      </c>
      <c r="G77" s="16" t="n">
        <v>1096</v>
      </c>
      <c r="H77" s="16">
        <f>G77-F77</f>
        <v/>
      </c>
      <c r="I77" s="14">
        <f>IF(F77=0,0,G77/F77-1)</f>
        <v/>
      </c>
    </row>
    <row r="78">
      <c r="A78" s="8" t="inlineStr">
        <is>
          <t>1000.0000.2130.58100.020</t>
        </is>
      </c>
      <c r="B78" s="8" t="inlineStr">
        <is>
          <t>Dues &amp; Fees</t>
        </is>
      </c>
      <c r="C78" s="16" t="n">
        <v>0</v>
      </c>
      <c r="D78" s="16" t="n">
        <v>0</v>
      </c>
      <c r="E78" s="16" t="n">
        <v>300</v>
      </c>
      <c r="F78" s="16" t="n">
        <v>360</v>
      </c>
      <c r="G78" s="16" t="n">
        <v>360</v>
      </c>
      <c r="H78" s="16">
        <f>G78-F78</f>
        <v/>
      </c>
      <c r="I78" s="14">
        <f>IF(F78=0,0,G78/F78-1)</f>
        <v/>
      </c>
    </row>
    <row r="79">
      <c r="A79" s="9" t="n"/>
      <c r="B79" s="22" t="inlineStr">
        <is>
          <t>Program 0000 Total</t>
        </is>
      </c>
      <c r="C79" s="23">
        <f>SUM(C69:C78)</f>
        <v/>
      </c>
      <c r="D79" s="23">
        <f>SUM(D69:D78)</f>
        <v/>
      </c>
      <c r="E79" s="23">
        <f>SUM(E69:E78)</f>
        <v/>
      </c>
      <c r="F79" s="23">
        <f>SUM(F69:F78)</f>
        <v/>
      </c>
      <c r="G79" s="23">
        <f>SUM(G69:G78)</f>
        <v/>
      </c>
      <c r="H79" s="23">
        <f>SUM(H69:H78)</f>
        <v/>
      </c>
      <c r="I79" s="23">
        <f>SUM(I69:I78)</f>
        <v/>
      </c>
    </row>
    <row r="80">
      <c r="A80" s="8" t="inlineStr">
        <is>
          <t>1000.0000.2213.51500.020</t>
        </is>
      </c>
      <c r="B80" s="8" t="inlineStr">
        <is>
          <t>Stipends-Acad Leadership</t>
        </is>
      </c>
      <c r="C80" s="16" t="n">
        <v>22995</v>
      </c>
      <c r="D80" s="16" t="n">
        <v>23074.75</v>
      </c>
      <c r="E80" s="16" t="n">
        <v>26201</v>
      </c>
      <c r="F80" s="16" t="n">
        <v>17224</v>
      </c>
      <c r="G80" s="16" t="n">
        <v>17224</v>
      </c>
      <c r="H80" s="16">
        <f>G80-F80</f>
        <v/>
      </c>
      <c r="I80" s="14">
        <f>IF(F80=0,0,G80/F80-1)</f>
        <v/>
      </c>
    </row>
    <row r="81">
      <c r="A81" s="8" t="inlineStr">
        <is>
          <t>1000.0000.2213.52000.020</t>
        </is>
      </c>
      <c r="B81" s="8" t="inlineStr">
        <is>
          <t>Stipend Benefits - MSS</t>
        </is>
      </c>
      <c r="C81" s="16" t="n">
        <v>3261.47</v>
      </c>
      <c r="D81" s="16" t="n">
        <v>4722.46</v>
      </c>
      <c r="E81" s="16" t="n">
        <v>5735.71</v>
      </c>
      <c r="F81" s="16" t="n">
        <v>579</v>
      </c>
      <c r="G81" s="16" t="n">
        <v>579</v>
      </c>
      <c r="H81" s="16">
        <f>G81-F81</f>
        <v/>
      </c>
      <c r="I81" s="14">
        <f>IF(F81=0,0,G81/F81-1)</f>
        <v/>
      </c>
    </row>
    <row r="82">
      <c r="A82" s="8" t="inlineStr">
        <is>
          <t>1000.0000.2213.52300.020</t>
        </is>
      </c>
      <c r="B82" s="8" t="inlineStr">
        <is>
          <t>Stipend Retirement - MSS</t>
        </is>
      </c>
      <c r="C82" s="16" t="n">
        <v>960.61</v>
      </c>
      <c r="D82" s="16" t="n">
        <v>1031.5</v>
      </c>
      <c r="E82" s="16" t="n">
        <v>1169.11</v>
      </c>
      <c r="F82" s="16" t="n">
        <v>770</v>
      </c>
      <c r="G82" s="16" t="n">
        <v>770</v>
      </c>
      <c r="H82" s="16">
        <f>G82-F82</f>
        <v/>
      </c>
      <c r="I82" s="14">
        <f>IF(F82=0,0,G82/F82-1)</f>
        <v/>
      </c>
    </row>
    <row r="83">
      <c r="A83" s="9" t="n"/>
      <c r="B83" s="22" t="inlineStr">
        <is>
          <t>Program 0000 Total</t>
        </is>
      </c>
      <c r="C83" s="23">
        <f>SUM(C80:C82)</f>
        <v/>
      </c>
      <c r="D83" s="23">
        <f>SUM(D80:D82)</f>
        <v/>
      </c>
      <c r="E83" s="23">
        <f>SUM(E80:E82)</f>
        <v/>
      </c>
      <c r="F83" s="23">
        <f>SUM(F80:F82)</f>
        <v/>
      </c>
      <c r="G83" s="23">
        <f>SUM(G80:G82)</f>
        <v/>
      </c>
      <c r="H83" s="23">
        <f>SUM(H80:H82)</f>
        <v/>
      </c>
      <c r="I83" s="23">
        <f>SUM(I80:I82)</f>
        <v/>
      </c>
    </row>
    <row r="84">
      <c r="A84" s="8" t="inlineStr">
        <is>
          <t>1000.0000.2220.51010.020</t>
        </is>
      </c>
      <c r="B84" s="8" t="inlineStr">
        <is>
          <t>Librarian Salary</t>
        </is>
      </c>
      <c r="C84" s="16" t="n">
        <v>32097.71</v>
      </c>
      <c r="D84" s="16" t="n">
        <v>35827.06</v>
      </c>
      <c r="E84" s="16" t="n">
        <v>34903.3</v>
      </c>
      <c r="F84" s="16" t="n">
        <v>38952</v>
      </c>
      <c r="G84" s="16" t="n">
        <v>42283</v>
      </c>
      <c r="H84" s="16">
        <f>G84-F84</f>
        <v/>
      </c>
      <c r="I84" s="14">
        <f>IF(F84=0,0,G84/F84-1)</f>
        <v/>
      </c>
    </row>
    <row r="85">
      <c r="A85" s="8" t="inlineStr">
        <is>
          <t>1000.0000.2220.51020.020</t>
        </is>
      </c>
      <c r="B85" s="8" t="inlineStr">
        <is>
          <t>Ed Tech Salaries</t>
        </is>
      </c>
      <c r="C85" s="16" t="n">
        <v>18031.73</v>
      </c>
      <c r="D85" s="16" t="n">
        <v>32371.86</v>
      </c>
      <c r="E85" s="16" t="n">
        <v>20458.65</v>
      </c>
      <c r="F85" s="16" t="n">
        <v>13866</v>
      </c>
      <c r="G85" s="16" t="n">
        <v>20904</v>
      </c>
      <c r="H85" s="16">
        <f>G85-F85</f>
        <v/>
      </c>
      <c r="I85" s="14">
        <f>IF(F85=0,0,G85/F85-1)</f>
        <v/>
      </c>
    </row>
    <row r="86">
      <c r="A86" s="8" t="inlineStr">
        <is>
          <t>1000.0000.2220.52010.020</t>
        </is>
      </c>
      <c r="B86" s="8" t="inlineStr">
        <is>
          <t>Librarian Benefits</t>
        </is>
      </c>
      <c r="C86" s="16" t="n">
        <v>13507.54</v>
      </c>
      <c r="D86" s="16" t="n">
        <v>12765.84</v>
      </c>
      <c r="E86" s="16" t="n">
        <v>9003.360000000001</v>
      </c>
      <c r="F86" s="16" t="n">
        <v>12840</v>
      </c>
      <c r="G86" s="16" t="n">
        <v>13797</v>
      </c>
      <c r="H86" s="16">
        <f>G86-F86</f>
        <v/>
      </c>
      <c r="I86" s="14">
        <f>IF(F86=0,0,G86/F86-1)</f>
        <v/>
      </c>
    </row>
    <row r="87">
      <c r="A87" s="8" t="inlineStr">
        <is>
          <t>1000.0000.2220.52020.020</t>
        </is>
      </c>
      <c r="B87" s="8" t="inlineStr">
        <is>
          <t>Library Ed Tech Benefit</t>
        </is>
      </c>
      <c r="C87" s="16" t="n">
        <v>5686.97</v>
      </c>
      <c r="D87" s="16" t="n">
        <v>10306.97</v>
      </c>
      <c r="E87" s="16" t="n">
        <v>5604.82</v>
      </c>
      <c r="F87" s="16" t="n">
        <v>4834</v>
      </c>
      <c r="G87" s="16" t="n">
        <v>9462</v>
      </c>
      <c r="H87" s="16">
        <f>G87-F87</f>
        <v/>
      </c>
      <c r="I87" s="14">
        <f>IF(F87=0,0,G87/F87-1)</f>
        <v/>
      </c>
    </row>
    <row r="88">
      <c r="A88" s="8" t="inlineStr">
        <is>
          <t>1000.0000.2220.52310.020</t>
        </is>
      </c>
      <c r="B88" s="8" t="inlineStr">
        <is>
          <t>Retirement</t>
        </is>
      </c>
      <c r="C88" s="16" t="n">
        <v>1268.1</v>
      </c>
      <c r="D88" s="16" t="n">
        <v>1614.02</v>
      </c>
      <c r="E88" s="16" t="n">
        <v>1560.15</v>
      </c>
      <c r="F88" s="16" t="n">
        <v>1741</v>
      </c>
      <c r="G88" s="16" t="n">
        <v>1890</v>
      </c>
      <c r="H88" s="16">
        <f>G88-F88</f>
        <v/>
      </c>
      <c r="I88" s="14">
        <f>IF(F88=0,0,G88/F88-1)</f>
        <v/>
      </c>
    </row>
    <row r="89">
      <c r="A89" s="8" t="inlineStr">
        <is>
          <t>1000.0000.2220.52320.020</t>
        </is>
      </c>
      <c r="B89" s="8" t="inlineStr">
        <is>
          <t>Retirement</t>
        </is>
      </c>
      <c r="C89" s="16" t="n">
        <v>693.98</v>
      </c>
      <c r="D89" s="16" t="n">
        <v>1521.62</v>
      </c>
      <c r="E89" s="16" t="n">
        <v>911.04</v>
      </c>
      <c r="F89" s="16" t="n">
        <v>620</v>
      </c>
      <c r="G89" s="16" t="n">
        <v>1009</v>
      </c>
      <c r="H89" s="16">
        <f>G89-F89</f>
        <v/>
      </c>
      <c r="I89" s="14">
        <f>IF(F89=0,0,G89/F89-1)</f>
        <v/>
      </c>
    </row>
    <row r="90">
      <c r="A90" s="8" t="inlineStr">
        <is>
          <t>1000.0000.2220.54330.020</t>
        </is>
      </c>
      <c r="B90" s="8" t="inlineStr">
        <is>
          <t>Software</t>
        </is>
      </c>
      <c r="C90" s="16" t="n">
        <v>1043</v>
      </c>
      <c r="D90" s="16" t="n">
        <v>1275.42</v>
      </c>
      <c r="E90" s="16" t="n">
        <v>1319.05</v>
      </c>
      <c r="F90" s="16" t="n">
        <v>1500</v>
      </c>
      <c r="G90" s="16" t="n">
        <v>1500</v>
      </c>
      <c r="H90" s="16">
        <f>G90-F90</f>
        <v/>
      </c>
      <c r="I90" s="14">
        <f>IF(F90=0,0,G90/F90-1)</f>
        <v/>
      </c>
    </row>
    <row r="91">
      <c r="A91" s="8" t="inlineStr">
        <is>
          <t>1000.0000.2220.56100.020</t>
        </is>
      </c>
      <c r="B91" s="8" t="inlineStr">
        <is>
          <t>Instructional Supplies</t>
        </is>
      </c>
      <c r="C91" s="16" t="n">
        <v>327.47</v>
      </c>
      <c r="D91" s="16" t="n">
        <v>197.95</v>
      </c>
      <c r="E91" s="16" t="n">
        <v>348.72</v>
      </c>
      <c r="F91" s="16" t="n">
        <v>350</v>
      </c>
      <c r="G91" s="16" t="n">
        <v>350</v>
      </c>
      <c r="H91" s="16">
        <f>G91-F91</f>
        <v/>
      </c>
      <c r="I91" s="14">
        <f>IF(F91=0,0,G91/F91-1)</f>
        <v/>
      </c>
    </row>
    <row r="92">
      <c r="A92" s="8" t="inlineStr">
        <is>
          <t>1000.0000.2220.56400.020</t>
        </is>
      </c>
      <c r="B92" s="8" t="inlineStr">
        <is>
          <t>Books</t>
        </is>
      </c>
      <c r="C92" s="16" t="n">
        <v>6269.74</v>
      </c>
      <c r="D92" s="16" t="n">
        <v>6609.29</v>
      </c>
      <c r="E92" s="16" t="n">
        <v>6701.88</v>
      </c>
      <c r="F92" s="16" t="n">
        <v>6069</v>
      </c>
      <c r="G92" s="16" t="n">
        <v>5754</v>
      </c>
      <c r="H92" s="16">
        <f>G92-F92</f>
        <v/>
      </c>
      <c r="I92" s="14">
        <f>IF(F92=0,0,G92/F92-1)</f>
        <v/>
      </c>
    </row>
    <row r="93">
      <c r="A93" s="9" t="n"/>
      <c r="B93" s="22" t="inlineStr">
        <is>
          <t>Program 0000 Total</t>
        </is>
      </c>
      <c r="C93" s="23">
        <f>SUM(C84:C92)</f>
        <v/>
      </c>
      <c r="D93" s="23">
        <f>SUM(D84:D92)</f>
        <v/>
      </c>
      <c r="E93" s="23">
        <f>SUM(E84:E92)</f>
        <v/>
      </c>
      <c r="F93" s="23">
        <f>SUM(F84:F92)</f>
        <v/>
      </c>
      <c r="G93" s="23">
        <f>SUM(G84:G92)</f>
        <v/>
      </c>
      <c r="H93" s="23">
        <f>SUM(H84:H92)</f>
        <v/>
      </c>
      <c r="I93" s="23">
        <f>SUM(I84:I92)</f>
        <v/>
      </c>
    </row>
    <row r="94">
      <c r="A94" s="9" t="n"/>
      <c r="B94" s="12" t="inlineStr">
        <is>
          <t>Cost Center ('020',) Total</t>
        </is>
      </c>
      <c r="C94" s="26">
        <f>C59+C68+C79+C83+C93</f>
        <v/>
      </c>
      <c r="D94" s="26">
        <f>D59+D68+D79+D83+D93</f>
        <v/>
      </c>
      <c r="E94" s="26">
        <f>E59+E68+E79+E83+E93</f>
        <v/>
      </c>
      <c r="F94" s="26">
        <f>F59+F68+F79+F83+F93</f>
        <v/>
      </c>
      <c r="G94" s="26">
        <f>G59+G68+G79+G83+G93</f>
        <v/>
      </c>
      <c r="H94" s="26">
        <f>H59+H68+H79+H83+H93</f>
        <v/>
      </c>
      <c r="I94" s="26">
        <f>I59+I68+I79+I83+I93</f>
        <v/>
      </c>
    </row>
    <row r="96">
      <c r="A96" s="3" t="inlineStr">
        <is>
          <t>Cost Center: ('030',)</t>
        </is>
      </c>
    </row>
    <row r="97">
      <c r="A97" s="8" t="inlineStr">
        <is>
          <t>1000.0000.2120.51010.030</t>
        </is>
      </c>
      <c r="B97" s="8" t="inlineStr">
        <is>
          <t>Guidance Salaries</t>
        </is>
      </c>
      <c r="C97" s="16" t="n">
        <v>33431.18</v>
      </c>
      <c r="D97" s="16" t="n">
        <v>40321.32</v>
      </c>
      <c r="E97" s="16" t="n">
        <v>45228.55</v>
      </c>
      <c r="F97" s="16" t="n">
        <v>46654</v>
      </c>
      <c r="G97" s="16" t="n">
        <v>49821</v>
      </c>
      <c r="H97" s="16">
        <f>G97-F97</f>
        <v/>
      </c>
      <c r="I97" s="14">
        <f>IF(F97=0,0,G97/F97-1)</f>
        <v/>
      </c>
    </row>
    <row r="98">
      <c r="A98" s="8" t="inlineStr">
        <is>
          <t>1000.0000.2120.52010.030</t>
        </is>
      </c>
      <c r="B98" s="8" t="inlineStr">
        <is>
          <t>Benefits</t>
        </is>
      </c>
      <c r="C98" s="16" t="n">
        <v>2713.5</v>
      </c>
      <c r="D98" s="16" t="n">
        <v>2708.36</v>
      </c>
      <c r="E98" s="16" t="n">
        <v>1295.24</v>
      </c>
      <c r="F98" s="16" t="n">
        <v>3257</v>
      </c>
      <c r="G98" s="16" t="n">
        <v>3359</v>
      </c>
      <c r="H98" s="16">
        <f>G98-F98</f>
        <v/>
      </c>
      <c r="I98" s="14">
        <f>IF(F98=0,0,G98/F98-1)</f>
        <v/>
      </c>
    </row>
    <row r="99">
      <c r="A99" s="8" t="inlineStr">
        <is>
          <t>1000.0000.2120.52310.030</t>
        </is>
      </c>
      <c r="B99" s="8" t="inlineStr">
        <is>
          <t>Retirement</t>
        </is>
      </c>
      <c r="C99" s="16" t="n">
        <v>1539.62</v>
      </c>
      <c r="D99" s="16" t="n">
        <v>1802.32</v>
      </c>
      <c r="E99" s="16" t="n">
        <v>1936.14</v>
      </c>
      <c r="F99" s="16" t="n">
        <v>2085</v>
      </c>
      <c r="G99" s="16" t="n">
        <v>2227</v>
      </c>
      <c r="H99" s="16">
        <f>G99-F99</f>
        <v/>
      </c>
      <c r="I99" s="14">
        <f>IF(F99=0,0,G99/F99-1)</f>
        <v/>
      </c>
    </row>
    <row r="100">
      <c r="A100" s="8" t="inlineStr">
        <is>
          <t>1000.0000.2120.53000.030</t>
        </is>
      </c>
      <c r="B100" s="8" t="inlineStr">
        <is>
          <t>Purchased Professional</t>
        </is>
      </c>
      <c r="C100" s="16" t="n">
        <v>300</v>
      </c>
      <c r="D100" s="16" t="n">
        <v>66.66</v>
      </c>
      <c r="E100" s="16" t="n">
        <v>0</v>
      </c>
      <c r="F100" s="16" t="n">
        <v>300</v>
      </c>
      <c r="G100" s="16" t="n">
        <v>300</v>
      </c>
      <c r="H100" s="16">
        <f>G100-F100</f>
        <v/>
      </c>
      <c r="I100" s="14">
        <f>IF(F100=0,0,G100/F100-1)</f>
        <v/>
      </c>
    </row>
    <row r="101">
      <c r="A101" s="8" t="inlineStr">
        <is>
          <t>1000.0000.2120.54330.030</t>
        </is>
      </c>
      <c r="B101" s="8" t="inlineStr">
        <is>
          <t>Software</t>
        </is>
      </c>
      <c r="C101" s="16" t="n">
        <v>333.33</v>
      </c>
      <c r="D101" s="16" t="n">
        <v>333.33</v>
      </c>
      <c r="E101" s="16" t="n">
        <v>275.33</v>
      </c>
      <c r="F101" s="16" t="n">
        <v>334</v>
      </c>
      <c r="G101" s="16" t="n">
        <v>500</v>
      </c>
      <c r="H101" s="16">
        <f>G101-F101</f>
        <v/>
      </c>
      <c r="I101" s="14">
        <f>IF(F101=0,0,G101/F101-1)</f>
        <v/>
      </c>
    </row>
    <row r="102">
      <c r="A102" s="8" t="inlineStr">
        <is>
          <t>1000.0000.2120.56100.030</t>
        </is>
      </c>
      <c r="B102" s="8" t="inlineStr">
        <is>
          <t>Supplies</t>
        </is>
      </c>
      <c r="C102" s="16" t="n">
        <v>228.81</v>
      </c>
      <c r="D102" s="16" t="n">
        <v>330.58</v>
      </c>
      <c r="E102" s="16" t="n">
        <v>277.04</v>
      </c>
      <c r="F102" s="16" t="n">
        <v>750</v>
      </c>
      <c r="G102" s="16" t="n">
        <v>750</v>
      </c>
      <c r="H102" s="16">
        <f>G102-F102</f>
        <v/>
      </c>
      <c r="I102" s="14">
        <f>IF(F102=0,0,G102/F102-1)</f>
        <v/>
      </c>
    </row>
    <row r="103">
      <c r="A103" s="8" t="inlineStr">
        <is>
          <t>1000.0000.2120.56400.030</t>
        </is>
      </c>
      <c r="B103" s="8" t="inlineStr">
        <is>
          <t>Books</t>
        </is>
      </c>
      <c r="C103" s="16" t="n">
        <v>130.69</v>
      </c>
      <c r="D103" s="16" t="n">
        <v>41.96</v>
      </c>
      <c r="E103" s="16" t="n">
        <v>114.42</v>
      </c>
      <c r="F103" s="16" t="n">
        <v>150</v>
      </c>
      <c r="G103" s="16" t="n">
        <v>150</v>
      </c>
      <c r="H103" s="16">
        <f>G103-F103</f>
        <v/>
      </c>
      <c r="I103" s="14">
        <f>IF(F103=0,0,G103/F103-1)</f>
        <v/>
      </c>
    </row>
    <row r="104">
      <c r="A104" s="8" t="inlineStr">
        <is>
          <t>1000.0000.2120.57300.030</t>
        </is>
      </c>
      <c r="B104" s="8" t="inlineStr">
        <is>
          <t>Equipment</t>
        </is>
      </c>
      <c r="C104" s="16" t="n">
        <v>46.96</v>
      </c>
      <c r="D104" s="16" t="n">
        <v>0</v>
      </c>
      <c r="E104" s="16" t="n">
        <v>0</v>
      </c>
      <c r="F104" s="16" t="n">
        <v>0</v>
      </c>
      <c r="G104" s="16" t="n">
        <v>0</v>
      </c>
      <c r="H104" s="16">
        <f>G104-F104</f>
        <v/>
      </c>
      <c r="I104" s="14">
        <f>IF(F104=0,0,G104/F104-1)</f>
        <v/>
      </c>
    </row>
    <row r="105">
      <c r="A105" s="8" t="inlineStr">
        <is>
          <t>1000.0000.2120.58100.030</t>
        </is>
      </c>
      <c r="B105" s="8" t="inlineStr">
        <is>
          <t>Dues &amp; Fees</t>
        </is>
      </c>
      <c r="C105" s="16" t="n">
        <v>0</v>
      </c>
      <c r="D105" s="16" t="n">
        <v>0</v>
      </c>
      <c r="E105" s="16" t="n">
        <v>0</v>
      </c>
      <c r="F105" s="16" t="n">
        <v>276</v>
      </c>
      <c r="G105" s="16" t="n">
        <v>0</v>
      </c>
      <c r="H105" s="16">
        <f>G105-F105</f>
        <v/>
      </c>
      <c r="I105" s="14">
        <f>IF(F105=0,0,G105/F105-1)</f>
        <v/>
      </c>
    </row>
    <row r="106">
      <c r="A106" s="9" t="n"/>
      <c r="B106" s="22" t="inlineStr">
        <is>
          <t>Program 0000 Total</t>
        </is>
      </c>
      <c r="C106" s="23">
        <f>SUM(C97:C105)</f>
        <v/>
      </c>
      <c r="D106" s="23">
        <f>SUM(D97:D105)</f>
        <v/>
      </c>
      <c r="E106" s="23">
        <f>SUM(E97:E105)</f>
        <v/>
      </c>
      <c r="F106" s="23">
        <f>SUM(F97:F105)</f>
        <v/>
      </c>
      <c r="G106" s="23">
        <f>SUM(G97:G105)</f>
        <v/>
      </c>
      <c r="H106" s="23">
        <f>SUM(H97:H105)</f>
        <v/>
      </c>
      <c r="I106" s="23">
        <f>SUM(I97:I105)</f>
        <v/>
      </c>
    </row>
    <row r="107">
      <c r="A107" s="8" t="inlineStr">
        <is>
          <t>1000.0000.2130.51010.030</t>
        </is>
      </c>
      <c r="B107" s="8" t="inlineStr">
        <is>
          <t>Nurse Salary</t>
        </is>
      </c>
      <c r="C107" s="16" t="n">
        <v>59853.97</v>
      </c>
      <c r="D107" s="16" t="n">
        <v>95304.07000000001</v>
      </c>
      <c r="E107" s="16" t="n">
        <v>55755.25</v>
      </c>
      <c r="F107" s="16" t="n">
        <v>60783</v>
      </c>
      <c r="G107" s="16" t="n">
        <v>66156</v>
      </c>
      <c r="H107" s="16">
        <f>G107-F107</f>
        <v/>
      </c>
      <c r="I107" s="14">
        <f>IF(F107=0,0,G107/F107-1)</f>
        <v/>
      </c>
    </row>
    <row r="108">
      <c r="A108" s="8" t="inlineStr">
        <is>
          <t>1000.0000.2130.51200.030</t>
        </is>
      </c>
      <c r="B108" s="8" t="inlineStr">
        <is>
          <t>Nurse Substitute - PES</t>
        </is>
      </c>
      <c r="C108" s="16" t="n">
        <v>3290</v>
      </c>
      <c r="D108" s="16" t="n">
        <v>3721.21</v>
      </c>
      <c r="E108" s="16" t="n">
        <v>3382.47</v>
      </c>
      <c r="F108" s="16" t="n">
        <v>0</v>
      </c>
      <c r="G108" s="16" t="n">
        <v>0</v>
      </c>
      <c r="H108" s="16">
        <f>G108-F108</f>
        <v/>
      </c>
      <c r="I108" s="14">
        <f>IF(F108=0,0,G108/F108-1)</f>
        <v/>
      </c>
    </row>
    <row r="109">
      <c r="A109" s="8" t="inlineStr">
        <is>
          <t>1000.0000.2130.52000.030</t>
        </is>
      </c>
      <c r="B109" s="8" t="inlineStr">
        <is>
          <t>Employee Benefits</t>
        </is>
      </c>
      <c r="C109" s="16" t="n">
        <v>176.21</v>
      </c>
      <c r="D109" s="16" t="n">
        <v>273.5</v>
      </c>
      <c r="E109" s="16" t="n">
        <v>186.79</v>
      </c>
      <c r="F109" s="16" t="n">
        <v>0</v>
      </c>
      <c r="G109" s="16" t="n">
        <v>0</v>
      </c>
      <c r="H109" s="16">
        <f>G109-F109</f>
        <v/>
      </c>
      <c r="I109" s="14">
        <f>IF(F109=0,0,G109/F109-1)</f>
        <v/>
      </c>
    </row>
    <row r="110">
      <c r="A110" s="8" t="inlineStr">
        <is>
          <t>1000.0000.2130.52010.030</t>
        </is>
      </c>
      <c r="B110" s="8" t="inlineStr">
        <is>
          <t>Nurse Benefits</t>
        </is>
      </c>
      <c r="C110" s="16" t="n">
        <v>15864.1</v>
      </c>
      <c r="D110" s="16" t="n">
        <v>20859.22</v>
      </c>
      <c r="E110" s="16" t="n">
        <v>18065.17</v>
      </c>
      <c r="F110" s="16" t="n">
        <v>22146</v>
      </c>
      <c r="G110" s="16" t="n">
        <v>23821</v>
      </c>
      <c r="H110" s="16">
        <f>G110-F110</f>
        <v/>
      </c>
      <c r="I110" s="14">
        <f>IF(F110=0,0,G110/F110-1)</f>
        <v/>
      </c>
    </row>
    <row r="111">
      <c r="A111" s="8" t="inlineStr">
        <is>
          <t>1000.0000.2130.52300.030</t>
        </is>
      </c>
      <c r="B111" s="8" t="inlineStr">
        <is>
          <t>Retirement - Stipends</t>
        </is>
      </c>
      <c r="C111" s="16" t="n">
        <v>5.38</v>
      </c>
      <c r="D111" s="16" t="n">
        <v>10.87</v>
      </c>
      <c r="E111" s="16" t="n">
        <v>81.41</v>
      </c>
      <c r="F111" s="16" t="n">
        <v>0</v>
      </c>
      <c r="G111" s="16" t="n">
        <v>0</v>
      </c>
      <c r="H111" s="16">
        <f>G111-F111</f>
        <v/>
      </c>
      <c r="I111" s="14">
        <f>IF(F111=0,0,G111/F111-1)</f>
        <v/>
      </c>
    </row>
    <row r="112">
      <c r="A112" s="8" t="inlineStr">
        <is>
          <t>1000.0000.2130.52310.030</t>
        </is>
      </c>
      <c r="B112" s="8" t="inlineStr">
        <is>
          <t>Retirement</t>
        </is>
      </c>
      <c r="C112" s="16" t="n">
        <v>8759.09</v>
      </c>
      <c r="D112" s="16" t="n">
        <v>8368.34</v>
      </c>
      <c r="E112" s="16" t="n">
        <v>2482.8</v>
      </c>
      <c r="F112" s="16" t="n">
        <v>2717</v>
      </c>
      <c r="G112" s="16" t="n">
        <v>2957</v>
      </c>
      <c r="H112" s="16">
        <f>G112-F112</f>
        <v/>
      </c>
      <c r="I112" s="14">
        <f>IF(F112=0,0,G112/F112-1)</f>
        <v/>
      </c>
    </row>
    <row r="113">
      <c r="A113" s="8" t="inlineStr">
        <is>
          <t>1000.0000.2130.53000.030</t>
        </is>
      </c>
      <c r="B113" s="8" t="inlineStr">
        <is>
          <t>Purchased Professional</t>
        </is>
      </c>
      <c r="C113" s="16" t="n">
        <v>244</v>
      </c>
      <c r="D113" s="16" t="n">
        <v>92</v>
      </c>
      <c r="E113" s="16" t="n">
        <v>295</v>
      </c>
      <c r="F113" s="16" t="n">
        <v>300</v>
      </c>
      <c r="G113" s="16" t="n">
        <v>300</v>
      </c>
      <c r="H113" s="16">
        <f>G113-F113</f>
        <v/>
      </c>
      <c r="I113" s="14">
        <f>IF(F113=0,0,G113/F113-1)</f>
        <v/>
      </c>
    </row>
    <row r="114">
      <c r="A114" s="8" t="inlineStr">
        <is>
          <t>1000.0000.2130.54310.030</t>
        </is>
      </c>
      <c r="B114" s="8" t="inlineStr">
        <is>
          <t>Repairs &amp; Maintenance</t>
        </is>
      </c>
      <c r="C114" s="16" t="n">
        <v>0</v>
      </c>
      <c r="D114" s="16" t="n">
        <v>0</v>
      </c>
      <c r="E114" s="16" t="n">
        <v>66.14</v>
      </c>
      <c r="F114" s="16" t="n">
        <v>135</v>
      </c>
      <c r="G114" s="16" t="n">
        <v>135</v>
      </c>
      <c r="H114" s="16">
        <f>G114-F114</f>
        <v/>
      </c>
      <c r="I114" s="14">
        <f>IF(F114=0,0,G114/F114-1)</f>
        <v/>
      </c>
    </row>
    <row r="115">
      <c r="A115" s="8" t="inlineStr">
        <is>
          <t>1000.0000.2130.56000.030</t>
        </is>
      </c>
      <c r="B115" s="8" t="inlineStr">
        <is>
          <t>Supplies</t>
        </is>
      </c>
      <c r="C115" s="16" t="n">
        <v>287.54</v>
      </c>
      <c r="D115" s="16" t="n">
        <v>302.87</v>
      </c>
      <c r="E115" s="16" t="n">
        <v>288.41</v>
      </c>
      <c r="F115" s="16" t="n">
        <v>340</v>
      </c>
      <c r="G115" s="16" t="n">
        <v>420</v>
      </c>
      <c r="H115" s="16">
        <f>G115-F115</f>
        <v/>
      </c>
      <c r="I115" s="14">
        <f>IF(F115=0,0,G115/F115-1)</f>
        <v/>
      </c>
    </row>
    <row r="116">
      <c r="A116" s="8" t="inlineStr">
        <is>
          <t>1000.0000.2130.58100.030</t>
        </is>
      </c>
      <c r="B116" s="8" t="inlineStr">
        <is>
          <t>Dues &amp; Fees</t>
        </is>
      </c>
      <c r="C116" s="16" t="n">
        <v>0</v>
      </c>
      <c r="D116" s="16" t="n">
        <v>0</v>
      </c>
      <c r="E116" s="16" t="n">
        <v>130</v>
      </c>
      <c r="F116" s="16" t="n">
        <v>180</v>
      </c>
      <c r="G116" s="16" t="n">
        <v>180</v>
      </c>
      <c r="H116" s="16">
        <f>G116-F116</f>
        <v/>
      </c>
      <c r="I116" s="14">
        <f>IF(F116=0,0,G116/F116-1)</f>
        <v/>
      </c>
    </row>
    <row r="117">
      <c r="A117" s="9" t="n"/>
      <c r="B117" s="22" t="inlineStr">
        <is>
          <t>Program 0000 Total</t>
        </is>
      </c>
      <c r="C117" s="23">
        <f>SUM(C107:C116)</f>
        <v/>
      </c>
      <c r="D117" s="23">
        <f>SUM(D107:D116)</f>
        <v/>
      </c>
      <c r="E117" s="23">
        <f>SUM(E107:E116)</f>
        <v/>
      </c>
      <c r="F117" s="23">
        <f>SUM(F107:F116)</f>
        <v/>
      </c>
      <c r="G117" s="23">
        <f>SUM(G107:G116)</f>
        <v/>
      </c>
      <c r="H117" s="23">
        <f>SUM(H107:H116)</f>
        <v/>
      </c>
      <c r="I117" s="23">
        <f>SUM(I107:I116)</f>
        <v/>
      </c>
    </row>
    <row r="118">
      <c r="A118" s="8" t="inlineStr">
        <is>
          <t>1000.0000.2213.51500.030</t>
        </is>
      </c>
      <c r="B118" s="8" t="inlineStr">
        <is>
          <t>Stipends-Acad Leadership</t>
        </is>
      </c>
      <c r="C118" s="16" t="n">
        <v>5496</v>
      </c>
      <c r="D118" s="16" t="n">
        <v>6357</v>
      </c>
      <c r="E118" s="16" t="n">
        <v>4677.5</v>
      </c>
      <c r="F118" s="16" t="n">
        <v>5989</v>
      </c>
      <c r="G118" s="16" t="n">
        <v>5989</v>
      </c>
      <c r="H118" s="16">
        <f>G118-F118</f>
        <v/>
      </c>
      <c r="I118" s="14">
        <f>IF(F118=0,0,G118/F118-1)</f>
        <v/>
      </c>
    </row>
    <row r="119">
      <c r="A119" s="8" t="inlineStr">
        <is>
          <t>1000.0000.2213.52000.030</t>
        </is>
      </c>
      <c r="B119" s="8" t="inlineStr">
        <is>
          <t>Stipend Benefits - PES</t>
        </is>
      </c>
      <c r="C119" s="16" t="n">
        <v>492.36</v>
      </c>
      <c r="D119" s="16" t="n">
        <v>449.03</v>
      </c>
      <c r="E119" s="16" t="n">
        <v>398.75</v>
      </c>
      <c r="F119" s="16" t="n">
        <v>201</v>
      </c>
      <c r="G119" s="16" t="n">
        <v>201</v>
      </c>
      <c r="H119" s="16">
        <f>G119-F119</f>
        <v/>
      </c>
      <c r="I119" s="14">
        <f>IF(F119=0,0,G119/F119-1)</f>
        <v/>
      </c>
    </row>
    <row r="120">
      <c r="A120" s="8" t="inlineStr">
        <is>
          <t>1000.0000.2213.52300.030</t>
        </is>
      </c>
      <c r="B120" s="8" t="inlineStr">
        <is>
          <t>Stipend Retirement - PES</t>
        </is>
      </c>
      <c r="C120" s="16" t="n">
        <v>422.88</v>
      </c>
      <c r="D120" s="16" t="n">
        <v>284.15</v>
      </c>
      <c r="E120" s="16" t="n">
        <v>209</v>
      </c>
      <c r="F120" s="16" t="n">
        <v>268</v>
      </c>
      <c r="G120" s="16" t="n">
        <v>268</v>
      </c>
      <c r="H120" s="16">
        <f>G120-F120</f>
        <v/>
      </c>
      <c r="I120" s="14">
        <f>IF(F120=0,0,G120/F120-1)</f>
        <v/>
      </c>
    </row>
    <row r="121">
      <c r="A121" s="8" t="inlineStr">
        <is>
          <t>1000.0000.2213.52510.030</t>
        </is>
      </c>
      <c r="B121" s="8" t="inlineStr">
        <is>
          <t>Tuition Reimbursement</t>
        </is>
      </c>
      <c r="C121" s="16" t="n">
        <v>0</v>
      </c>
      <c r="D121" s="16" t="n">
        <v>2526</v>
      </c>
      <c r="E121" s="16" t="n">
        <v>0</v>
      </c>
      <c r="F121" s="16" t="n">
        <v>0</v>
      </c>
      <c r="G121" s="16" t="n">
        <v>0</v>
      </c>
      <c r="H121" s="16">
        <f>G121-F121</f>
        <v/>
      </c>
      <c r="I121" s="14">
        <f>IF(F121=0,0,G121/F121-1)</f>
        <v/>
      </c>
    </row>
    <row r="122">
      <c r="A122" s="8" t="inlineStr">
        <is>
          <t>1000.0000.2213.53000.030</t>
        </is>
      </c>
      <c r="B122" s="8" t="inlineStr">
        <is>
          <t>Purchased Professional</t>
        </is>
      </c>
      <c r="C122" s="16" t="n">
        <v>0</v>
      </c>
      <c r="D122" s="16" t="n">
        <v>1090.91</v>
      </c>
      <c r="E122" s="16" t="n">
        <v>0</v>
      </c>
      <c r="F122" s="16" t="n">
        <v>0</v>
      </c>
      <c r="G122" s="16" t="n">
        <v>0</v>
      </c>
      <c r="H122" s="16">
        <f>G122-F122</f>
        <v/>
      </c>
      <c r="I122" s="14">
        <f>IF(F122=0,0,G122/F122-1)</f>
        <v/>
      </c>
    </row>
    <row r="123">
      <c r="A123" s="9" t="n"/>
      <c r="B123" s="22" t="inlineStr">
        <is>
          <t>Program 0000 Total</t>
        </is>
      </c>
      <c r="C123" s="23">
        <f>SUM(C118:C122)</f>
        <v/>
      </c>
      <c r="D123" s="23">
        <f>SUM(D118:D122)</f>
        <v/>
      </c>
      <c r="E123" s="23">
        <f>SUM(E118:E122)</f>
        <v/>
      </c>
      <c r="F123" s="23">
        <f>SUM(F118:F122)</f>
        <v/>
      </c>
      <c r="G123" s="23">
        <f>SUM(G118:G122)</f>
        <v/>
      </c>
      <c r="H123" s="23">
        <f>SUM(H118:H122)</f>
        <v/>
      </c>
      <c r="I123" s="23">
        <f>SUM(I118:I122)</f>
        <v/>
      </c>
    </row>
    <row r="124">
      <c r="A124" s="8" t="inlineStr">
        <is>
          <t>1000.0000.2220.51010.030</t>
        </is>
      </c>
      <c r="B124" s="8" t="inlineStr">
        <is>
          <t>Librarian Salaries</t>
        </is>
      </c>
      <c r="C124" s="16" t="n">
        <v>33016.46</v>
      </c>
      <c r="D124" s="16" t="n">
        <v>36265.81</v>
      </c>
      <c r="E124" s="16" t="n">
        <v>34903.3</v>
      </c>
      <c r="F124" s="16" t="n">
        <v>38952</v>
      </c>
      <c r="G124" s="16" t="n">
        <v>42283</v>
      </c>
      <c r="H124" s="16">
        <f>G124-F124</f>
        <v/>
      </c>
      <c r="I124" s="14">
        <f>IF(F124=0,0,G124/F124-1)</f>
        <v/>
      </c>
    </row>
    <row r="125">
      <c r="A125" s="8" t="inlineStr">
        <is>
          <t>1000.0000.2220.51020.030</t>
        </is>
      </c>
      <c r="B125" s="8" t="inlineStr">
        <is>
          <t>Ed Tech Salaries</t>
        </is>
      </c>
      <c r="C125" s="16" t="n">
        <v>0</v>
      </c>
      <c r="D125" s="16" t="n">
        <v>0</v>
      </c>
      <c r="E125" s="16" t="n">
        <v>0</v>
      </c>
      <c r="F125" s="16" t="n">
        <v>1200</v>
      </c>
      <c r="G125" s="16" t="n">
        <v>0</v>
      </c>
      <c r="H125" s="16">
        <f>G125-F125</f>
        <v/>
      </c>
      <c r="I125" s="14">
        <f>IF(F125=0,0,G125/F125-1)</f>
        <v/>
      </c>
    </row>
    <row r="126">
      <c r="A126" s="8" t="inlineStr">
        <is>
          <t>1000.0000.2220.52010.030</t>
        </is>
      </c>
      <c r="B126" s="8" t="inlineStr">
        <is>
          <t>Librarian Benefits</t>
        </is>
      </c>
      <c r="C126" s="16" t="n">
        <v>13612.17</v>
      </c>
      <c r="D126" s="16" t="n">
        <v>12769.53</v>
      </c>
      <c r="E126" s="16" t="n">
        <v>9002.799999999999</v>
      </c>
      <c r="F126" s="16" t="n">
        <v>12840</v>
      </c>
      <c r="G126" s="16" t="n">
        <v>13797</v>
      </c>
      <c r="H126" s="16">
        <f>G126-F126</f>
        <v/>
      </c>
      <c r="I126" s="14">
        <f>IF(F126=0,0,G126/F126-1)</f>
        <v/>
      </c>
    </row>
    <row r="127">
      <c r="A127" s="8" t="inlineStr">
        <is>
          <t>1000.0000.2220.52020.030</t>
        </is>
      </c>
      <c r="B127" s="8" t="inlineStr">
        <is>
          <t>Ed Tech Benefits</t>
        </is>
      </c>
      <c r="C127" s="16" t="n">
        <v>0</v>
      </c>
      <c r="D127" s="16" t="n">
        <v>0</v>
      </c>
      <c r="E127" s="16" t="n">
        <v>0</v>
      </c>
      <c r="F127" s="16" t="n">
        <v>40</v>
      </c>
      <c r="G127" s="16" t="n">
        <v>0</v>
      </c>
      <c r="H127" s="16">
        <f>G127-F127</f>
        <v/>
      </c>
      <c r="I127" s="14">
        <f>IF(F127=0,0,G127/F127-1)</f>
        <v/>
      </c>
    </row>
    <row r="128">
      <c r="A128" s="8" t="inlineStr">
        <is>
          <t>1000.0000.2220.52310.030</t>
        </is>
      </c>
      <c r="B128" s="8" t="inlineStr">
        <is>
          <t>Retirement</t>
        </is>
      </c>
      <c r="C128" s="16" t="n">
        <v>1300.42</v>
      </c>
      <c r="D128" s="16" t="n">
        <v>1621.05</v>
      </c>
      <c r="E128" s="16" t="n">
        <v>1560.14</v>
      </c>
      <c r="F128" s="16" t="n">
        <v>1741</v>
      </c>
      <c r="G128" s="16" t="n">
        <v>1890</v>
      </c>
      <c r="H128" s="16">
        <f>G128-F128</f>
        <v/>
      </c>
      <c r="I128" s="14">
        <f>IF(F128=0,0,G128/F128-1)</f>
        <v/>
      </c>
    </row>
    <row r="129">
      <c r="A129" s="8" t="inlineStr">
        <is>
          <t>1000.0000.2220.52320.030</t>
        </is>
      </c>
      <c r="B129" s="8" t="inlineStr">
        <is>
          <t>Retirement</t>
        </is>
      </c>
      <c r="C129" s="16" t="n">
        <v>0</v>
      </c>
      <c r="D129" s="16" t="n">
        <v>0</v>
      </c>
      <c r="E129" s="16" t="n">
        <v>0</v>
      </c>
      <c r="F129" s="16" t="n">
        <v>54</v>
      </c>
      <c r="G129" s="16" t="n">
        <v>0</v>
      </c>
      <c r="H129" s="16">
        <f>G129-F129</f>
        <v/>
      </c>
      <c r="I129" s="14">
        <f>IF(F129=0,0,G129/F129-1)</f>
        <v/>
      </c>
    </row>
    <row r="130">
      <c r="A130" s="8" t="inlineStr">
        <is>
          <t>1000.0000.2220.54330.030</t>
        </is>
      </c>
      <c r="B130" s="8" t="inlineStr">
        <is>
          <t>Software</t>
        </is>
      </c>
      <c r="C130" s="16" t="n">
        <v>1043</v>
      </c>
      <c r="D130" s="16" t="n">
        <v>1275.42</v>
      </c>
      <c r="E130" s="16" t="n">
        <v>1319.05</v>
      </c>
      <c r="F130" s="16" t="n">
        <v>1500</v>
      </c>
      <c r="G130" s="16" t="n">
        <v>1500</v>
      </c>
      <c r="H130" s="16">
        <f>G130-F130</f>
        <v/>
      </c>
      <c r="I130" s="14">
        <f>IF(F130=0,0,G130/F130-1)</f>
        <v/>
      </c>
    </row>
    <row r="131">
      <c r="A131" s="8" t="inlineStr">
        <is>
          <t>1000.0000.2220.56100.030</t>
        </is>
      </c>
      <c r="B131" s="8" t="inlineStr">
        <is>
          <t>Instructional Supplies</t>
        </is>
      </c>
      <c r="C131" s="16" t="n">
        <v>221.42</v>
      </c>
      <c r="D131" s="16" t="n">
        <v>248.97</v>
      </c>
      <c r="E131" s="16" t="n">
        <v>322.76</v>
      </c>
      <c r="F131" s="16" t="n">
        <v>350</v>
      </c>
      <c r="G131" s="16" t="n">
        <v>210</v>
      </c>
      <c r="H131" s="16">
        <f>G131-F131</f>
        <v/>
      </c>
      <c r="I131" s="14">
        <f>IF(F131=0,0,G131/F131-1)</f>
        <v/>
      </c>
    </row>
    <row r="132">
      <c r="A132" s="8" t="inlineStr">
        <is>
          <t>1000.0000.2220.56400.030</t>
        </is>
      </c>
      <c r="B132" s="8" t="inlineStr">
        <is>
          <t>Books &amp; Periodicals</t>
        </is>
      </c>
      <c r="C132" s="16" t="n">
        <v>2225.59</v>
      </c>
      <c r="D132" s="16" t="n">
        <v>2647.89</v>
      </c>
      <c r="E132" s="16" t="n">
        <v>2757.25</v>
      </c>
      <c r="F132" s="16" t="n">
        <v>2837</v>
      </c>
      <c r="G132" s="16" t="n">
        <v>2605</v>
      </c>
      <c r="H132" s="16">
        <f>G132-F132</f>
        <v/>
      </c>
      <c r="I132" s="14">
        <f>IF(F132=0,0,G132/F132-1)</f>
        <v/>
      </c>
    </row>
    <row r="133">
      <c r="A133" s="9" t="n"/>
      <c r="B133" s="22" t="inlineStr">
        <is>
          <t>Program 0000 Total</t>
        </is>
      </c>
      <c r="C133" s="23">
        <f>SUM(C124:C132)</f>
        <v/>
      </c>
      <c r="D133" s="23">
        <f>SUM(D124:D132)</f>
        <v/>
      </c>
      <c r="E133" s="23">
        <f>SUM(E124:E132)</f>
        <v/>
      </c>
      <c r="F133" s="23">
        <f>SUM(F124:F132)</f>
        <v/>
      </c>
      <c r="G133" s="23">
        <f>SUM(G124:G132)</f>
        <v/>
      </c>
      <c r="H133" s="23">
        <f>SUM(H124:H132)</f>
        <v/>
      </c>
      <c r="I133" s="23">
        <f>SUM(I124:I132)</f>
        <v/>
      </c>
    </row>
    <row r="134">
      <c r="A134" s="8" t="inlineStr">
        <is>
          <t>1000.0000.2230.51010.030</t>
        </is>
      </c>
      <c r="B134" s="8" t="inlineStr">
        <is>
          <t>Teacher Salaries</t>
        </is>
      </c>
      <c r="C134" s="16" t="n">
        <v>375</v>
      </c>
      <c r="D134" s="16" t="n">
        <v>0</v>
      </c>
      <c r="E134" s="16" t="n">
        <v>0</v>
      </c>
      <c r="F134" s="16" t="n">
        <v>0</v>
      </c>
      <c r="G134" s="16" t="n">
        <v>0</v>
      </c>
      <c r="H134" s="16">
        <f>G134-F134</f>
        <v/>
      </c>
      <c r="I134" s="14">
        <f>IF(F134=0,0,G134/F134-1)</f>
        <v/>
      </c>
    </row>
    <row r="135">
      <c r="A135" s="8" t="inlineStr">
        <is>
          <t>1000.0000.2230.52010.030</t>
        </is>
      </c>
      <c r="B135" s="8" t="inlineStr">
        <is>
          <t>Teacher Benefits</t>
        </is>
      </c>
      <c r="C135" s="16" t="n">
        <v>7.71</v>
      </c>
      <c r="D135" s="16" t="n">
        <v>0</v>
      </c>
      <c r="E135" s="16" t="n">
        <v>0</v>
      </c>
      <c r="F135" s="16" t="n">
        <v>0</v>
      </c>
      <c r="G135" s="16" t="n">
        <v>0</v>
      </c>
      <c r="H135" s="16">
        <f>G135-F135</f>
        <v/>
      </c>
      <c r="I135" s="14">
        <f>IF(F135=0,0,G135/F135-1)</f>
        <v/>
      </c>
    </row>
    <row r="136">
      <c r="A136" s="8" t="inlineStr">
        <is>
          <t>1000.0000.2230.52310.030</t>
        </is>
      </c>
      <c r="B136" s="8" t="inlineStr">
        <is>
          <t>Retirement</t>
        </is>
      </c>
      <c r="C136" s="16" t="n">
        <v>14.41</v>
      </c>
      <c r="D136" s="16" t="n">
        <v>0</v>
      </c>
      <c r="E136" s="16" t="n">
        <v>0</v>
      </c>
      <c r="F136" s="16" t="n">
        <v>0</v>
      </c>
      <c r="G136" s="16" t="n">
        <v>0</v>
      </c>
      <c r="H136" s="16">
        <f>G136-F136</f>
        <v/>
      </c>
      <c r="I136" s="14">
        <f>IF(F136=0,0,G136/F136-1)</f>
        <v/>
      </c>
    </row>
    <row r="137">
      <c r="A137" s="9" t="n"/>
      <c r="B137" s="22" t="inlineStr">
        <is>
          <t>Program 0000 Total</t>
        </is>
      </c>
      <c r="C137" s="23">
        <f>SUM(C134:C136)</f>
        <v/>
      </c>
      <c r="D137" s="23">
        <f>SUM(D134:D136)</f>
        <v/>
      </c>
      <c r="E137" s="23">
        <f>SUM(E134:E136)</f>
        <v/>
      </c>
      <c r="F137" s="23">
        <f>SUM(F134:F136)</f>
        <v/>
      </c>
      <c r="G137" s="23">
        <f>SUM(G134:G136)</f>
        <v/>
      </c>
      <c r="H137" s="23">
        <f>SUM(H134:H136)</f>
        <v/>
      </c>
      <c r="I137" s="23">
        <f>SUM(I134:I136)</f>
        <v/>
      </c>
    </row>
    <row r="138">
      <c r="A138" s="9" t="n"/>
      <c r="B138" s="12" t="inlineStr">
        <is>
          <t>Cost Center ('030',) Total</t>
        </is>
      </c>
      <c r="C138" s="26">
        <f>C106+C117+C123+C133+C137</f>
        <v/>
      </c>
      <c r="D138" s="26">
        <f>D106+D117+D123+D133+D137</f>
        <v/>
      </c>
      <c r="E138" s="26">
        <f>E106+E117+E123+E133+E137</f>
        <v/>
      </c>
      <c r="F138" s="26">
        <f>F106+F117+F123+F133+F137</f>
        <v/>
      </c>
      <c r="G138" s="26">
        <f>G106+G117+G123+G133+G137</f>
        <v/>
      </c>
      <c r="H138" s="26">
        <f>H106+H117+H123+H133+H137</f>
        <v/>
      </c>
      <c r="I138" s="26">
        <f>I106+I117+I123+I133+I137</f>
        <v/>
      </c>
    </row>
    <row r="140">
      <c r="A140" s="3" t="inlineStr">
        <is>
          <t>Cost Center: ('040',)</t>
        </is>
      </c>
    </row>
    <row r="141">
      <c r="A141" s="8" t="inlineStr">
        <is>
          <t>1000.0000.2110.51010.040</t>
        </is>
      </c>
      <c r="B141" s="8" t="inlineStr">
        <is>
          <t>Social Worker Salaries</t>
        </is>
      </c>
      <c r="C141" s="16" t="n">
        <v>0</v>
      </c>
      <c r="D141" s="16" t="n">
        <v>22513.76</v>
      </c>
      <c r="E141" s="16" t="n">
        <v>24669.49</v>
      </c>
      <c r="F141" s="16" t="n">
        <v>25385</v>
      </c>
      <c r="G141" s="16" t="n">
        <v>26781</v>
      </c>
      <c r="H141" s="16">
        <f>G141-F141</f>
        <v/>
      </c>
      <c r="I141" s="14">
        <f>IF(F141=0,0,G141/F141-1)</f>
        <v/>
      </c>
    </row>
    <row r="142">
      <c r="A142" s="8" t="inlineStr">
        <is>
          <t>1000.0000.2110.52010.040</t>
        </is>
      </c>
      <c r="B142" s="8" t="inlineStr">
        <is>
          <t>Social Worker Benefits</t>
        </is>
      </c>
      <c r="C142" s="16" t="n">
        <v>0</v>
      </c>
      <c r="D142" s="16" t="n">
        <v>3627.53</v>
      </c>
      <c r="E142" s="16" t="n">
        <v>4572.26</v>
      </c>
      <c r="F142" s="16" t="n">
        <v>5719</v>
      </c>
      <c r="G142" s="16" t="n">
        <v>6106</v>
      </c>
      <c r="H142" s="16">
        <f>G142-F142</f>
        <v/>
      </c>
      <c r="I142" s="14">
        <f>IF(F142=0,0,G142/F142-1)</f>
        <v/>
      </c>
    </row>
    <row r="143">
      <c r="A143" s="8" t="inlineStr">
        <is>
          <t>1000.0000.2110.52310.040</t>
        </is>
      </c>
      <c r="B143" s="8" t="inlineStr">
        <is>
          <t>Social Worker Retirement</t>
        </is>
      </c>
      <c r="C143" s="16" t="n">
        <v>0</v>
      </c>
      <c r="D143" s="16" t="n">
        <v>1006.46</v>
      </c>
      <c r="E143" s="16" t="n">
        <v>1098.68</v>
      </c>
      <c r="F143" s="16" t="n">
        <v>1135</v>
      </c>
      <c r="G143" s="16" t="n">
        <v>1197</v>
      </c>
      <c r="H143" s="16">
        <f>G143-F143</f>
        <v/>
      </c>
      <c r="I143" s="14">
        <f>IF(F143=0,0,G143/F143-1)</f>
        <v/>
      </c>
    </row>
    <row r="144">
      <c r="A144" s="9" t="n"/>
      <c r="B144" s="22" t="inlineStr">
        <is>
          <t>Program 0000 Total</t>
        </is>
      </c>
      <c r="C144" s="23">
        <f>SUM(C141:C143)</f>
        <v/>
      </c>
      <c r="D144" s="23">
        <f>SUM(D141:D143)</f>
        <v/>
      </c>
      <c r="E144" s="23">
        <f>SUM(E141:E143)</f>
        <v/>
      </c>
      <c r="F144" s="23">
        <f>SUM(F141:F143)</f>
        <v/>
      </c>
      <c r="G144" s="23">
        <f>SUM(G141:G143)</f>
        <v/>
      </c>
      <c r="H144" s="23">
        <f>SUM(H141:H143)</f>
        <v/>
      </c>
      <c r="I144" s="23">
        <f>SUM(I141:I143)</f>
        <v/>
      </c>
    </row>
    <row r="145">
      <c r="A145" s="8" t="inlineStr">
        <is>
          <t>1000.0000.2120.51010.040</t>
        </is>
      </c>
      <c r="B145" s="8" t="inlineStr">
        <is>
          <t>Guidance Salaries</t>
        </is>
      </c>
      <c r="C145" s="16" t="n">
        <v>99930.13</v>
      </c>
      <c r="D145" s="16" t="n">
        <v>82534.12</v>
      </c>
      <c r="E145" s="16" t="n">
        <v>92372.05</v>
      </c>
      <c r="F145" s="16" t="n">
        <v>95040</v>
      </c>
      <c r="G145" s="16" t="n">
        <v>101060</v>
      </c>
      <c r="H145" s="16">
        <f>G145-F145</f>
        <v/>
      </c>
      <c r="I145" s="14">
        <f>IF(F145=0,0,G145/F145-1)</f>
        <v/>
      </c>
    </row>
    <row r="146">
      <c r="A146" s="8" t="inlineStr">
        <is>
          <t>1000.0000.2120.52010.040</t>
        </is>
      </c>
      <c r="B146" s="8" t="inlineStr">
        <is>
          <t>Benefits</t>
        </is>
      </c>
      <c r="C146" s="16" t="n">
        <v>9251.110000000001</v>
      </c>
      <c r="D146" s="16" t="n">
        <v>5794.01</v>
      </c>
      <c r="E146" s="16" t="n">
        <v>3089.78</v>
      </c>
      <c r="F146" s="16" t="n">
        <v>7149</v>
      </c>
      <c r="G146" s="16" t="n">
        <v>7357</v>
      </c>
      <c r="H146" s="16">
        <f>G146-F146</f>
        <v/>
      </c>
      <c r="I146" s="14">
        <f>IF(F146=0,0,G146/F146-1)</f>
        <v/>
      </c>
    </row>
    <row r="147">
      <c r="A147" s="8" t="inlineStr">
        <is>
          <t>1000.0000.2120.52310.040</t>
        </is>
      </c>
      <c r="B147" s="8" t="inlineStr">
        <is>
          <t>Retirement</t>
        </is>
      </c>
      <c r="C147" s="16" t="n">
        <v>3831</v>
      </c>
      <c r="D147" s="16" t="n">
        <v>3696.57</v>
      </c>
      <c r="E147" s="16" t="n">
        <v>3957.57</v>
      </c>
      <c r="F147" s="16" t="n">
        <v>4248</v>
      </c>
      <c r="G147" s="16" t="n">
        <v>4517</v>
      </c>
      <c r="H147" s="16">
        <f>G147-F147</f>
        <v/>
      </c>
      <c r="I147" s="14">
        <f>IF(F147=0,0,G147/F147-1)</f>
        <v/>
      </c>
    </row>
    <row r="148">
      <c r="A148" s="8" t="inlineStr">
        <is>
          <t>1000.0000.2120.53000.040</t>
        </is>
      </c>
      <c r="B148" s="8" t="inlineStr">
        <is>
          <t>Purchased Professional</t>
        </is>
      </c>
      <c r="C148" s="16" t="n">
        <v>226.25</v>
      </c>
      <c r="D148" s="16" t="n">
        <v>66.66</v>
      </c>
      <c r="E148" s="16" t="n">
        <v>300</v>
      </c>
      <c r="F148" s="16" t="n">
        <v>300</v>
      </c>
      <c r="G148" s="16" t="n">
        <v>300</v>
      </c>
      <c r="H148" s="16">
        <f>G148-F148</f>
        <v/>
      </c>
      <c r="I148" s="14">
        <f>IF(F148=0,0,G148/F148-1)</f>
        <v/>
      </c>
    </row>
    <row r="149">
      <c r="A149" s="8" t="inlineStr">
        <is>
          <t>1000.0000.2120.54330.040</t>
        </is>
      </c>
      <c r="B149" s="8" t="inlineStr">
        <is>
          <t>Software</t>
        </is>
      </c>
      <c r="C149" s="16" t="n">
        <v>333.33</v>
      </c>
      <c r="D149" s="16" t="n">
        <v>333.33</v>
      </c>
      <c r="E149" s="16" t="n">
        <v>275.33</v>
      </c>
      <c r="F149" s="16" t="n">
        <v>334</v>
      </c>
      <c r="G149" s="16" t="n">
        <v>500</v>
      </c>
      <c r="H149" s="16">
        <f>G149-F149</f>
        <v/>
      </c>
      <c r="I149" s="14">
        <f>IF(F149=0,0,G149/F149-1)</f>
        <v/>
      </c>
    </row>
    <row r="150">
      <c r="A150" s="8" t="inlineStr">
        <is>
          <t>1000.0000.2120.56100.040</t>
        </is>
      </c>
      <c r="B150" s="8" t="inlineStr">
        <is>
          <t>Instructional Supplies</t>
        </is>
      </c>
      <c r="C150" s="16" t="n">
        <v>19.35</v>
      </c>
      <c r="D150" s="16" t="n">
        <v>167.3</v>
      </c>
      <c r="E150" s="16" t="n">
        <v>338.76</v>
      </c>
      <c r="F150" s="16" t="n">
        <v>1100</v>
      </c>
      <c r="G150" s="16" t="n">
        <v>1100</v>
      </c>
      <c r="H150" s="16">
        <f>G150-F150</f>
        <v/>
      </c>
      <c r="I150" s="14">
        <f>IF(F150=0,0,G150/F150-1)</f>
        <v/>
      </c>
    </row>
    <row r="151">
      <c r="A151" s="8" t="inlineStr">
        <is>
          <t>1000.0000.2120.56400.040</t>
        </is>
      </c>
      <c r="B151" s="8" t="inlineStr">
        <is>
          <t>Guidance Books &amp;</t>
        </is>
      </c>
      <c r="C151" s="16" t="n">
        <v>0</v>
      </c>
      <c r="D151" s="16" t="n">
        <v>0</v>
      </c>
      <c r="E151" s="16" t="n">
        <v>99.09</v>
      </c>
      <c r="F151" s="16" t="n">
        <v>100</v>
      </c>
      <c r="G151" s="16" t="n">
        <v>100</v>
      </c>
      <c r="H151" s="16">
        <f>G151-F151</f>
        <v/>
      </c>
      <c r="I151" s="14">
        <f>IF(F151=0,0,G151/F151-1)</f>
        <v/>
      </c>
    </row>
    <row r="152">
      <c r="A152" s="9" t="n"/>
      <c r="B152" s="22" t="inlineStr">
        <is>
          <t>Program 0000 Total</t>
        </is>
      </c>
      <c r="C152" s="23">
        <f>SUM(C145:C151)</f>
        <v/>
      </c>
      <c r="D152" s="23">
        <f>SUM(D145:D151)</f>
        <v/>
      </c>
      <c r="E152" s="23">
        <f>SUM(E145:E151)</f>
        <v/>
      </c>
      <c r="F152" s="23">
        <f>SUM(F145:F151)</f>
        <v/>
      </c>
      <c r="G152" s="23">
        <f>SUM(G145:G151)</f>
        <v/>
      </c>
      <c r="H152" s="23">
        <f>SUM(H145:H151)</f>
        <v/>
      </c>
      <c r="I152" s="23">
        <f>SUM(I145:I151)</f>
        <v/>
      </c>
    </row>
    <row r="153">
      <c r="A153" s="8" t="inlineStr">
        <is>
          <t>1000.0000.2130.51010.040</t>
        </is>
      </c>
      <c r="B153" s="8" t="inlineStr">
        <is>
          <t>Nurse Salary</t>
        </is>
      </c>
      <c r="C153" s="16" t="n">
        <v>54949.94</v>
      </c>
      <c r="D153" s="16" t="n">
        <v>48102.36</v>
      </c>
      <c r="E153" s="16" t="n">
        <v>68453.78</v>
      </c>
      <c r="F153" s="16" t="n">
        <v>75401</v>
      </c>
      <c r="G153" s="16" t="n">
        <v>82985</v>
      </c>
      <c r="H153" s="16">
        <f>G153-F153</f>
        <v/>
      </c>
      <c r="I153" s="14">
        <f>IF(F153=0,0,G153/F153-1)</f>
        <v/>
      </c>
    </row>
    <row r="154">
      <c r="A154" s="8" t="inlineStr">
        <is>
          <t>1000.0000.2130.51200.040</t>
        </is>
      </c>
      <c r="B154" s="8" t="inlineStr">
        <is>
          <t>Nurse Substitute - MLS</t>
        </is>
      </c>
      <c r="C154" s="16" t="n">
        <v>9923.450000000001</v>
      </c>
      <c r="D154" s="16" t="n">
        <v>13201.19</v>
      </c>
      <c r="E154" s="16" t="n">
        <v>2211.64</v>
      </c>
      <c r="F154" s="16" t="n">
        <v>0</v>
      </c>
      <c r="G154" s="16" t="n">
        <v>0</v>
      </c>
      <c r="H154" s="16">
        <f>G154-F154</f>
        <v/>
      </c>
      <c r="I154" s="14">
        <f>IF(F154=0,0,G154/F154-1)</f>
        <v/>
      </c>
    </row>
    <row r="155">
      <c r="A155" s="8" t="inlineStr">
        <is>
          <t>1000.0000.2130.52000.040</t>
        </is>
      </c>
      <c r="B155" s="8" t="inlineStr">
        <is>
          <t>Employee Benefits</t>
        </is>
      </c>
      <c r="C155" s="16" t="n">
        <v>652.4299999999999</v>
      </c>
      <c r="D155" s="16" t="n">
        <v>931.14</v>
      </c>
      <c r="E155" s="16" t="n">
        <v>178.52</v>
      </c>
      <c r="F155" s="16" t="n">
        <v>0</v>
      </c>
      <c r="G155" s="16" t="n">
        <v>0</v>
      </c>
      <c r="H155" s="16">
        <f>G155-F155</f>
        <v/>
      </c>
      <c r="I155" s="14">
        <f>IF(F155=0,0,G155/F155-1)</f>
        <v/>
      </c>
    </row>
    <row r="156">
      <c r="A156" s="8" t="inlineStr">
        <is>
          <t>1000.0000.2130.52010.040</t>
        </is>
      </c>
      <c r="B156" s="8" t="inlineStr">
        <is>
          <t>Nurse Benefits</t>
        </is>
      </c>
      <c r="C156" s="16" t="n">
        <v>4939.91</v>
      </c>
      <c r="D156" s="16" t="n">
        <v>4768.82</v>
      </c>
      <c r="E156" s="16" t="n">
        <v>5603.15</v>
      </c>
      <c r="F156" s="16" t="n">
        <v>5935</v>
      </c>
      <c r="G156" s="16" t="n">
        <v>6180</v>
      </c>
      <c r="H156" s="16">
        <f>G156-F156</f>
        <v/>
      </c>
      <c r="I156" s="14">
        <f>IF(F156=0,0,G156/F156-1)</f>
        <v/>
      </c>
    </row>
    <row r="157">
      <c r="A157" s="8" t="inlineStr">
        <is>
          <t>1000.0000.2130.52300.040</t>
        </is>
      </c>
      <c r="B157" s="8" t="inlineStr">
        <is>
          <t>Retirement - Stipends</t>
        </is>
      </c>
      <c r="C157" s="16" t="n">
        <v>20.73</v>
      </c>
      <c r="D157" s="16" t="n">
        <v>81.53</v>
      </c>
      <c r="E157" s="16" t="n">
        <v>11.63</v>
      </c>
      <c r="F157" s="16" t="n">
        <v>0</v>
      </c>
      <c r="G157" s="16" t="n">
        <v>0</v>
      </c>
      <c r="H157" s="16">
        <f>G157-F157</f>
        <v/>
      </c>
      <c r="I157" s="14">
        <f>IF(F157=0,0,G157/F157-1)</f>
        <v/>
      </c>
    </row>
    <row r="158">
      <c r="A158" s="8" t="inlineStr">
        <is>
          <t>1000.0000.2130.52310.040</t>
        </is>
      </c>
      <c r="B158" s="8" t="inlineStr">
        <is>
          <t>Retirement</t>
        </is>
      </c>
      <c r="C158" s="16" t="n">
        <v>2110.1</v>
      </c>
      <c r="D158" s="16" t="n">
        <v>2171.37</v>
      </c>
      <c r="E158" s="16" t="n">
        <v>3048.11</v>
      </c>
      <c r="F158" s="16" t="n">
        <v>3370</v>
      </c>
      <c r="G158" s="16" t="n">
        <v>3709</v>
      </c>
      <c r="H158" s="16">
        <f>G158-F158</f>
        <v/>
      </c>
      <c r="I158" s="14">
        <f>IF(F158=0,0,G158/F158-1)</f>
        <v/>
      </c>
    </row>
    <row r="159">
      <c r="A159" s="8" t="inlineStr">
        <is>
          <t>1000.0000.2130.53000.040</t>
        </is>
      </c>
      <c r="B159" s="8" t="inlineStr">
        <is>
          <t>Purchased Professional</t>
        </is>
      </c>
      <c r="C159" s="16" t="n">
        <v>184</v>
      </c>
      <c r="D159" s="16" t="n">
        <v>245</v>
      </c>
      <c r="E159" s="16" t="n">
        <v>0</v>
      </c>
      <c r="F159" s="16" t="n">
        <v>300</v>
      </c>
      <c r="G159" s="16" t="n">
        <v>300</v>
      </c>
      <c r="H159" s="16">
        <f>G159-F159</f>
        <v/>
      </c>
      <c r="I159" s="14">
        <f>IF(F159=0,0,G159/F159-1)</f>
        <v/>
      </c>
    </row>
    <row r="160">
      <c r="A160" s="8" t="inlineStr">
        <is>
          <t>1000.0000.2130.54310.040</t>
        </is>
      </c>
      <c r="B160" s="8" t="inlineStr">
        <is>
          <t>Repairs &amp; Maintenance</t>
        </is>
      </c>
      <c r="C160" s="16" t="n">
        <v>145</v>
      </c>
      <c r="D160" s="16" t="n">
        <v>0</v>
      </c>
      <c r="E160" s="16" t="n">
        <v>0</v>
      </c>
      <c r="F160" s="16" t="n">
        <v>135</v>
      </c>
      <c r="G160" s="16" t="n">
        <v>135</v>
      </c>
      <c r="H160" s="16">
        <f>G160-F160</f>
        <v/>
      </c>
      <c r="I160" s="14">
        <f>IF(F160=0,0,G160/F160-1)</f>
        <v/>
      </c>
    </row>
    <row r="161">
      <c r="A161" s="8" t="inlineStr">
        <is>
          <t>1000.0000.2130.56000.040</t>
        </is>
      </c>
      <c r="B161" s="8" t="inlineStr">
        <is>
          <t>Supplies</t>
        </is>
      </c>
      <c r="C161" s="16" t="n">
        <v>622.53</v>
      </c>
      <c r="D161" s="16" t="n">
        <v>435.24</v>
      </c>
      <c r="E161" s="16" t="n">
        <v>646.9</v>
      </c>
      <c r="F161" s="16" t="n">
        <v>959</v>
      </c>
      <c r="G161" s="16" t="n">
        <v>1056</v>
      </c>
      <c r="H161" s="16">
        <f>G161-F161</f>
        <v/>
      </c>
      <c r="I161" s="14">
        <f>IF(F161=0,0,G161/F161-1)</f>
        <v/>
      </c>
    </row>
    <row r="162">
      <c r="A162" s="8" t="inlineStr">
        <is>
          <t>1000.0000.2130.58100.040</t>
        </is>
      </c>
      <c r="B162" s="8" t="inlineStr">
        <is>
          <t>Dues &amp; Fees</t>
        </is>
      </c>
      <c r="C162" s="16" t="n">
        <v>0</v>
      </c>
      <c r="D162" s="16" t="n">
        <v>0</v>
      </c>
      <c r="E162" s="16" t="n">
        <v>150</v>
      </c>
      <c r="F162" s="16" t="n">
        <v>180</v>
      </c>
      <c r="G162" s="16" t="n">
        <v>180</v>
      </c>
      <c r="H162" s="16">
        <f>G162-F162</f>
        <v/>
      </c>
      <c r="I162" s="14">
        <f>IF(F162=0,0,G162/F162-1)</f>
        <v/>
      </c>
    </row>
    <row r="163">
      <c r="A163" s="9" t="n"/>
      <c r="B163" s="22" t="inlineStr">
        <is>
          <t>Program 0000 Total</t>
        </is>
      </c>
      <c r="C163" s="23">
        <f>SUM(C153:C162)</f>
        <v/>
      </c>
      <c r="D163" s="23">
        <f>SUM(D153:D162)</f>
        <v/>
      </c>
      <c r="E163" s="23">
        <f>SUM(E153:E162)</f>
        <v/>
      </c>
      <c r="F163" s="23">
        <f>SUM(F153:F162)</f>
        <v/>
      </c>
      <c r="G163" s="23">
        <f>SUM(G153:G162)</f>
        <v/>
      </c>
      <c r="H163" s="23">
        <f>SUM(H153:H162)</f>
        <v/>
      </c>
      <c r="I163" s="23">
        <f>SUM(I153:I162)</f>
        <v/>
      </c>
    </row>
    <row r="164">
      <c r="A164" s="8" t="inlineStr">
        <is>
          <t>1000.0000.2213.51500.040</t>
        </is>
      </c>
      <c r="B164" s="8" t="inlineStr">
        <is>
          <t>Stipends-Acad Leadership</t>
        </is>
      </c>
      <c r="C164" s="16" t="n">
        <v>16110</v>
      </c>
      <c r="D164" s="16" t="n">
        <v>22024.95</v>
      </c>
      <c r="E164" s="16" t="n">
        <v>22741.84</v>
      </c>
      <c r="F164" s="16" t="n">
        <v>14601</v>
      </c>
      <c r="G164" s="16" t="n">
        <v>14601</v>
      </c>
      <c r="H164" s="16">
        <f>G164-F164</f>
        <v/>
      </c>
      <c r="I164" s="14">
        <f>IF(F164=0,0,G164/F164-1)</f>
        <v/>
      </c>
    </row>
    <row r="165">
      <c r="A165" s="8" t="inlineStr">
        <is>
          <t>1000.0000.2213.52000.040</t>
        </is>
      </c>
      <c r="B165" s="8" t="inlineStr">
        <is>
          <t>Stipend Benefits - MLS</t>
        </is>
      </c>
      <c r="C165" s="16" t="n">
        <v>2731.86</v>
      </c>
      <c r="D165" s="16" t="n">
        <v>2882.96</v>
      </c>
      <c r="E165" s="16" t="n">
        <v>3756.52</v>
      </c>
      <c r="F165" s="16" t="n">
        <v>491</v>
      </c>
      <c r="G165" s="16" t="n">
        <v>491</v>
      </c>
      <c r="H165" s="16">
        <f>G165-F165</f>
        <v/>
      </c>
      <c r="I165" s="14">
        <f>IF(F165=0,0,G165/F165-1)</f>
        <v/>
      </c>
    </row>
    <row r="166">
      <c r="A166" s="8" t="inlineStr">
        <is>
          <t>1000.0000.2213.52300.040</t>
        </is>
      </c>
      <c r="B166" s="8" t="inlineStr">
        <is>
          <t>Stipend Retirement - MLS</t>
        </is>
      </c>
      <c r="C166" s="16" t="n">
        <v>618.73</v>
      </c>
      <c r="D166" s="16" t="n">
        <v>1007.06</v>
      </c>
      <c r="E166" s="16" t="n">
        <v>1016.03</v>
      </c>
      <c r="F166" s="16" t="n">
        <v>653</v>
      </c>
      <c r="G166" s="16" t="n">
        <v>653</v>
      </c>
      <c r="H166" s="16">
        <f>G166-F166</f>
        <v/>
      </c>
      <c r="I166" s="14">
        <f>IF(F166=0,0,G166/F166-1)</f>
        <v/>
      </c>
    </row>
    <row r="167">
      <c r="A167" s="9" t="n"/>
      <c r="B167" s="22" t="inlineStr">
        <is>
          <t>Program 0000 Total</t>
        </is>
      </c>
      <c r="C167" s="23">
        <f>SUM(C164:C166)</f>
        <v/>
      </c>
      <c r="D167" s="23">
        <f>SUM(D164:D166)</f>
        <v/>
      </c>
      <c r="E167" s="23">
        <f>SUM(E164:E166)</f>
        <v/>
      </c>
      <c r="F167" s="23">
        <f>SUM(F164:F166)</f>
        <v/>
      </c>
      <c r="G167" s="23">
        <f>SUM(G164:G166)</f>
        <v/>
      </c>
      <c r="H167" s="23">
        <f>SUM(H164:H166)</f>
        <v/>
      </c>
      <c r="I167" s="23">
        <f>SUM(I164:I166)</f>
        <v/>
      </c>
    </row>
    <row r="168">
      <c r="A168" s="8" t="inlineStr">
        <is>
          <t>1000.0000.2220.51010.040</t>
        </is>
      </c>
      <c r="B168" s="8" t="inlineStr">
        <is>
          <t>Librarian Salary</t>
        </is>
      </c>
      <c r="C168" s="16" t="n">
        <v>62923.79</v>
      </c>
      <c r="D168" s="16" t="n">
        <v>67014.89999999999</v>
      </c>
      <c r="E168" s="16" t="n">
        <v>73495.14</v>
      </c>
      <c r="F168" s="16" t="n">
        <v>80158</v>
      </c>
      <c r="G168" s="16" t="n">
        <v>86947</v>
      </c>
      <c r="H168" s="16">
        <f>G168-F168</f>
        <v/>
      </c>
      <c r="I168" s="14">
        <f>IF(F168=0,0,G168/F168-1)</f>
        <v/>
      </c>
    </row>
    <row r="169">
      <c r="A169" s="8" t="inlineStr">
        <is>
          <t>1000.0000.2220.52010.040</t>
        </is>
      </c>
      <c r="B169" s="8" t="inlineStr">
        <is>
          <t>Librarian Benefits</t>
        </is>
      </c>
      <c r="C169" s="16" t="n">
        <v>1266.82</v>
      </c>
      <c r="D169" s="16" t="n">
        <v>1362.34</v>
      </c>
      <c r="E169" s="16" t="n">
        <v>13183.04</v>
      </c>
      <c r="F169" s="16" t="n">
        <v>6089</v>
      </c>
      <c r="G169" s="16" t="n">
        <v>6308</v>
      </c>
      <c r="H169" s="16">
        <f>G169-F169</f>
        <v/>
      </c>
      <c r="I169" s="14">
        <f>IF(F169=0,0,G169/F169-1)</f>
        <v/>
      </c>
    </row>
    <row r="170">
      <c r="A170" s="8" t="inlineStr">
        <is>
          <t>1000.0000.2220.52310.040</t>
        </is>
      </c>
      <c r="B170" s="8" t="inlineStr">
        <is>
          <t>Retirement</t>
        </is>
      </c>
      <c r="C170" s="16" t="n">
        <v>2319.26</v>
      </c>
      <c r="D170" s="16" t="n">
        <v>3000.56</v>
      </c>
      <c r="E170" s="16" t="n">
        <v>3272.69</v>
      </c>
      <c r="F170" s="16" t="n">
        <v>3583</v>
      </c>
      <c r="G170" s="16" t="n">
        <v>3887</v>
      </c>
      <c r="H170" s="16">
        <f>G170-F170</f>
        <v/>
      </c>
      <c r="I170" s="14">
        <f>IF(F170=0,0,G170/F170-1)</f>
        <v/>
      </c>
    </row>
    <row r="171">
      <c r="A171" s="8" t="inlineStr">
        <is>
          <t>1000.0000.2220.54330.040</t>
        </is>
      </c>
      <c r="B171" s="8" t="inlineStr">
        <is>
          <t>Software</t>
        </is>
      </c>
      <c r="C171" s="16" t="n">
        <v>1043</v>
      </c>
      <c r="D171" s="16" t="n">
        <v>1275.42</v>
      </c>
      <c r="E171" s="16" t="n">
        <v>1319.05</v>
      </c>
      <c r="F171" s="16" t="n">
        <v>1500</v>
      </c>
      <c r="G171" s="16" t="n">
        <v>1500</v>
      </c>
      <c r="H171" s="16">
        <f>G171-F171</f>
        <v/>
      </c>
      <c r="I171" s="14">
        <f>IF(F171=0,0,G171/F171-1)</f>
        <v/>
      </c>
    </row>
    <row r="172">
      <c r="A172" s="8" t="inlineStr">
        <is>
          <t>1000.0000.2220.56100.040</t>
        </is>
      </c>
      <c r="B172" s="8" t="inlineStr">
        <is>
          <t>Instructional Supplies</t>
        </is>
      </c>
      <c r="C172" s="16" t="n">
        <v>93.84</v>
      </c>
      <c r="D172" s="16" t="n">
        <v>346.67</v>
      </c>
      <c r="E172" s="16" t="n">
        <v>337.11</v>
      </c>
      <c r="F172" s="16" t="n">
        <v>350</v>
      </c>
      <c r="G172" s="16" t="n">
        <v>350</v>
      </c>
      <c r="H172" s="16">
        <f>G172-F172</f>
        <v/>
      </c>
      <c r="I172" s="14">
        <f>IF(F172=0,0,G172/F172-1)</f>
        <v/>
      </c>
    </row>
    <row r="173">
      <c r="A173" s="8" t="inlineStr">
        <is>
          <t>1000.0000.2220.56400.040</t>
        </is>
      </c>
      <c r="B173" s="8" t="inlineStr">
        <is>
          <t>Books</t>
        </is>
      </c>
      <c r="C173" s="16" t="n">
        <v>7578.05</v>
      </c>
      <c r="D173" s="16" t="n">
        <v>5610.86</v>
      </c>
      <c r="E173" s="16" t="n">
        <v>5731.69</v>
      </c>
      <c r="F173" s="16" t="n">
        <v>5754</v>
      </c>
      <c r="G173" s="16" t="n">
        <v>5544</v>
      </c>
      <c r="H173" s="16">
        <f>G173-F173</f>
        <v/>
      </c>
      <c r="I173" s="14">
        <f>IF(F173=0,0,G173/F173-1)</f>
        <v/>
      </c>
    </row>
    <row r="174">
      <c r="A174" s="9" t="n"/>
      <c r="B174" s="22" t="inlineStr">
        <is>
          <t>Program 0000 Total</t>
        </is>
      </c>
      <c r="C174" s="23">
        <f>SUM(C168:C173)</f>
        <v/>
      </c>
      <c r="D174" s="23">
        <f>SUM(D168:D173)</f>
        <v/>
      </c>
      <c r="E174" s="23">
        <f>SUM(E168:E173)</f>
        <v/>
      </c>
      <c r="F174" s="23">
        <f>SUM(F168:F173)</f>
        <v/>
      </c>
      <c r="G174" s="23">
        <f>SUM(G168:G173)</f>
        <v/>
      </c>
      <c r="H174" s="23">
        <f>SUM(H168:H173)</f>
        <v/>
      </c>
      <c r="I174" s="23">
        <f>SUM(I168:I173)</f>
        <v/>
      </c>
    </row>
    <row r="175">
      <c r="A175" s="9" t="n"/>
      <c r="B175" s="12" t="inlineStr">
        <is>
          <t>Cost Center ('040',) Total</t>
        </is>
      </c>
      <c r="C175" s="26">
        <f>C144+C152+C163+C167+C174</f>
        <v/>
      </c>
      <c r="D175" s="26">
        <f>D144+D152+D163+D167+D174</f>
        <v/>
      </c>
      <c r="E175" s="26">
        <f>E144+E152+E163+E167+E174</f>
        <v/>
      </c>
      <c r="F175" s="26">
        <f>F144+F152+F163+F167+F174</f>
        <v/>
      </c>
      <c r="G175" s="26">
        <f>G144+G152+G163+G167+G174</f>
        <v/>
      </c>
      <c r="H175" s="26">
        <f>H144+H152+H163+H167+H174</f>
        <v/>
      </c>
      <c r="I175" s="26">
        <f>I144+I152+I163+I167+I174</f>
        <v/>
      </c>
    </row>
    <row r="177">
      <c r="A177" s="3" t="inlineStr">
        <is>
          <t>Cost Center: ('050',)</t>
        </is>
      </c>
    </row>
    <row r="178">
      <c r="A178" s="8" t="inlineStr">
        <is>
          <t>1000.0000.2110.51010.050</t>
        </is>
      </c>
      <c r="B178" s="8" t="inlineStr">
        <is>
          <t>Social Worker Salaries</t>
        </is>
      </c>
      <c r="C178" s="16" t="n">
        <v>0</v>
      </c>
      <c r="D178" s="16" t="n">
        <v>42284.72</v>
      </c>
      <c r="E178" s="16" t="n">
        <v>47575.3</v>
      </c>
      <c r="F178" s="16" t="n">
        <v>51075</v>
      </c>
      <c r="G178" s="16" t="n">
        <v>53884</v>
      </c>
      <c r="H178" s="16">
        <f>G178-F178</f>
        <v/>
      </c>
      <c r="I178" s="14">
        <f>IF(F178=0,0,G178/F178-1)</f>
        <v/>
      </c>
    </row>
    <row r="179">
      <c r="A179" s="8" t="inlineStr">
        <is>
          <t>1000.0000.2110.52010.050</t>
        </is>
      </c>
      <c r="B179" s="8" t="inlineStr">
        <is>
          <t>Social Worker Benefits</t>
        </is>
      </c>
      <c r="C179" s="16" t="n">
        <v>0</v>
      </c>
      <c r="D179" s="16" t="n">
        <v>985.7</v>
      </c>
      <c r="E179" s="16" t="n">
        <v>1465.5</v>
      </c>
      <c r="F179" s="16" t="n">
        <v>3400</v>
      </c>
      <c r="G179" s="16" t="n">
        <v>3490</v>
      </c>
      <c r="H179" s="16">
        <f>G179-F179</f>
        <v/>
      </c>
      <c r="I179" s="14">
        <f>IF(F179=0,0,G179/F179-1)</f>
        <v/>
      </c>
    </row>
    <row r="180">
      <c r="A180" s="8" t="inlineStr">
        <is>
          <t>1000.0000.2110.52310.050</t>
        </is>
      </c>
      <c r="B180" s="8" t="inlineStr">
        <is>
          <t>Social Worker Retirement</t>
        </is>
      </c>
      <c r="C180" s="16" t="n">
        <v>0</v>
      </c>
      <c r="D180" s="16" t="n">
        <v>2180.96</v>
      </c>
      <c r="E180" s="16" t="n">
        <v>2437.62</v>
      </c>
      <c r="F180" s="16" t="n">
        <v>2283</v>
      </c>
      <c r="G180" s="16" t="n">
        <v>2409</v>
      </c>
      <c r="H180" s="16">
        <f>G180-F180</f>
        <v/>
      </c>
      <c r="I180" s="14">
        <f>IF(F180=0,0,G180/F180-1)</f>
        <v/>
      </c>
    </row>
    <row r="181">
      <c r="A181" s="9" t="n"/>
      <c r="B181" s="22" t="inlineStr">
        <is>
          <t>Program 0000 Total</t>
        </is>
      </c>
      <c r="C181" s="23">
        <f>SUM(C178:C180)</f>
        <v/>
      </c>
      <c r="D181" s="23">
        <f>SUM(D178:D180)</f>
        <v/>
      </c>
      <c r="E181" s="23">
        <f>SUM(E178:E180)</f>
        <v/>
      </c>
      <c r="F181" s="23">
        <f>SUM(F178:F180)</f>
        <v/>
      </c>
      <c r="G181" s="23">
        <f>SUM(G178:G180)</f>
        <v/>
      </c>
      <c r="H181" s="23">
        <f>SUM(H178:H180)</f>
        <v/>
      </c>
      <c r="I181" s="23">
        <f>SUM(I178:I180)</f>
        <v/>
      </c>
    </row>
    <row r="182">
      <c r="A182" s="8" t="inlineStr">
        <is>
          <t>1000.0000.2120.51010.050</t>
        </is>
      </c>
      <c r="B182" s="8" t="inlineStr">
        <is>
          <t>Guidance Salaries</t>
        </is>
      </c>
      <c r="C182" s="16" t="n">
        <v>98348.62</v>
      </c>
      <c r="D182" s="16" t="n">
        <v>84853.47</v>
      </c>
      <c r="E182" s="16" t="n">
        <v>90368.95</v>
      </c>
      <c r="F182" s="16" t="n">
        <v>95791</v>
      </c>
      <c r="G182" s="16" t="n">
        <v>101060</v>
      </c>
      <c r="H182" s="16">
        <f>G182-F182</f>
        <v/>
      </c>
      <c r="I182" s="14">
        <f>IF(F182=0,0,G182/F182-1)</f>
        <v/>
      </c>
    </row>
    <row r="183">
      <c r="A183" s="8" t="inlineStr">
        <is>
          <t>1000.0000.2120.52010.050</t>
        </is>
      </c>
      <c r="B183" s="8" t="inlineStr">
        <is>
          <t>Benefits</t>
        </is>
      </c>
      <c r="C183" s="16" t="n">
        <v>18672.66</v>
      </c>
      <c r="D183" s="16" t="n">
        <v>19156.21</v>
      </c>
      <c r="E183" s="16" t="n">
        <v>24454.18</v>
      </c>
      <c r="F183" s="16" t="n">
        <v>28178</v>
      </c>
      <c r="G183" s="16" t="n">
        <v>30221</v>
      </c>
      <c r="H183" s="16">
        <f>G183-F183</f>
        <v/>
      </c>
      <c r="I183" s="14">
        <f>IF(F183=0,0,G183/F183-1)</f>
        <v/>
      </c>
    </row>
    <row r="184">
      <c r="A184" s="8" t="inlineStr">
        <is>
          <t>1000.0000.2120.52310.050</t>
        </is>
      </c>
      <c r="B184" s="8" t="inlineStr">
        <is>
          <t>Retirement</t>
        </is>
      </c>
      <c r="C184" s="16" t="n">
        <v>3770.76</v>
      </c>
      <c r="D184" s="16" t="n">
        <v>3792.87</v>
      </c>
      <c r="E184" s="16" t="n">
        <v>4024.1</v>
      </c>
      <c r="F184" s="16" t="n">
        <v>4282</v>
      </c>
      <c r="G184" s="16" t="n">
        <v>4517</v>
      </c>
      <c r="H184" s="16">
        <f>G184-F184</f>
        <v/>
      </c>
      <c r="I184" s="14">
        <f>IF(F184=0,0,G184/F184-1)</f>
        <v/>
      </c>
    </row>
    <row r="185">
      <c r="A185" s="8" t="inlineStr">
        <is>
          <t>1000.0000.2120.53000.050</t>
        </is>
      </c>
      <c r="B185" s="8" t="inlineStr">
        <is>
          <t>Purchased Professional</t>
        </is>
      </c>
      <c r="C185" s="16" t="n">
        <v>226.5</v>
      </c>
      <c r="D185" s="16" t="n">
        <v>280.57</v>
      </c>
      <c r="E185" s="16" t="n">
        <v>0</v>
      </c>
      <c r="F185" s="16" t="n">
        <v>300</v>
      </c>
      <c r="G185" s="16" t="n">
        <v>300</v>
      </c>
      <c r="H185" s="16">
        <f>G185-F185</f>
        <v/>
      </c>
      <c r="I185" s="14">
        <f>IF(F185=0,0,G185/F185-1)</f>
        <v/>
      </c>
    </row>
    <row r="186">
      <c r="A186" s="8" t="inlineStr">
        <is>
          <t>1000.0000.2120.54330.050</t>
        </is>
      </c>
      <c r="B186" s="8" t="inlineStr">
        <is>
          <t>Software</t>
        </is>
      </c>
      <c r="C186" s="16" t="n">
        <v>333.35</v>
      </c>
      <c r="D186" s="16" t="n">
        <v>333.35</v>
      </c>
      <c r="E186" s="16" t="n">
        <v>275.33</v>
      </c>
      <c r="F186" s="16" t="n">
        <v>334</v>
      </c>
      <c r="G186" s="16" t="n">
        <v>334</v>
      </c>
      <c r="H186" s="16">
        <f>G186-F186</f>
        <v/>
      </c>
      <c r="I186" s="14">
        <f>IF(F186=0,0,G186/F186-1)</f>
        <v/>
      </c>
    </row>
    <row r="187">
      <c r="A187" s="8" t="inlineStr">
        <is>
          <t>1000.0000.2120.56100.050</t>
        </is>
      </c>
      <c r="B187" s="8" t="inlineStr">
        <is>
          <t>Instructional Supplies</t>
        </is>
      </c>
      <c r="C187" s="16" t="n">
        <v>793.2</v>
      </c>
      <c r="D187" s="16" t="n">
        <v>705.73</v>
      </c>
      <c r="E187" s="16" t="n">
        <v>338.49</v>
      </c>
      <c r="F187" s="16" t="n">
        <v>1100</v>
      </c>
      <c r="G187" s="16" t="n">
        <v>1100</v>
      </c>
      <c r="H187" s="16">
        <f>G187-F187</f>
        <v/>
      </c>
      <c r="I187" s="14">
        <f>IF(F187=0,0,G187/F187-1)</f>
        <v/>
      </c>
    </row>
    <row r="188">
      <c r="A188" s="8" t="inlineStr">
        <is>
          <t>1000.0000.2120.57300.050</t>
        </is>
      </c>
      <c r="B188" s="8" t="inlineStr">
        <is>
          <t>Equipment</t>
        </is>
      </c>
      <c r="C188" s="16" t="n">
        <v>426.27</v>
      </c>
      <c r="D188" s="16" t="n">
        <v>725.91</v>
      </c>
      <c r="E188" s="16" t="n">
        <v>0</v>
      </c>
      <c r="F188" s="16" t="n">
        <v>0</v>
      </c>
      <c r="G188" s="16" t="n">
        <v>0</v>
      </c>
      <c r="H188" s="16">
        <f>G188-F188</f>
        <v/>
      </c>
      <c r="I188" s="14">
        <f>IF(F188=0,0,G188/F188-1)</f>
        <v/>
      </c>
    </row>
    <row r="189">
      <c r="A189" s="9" t="n"/>
      <c r="B189" s="22" t="inlineStr">
        <is>
          <t>Program 0000 Total</t>
        </is>
      </c>
      <c r="C189" s="23">
        <f>SUM(C182:C188)</f>
        <v/>
      </c>
      <c r="D189" s="23">
        <f>SUM(D182:D188)</f>
        <v/>
      </c>
      <c r="E189" s="23">
        <f>SUM(E182:E188)</f>
        <v/>
      </c>
      <c r="F189" s="23">
        <f>SUM(F182:F188)</f>
        <v/>
      </c>
      <c r="G189" s="23">
        <f>SUM(G182:G188)</f>
        <v/>
      </c>
      <c r="H189" s="23">
        <f>SUM(H182:H188)</f>
        <v/>
      </c>
      <c r="I189" s="23">
        <f>SUM(I182:I188)</f>
        <v/>
      </c>
    </row>
    <row r="190">
      <c r="A190" s="8" t="inlineStr">
        <is>
          <t>1000.0000.2130.51010.050</t>
        </is>
      </c>
      <c r="B190" s="8" t="inlineStr">
        <is>
          <t>Nurse Salary</t>
        </is>
      </c>
      <c r="C190" s="16" t="n">
        <v>72464.92999999999</v>
      </c>
      <c r="D190" s="16" t="n">
        <v>75001.19</v>
      </c>
      <c r="E190" s="16" t="n">
        <v>85006.36</v>
      </c>
      <c r="F190" s="16" t="n">
        <v>91021</v>
      </c>
      <c r="G190" s="16" t="n">
        <v>97392</v>
      </c>
      <c r="H190" s="16">
        <f>G190-F190</f>
        <v/>
      </c>
      <c r="I190" s="14">
        <f>IF(F190=0,0,G190/F190-1)</f>
        <v/>
      </c>
    </row>
    <row r="191">
      <c r="A191" s="8" t="inlineStr">
        <is>
          <t>1000.0000.2130.51200.050</t>
        </is>
      </c>
      <c r="B191" s="8" t="inlineStr">
        <is>
          <t>Nurse Substitute - FMS</t>
        </is>
      </c>
      <c r="C191" s="16" t="n">
        <v>2244.85</v>
      </c>
      <c r="D191" s="16" t="n">
        <v>2800.12</v>
      </c>
      <c r="E191" s="16" t="n">
        <v>4943.62</v>
      </c>
      <c r="F191" s="16" t="n">
        <v>0</v>
      </c>
      <c r="G191" s="16" t="n">
        <v>0</v>
      </c>
      <c r="H191" s="16">
        <f>G191-F191</f>
        <v/>
      </c>
      <c r="I191" s="14">
        <f>IF(F191=0,0,G191/F191-1)</f>
        <v/>
      </c>
    </row>
    <row r="192">
      <c r="A192" s="8" t="inlineStr">
        <is>
          <t>1000.0000.2130.52000.050</t>
        </is>
      </c>
      <c r="B192" s="8" t="inlineStr">
        <is>
          <t>Employee Benefits</t>
        </is>
      </c>
      <c r="C192" s="16" t="n">
        <v>80.55</v>
      </c>
      <c r="D192" s="16" t="n">
        <v>204.47</v>
      </c>
      <c r="E192" s="16" t="n">
        <v>400.23</v>
      </c>
      <c r="F192" s="16" t="n">
        <v>0</v>
      </c>
      <c r="G192" s="16" t="n">
        <v>0</v>
      </c>
      <c r="H192" s="16">
        <f>G192-F192</f>
        <v/>
      </c>
      <c r="I192" s="14">
        <f>IF(F192=0,0,G192/F192-1)</f>
        <v/>
      </c>
    </row>
    <row r="193">
      <c r="A193" s="8" t="inlineStr">
        <is>
          <t>1000.0000.2130.52010.050</t>
        </is>
      </c>
      <c r="B193" s="8" t="inlineStr">
        <is>
          <t>Nurse Benefits</t>
        </is>
      </c>
      <c r="C193" s="16" t="n">
        <v>5306.19</v>
      </c>
      <c r="D193" s="16" t="n">
        <v>5302.51</v>
      </c>
      <c r="E193" s="16" t="n">
        <v>6036.97</v>
      </c>
      <c r="F193" s="16" t="n">
        <v>6440</v>
      </c>
      <c r="G193" s="16" t="n">
        <v>6646</v>
      </c>
      <c r="H193" s="16">
        <f>G193-F193</f>
        <v/>
      </c>
      <c r="I193" s="14">
        <f>IF(F193=0,0,G193/F193-1)</f>
        <v/>
      </c>
    </row>
    <row r="194">
      <c r="A194" s="8" t="inlineStr">
        <is>
          <t>1000.0000.2130.52300.050</t>
        </is>
      </c>
      <c r="B194" s="8" t="inlineStr">
        <is>
          <t>Retirement - Stipends</t>
        </is>
      </c>
      <c r="C194" s="16" t="n">
        <v>48.58</v>
      </c>
      <c r="D194" s="16" t="n">
        <v>13.45</v>
      </c>
      <c r="E194" s="16" t="n">
        <v>0</v>
      </c>
      <c r="F194" s="16" t="n">
        <v>0</v>
      </c>
      <c r="G194" s="16" t="n">
        <v>0</v>
      </c>
      <c r="H194" s="16">
        <f>G194-F194</f>
        <v/>
      </c>
      <c r="I194" s="14">
        <f>IF(F194=0,0,G194/F194-1)</f>
        <v/>
      </c>
    </row>
    <row r="195">
      <c r="A195" s="8" t="inlineStr">
        <is>
          <t>1000.0000.2130.52310.050</t>
        </is>
      </c>
      <c r="B195" s="8" t="inlineStr">
        <is>
          <t>Retirement</t>
        </is>
      </c>
      <c r="C195" s="16" t="n">
        <v>2782.78</v>
      </c>
      <c r="D195" s="16" t="n">
        <v>3352.45</v>
      </c>
      <c r="E195" s="16" t="n">
        <v>3785.49</v>
      </c>
      <c r="F195" s="16" t="n">
        <v>4069</v>
      </c>
      <c r="G195" s="16" t="n">
        <v>4353</v>
      </c>
      <c r="H195" s="16">
        <f>G195-F195</f>
        <v/>
      </c>
      <c r="I195" s="14">
        <f>IF(F195=0,0,G195/F195-1)</f>
        <v/>
      </c>
    </row>
    <row r="196">
      <c r="A196" s="8" t="inlineStr">
        <is>
          <t>1000.0000.2130.53000.050</t>
        </is>
      </c>
      <c r="B196" s="8" t="inlineStr">
        <is>
          <t>Purchased Professional</t>
        </is>
      </c>
      <c r="C196" s="16" t="n">
        <v>276.76</v>
      </c>
      <c r="D196" s="16" t="n">
        <v>259.78</v>
      </c>
      <c r="E196" s="16" t="n">
        <v>113.84</v>
      </c>
      <c r="F196" s="16" t="n">
        <v>300</v>
      </c>
      <c r="G196" s="16" t="n">
        <v>300</v>
      </c>
      <c r="H196" s="16">
        <f>G196-F196</f>
        <v/>
      </c>
      <c r="I196" s="14">
        <f>IF(F196=0,0,G196/F196-1)</f>
        <v/>
      </c>
    </row>
    <row r="197">
      <c r="A197" s="8" t="inlineStr">
        <is>
          <t>1000.0000.2130.56000.050</t>
        </is>
      </c>
      <c r="B197" s="8" t="inlineStr">
        <is>
          <t>Supplies</t>
        </is>
      </c>
      <c r="C197" s="16" t="n">
        <v>737.4400000000001</v>
      </c>
      <c r="D197" s="16" t="n">
        <v>841.02</v>
      </c>
      <c r="E197" s="16" t="n">
        <v>806.55</v>
      </c>
      <c r="F197" s="16" t="n">
        <v>994</v>
      </c>
      <c r="G197" s="16" t="n">
        <v>1224</v>
      </c>
      <c r="H197" s="16">
        <f>G197-F197</f>
        <v/>
      </c>
      <c r="I197" s="14">
        <f>IF(F197=0,0,G197/F197-1)</f>
        <v/>
      </c>
    </row>
    <row r="198">
      <c r="A198" s="8" t="inlineStr">
        <is>
          <t>1000.0000.2130.58100.050</t>
        </is>
      </c>
      <c r="B198" s="8" t="inlineStr">
        <is>
          <t>Dues &amp; Fees</t>
        </is>
      </c>
      <c r="C198" s="16" t="n">
        <v>0</v>
      </c>
      <c r="D198" s="16" t="n">
        <v>0</v>
      </c>
      <c r="E198" s="16" t="n">
        <v>150</v>
      </c>
      <c r="F198" s="16" t="n">
        <v>180</v>
      </c>
      <c r="G198" s="16" t="n">
        <v>180</v>
      </c>
      <c r="H198" s="16">
        <f>G198-F198</f>
        <v/>
      </c>
      <c r="I198" s="14">
        <f>IF(F198=0,0,G198/F198-1)</f>
        <v/>
      </c>
    </row>
    <row r="199">
      <c r="A199" s="9" t="n"/>
      <c r="B199" s="22" t="inlineStr">
        <is>
          <t>Program 0000 Total</t>
        </is>
      </c>
      <c r="C199" s="23">
        <f>SUM(C190:C198)</f>
        <v/>
      </c>
      <c r="D199" s="23">
        <f>SUM(D190:D198)</f>
        <v/>
      </c>
      <c r="E199" s="23">
        <f>SUM(E190:E198)</f>
        <v/>
      </c>
      <c r="F199" s="23">
        <f>SUM(F190:F198)</f>
        <v/>
      </c>
      <c r="G199" s="23">
        <f>SUM(G190:G198)</f>
        <v/>
      </c>
      <c r="H199" s="23">
        <f>SUM(H190:H198)</f>
        <v/>
      </c>
      <c r="I199" s="23">
        <f>SUM(I190:I198)</f>
        <v/>
      </c>
    </row>
    <row r="200">
      <c r="A200" s="8" t="inlineStr">
        <is>
          <t>1000.0000.2213.51500.050</t>
        </is>
      </c>
      <c r="B200" s="8" t="inlineStr">
        <is>
          <t>Stipends-Acad Leadership</t>
        </is>
      </c>
      <c r="C200" s="16" t="n">
        <v>28530</v>
      </c>
      <c r="D200" s="16" t="n">
        <v>30533.97</v>
      </c>
      <c r="E200" s="16" t="n">
        <v>26915.5</v>
      </c>
      <c r="F200" s="16" t="n">
        <v>28103</v>
      </c>
      <c r="G200" s="16" t="n">
        <v>28103</v>
      </c>
      <c r="H200" s="16">
        <f>G200-F200</f>
        <v/>
      </c>
      <c r="I200" s="14">
        <f>IF(F200=0,0,G200/F200-1)</f>
        <v/>
      </c>
    </row>
    <row r="201">
      <c r="A201" s="8" t="inlineStr">
        <is>
          <t>1000.0000.2213.52000.050</t>
        </is>
      </c>
      <c r="B201" s="8" t="inlineStr">
        <is>
          <t>Stipend Benefits - FMS</t>
        </is>
      </c>
      <c r="C201" s="16" t="n">
        <v>4630.26</v>
      </c>
      <c r="D201" s="16" t="n">
        <v>5052.7</v>
      </c>
      <c r="E201" s="16" t="n">
        <v>4874.18</v>
      </c>
      <c r="F201" s="16" t="n">
        <v>944</v>
      </c>
      <c r="G201" s="16" t="n">
        <v>944</v>
      </c>
      <c r="H201" s="16">
        <f>G201-F201</f>
        <v/>
      </c>
      <c r="I201" s="14">
        <f>IF(F201=0,0,G201/F201-1)</f>
        <v/>
      </c>
    </row>
    <row r="202">
      <c r="A202" s="8" t="inlineStr">
        <is>
          <t>1000.0000.2213.52300.050</t>
        </is>
      </c>
      <c r="B202" s="8" t="inlineStr">
        <is>
          <t>Stipend Retirement - FMS</t>
        </is>
      </c>
      <c r="C202" s="16" t="n">
        <v>1095.64</v>
      </c>
      <c r="D202" s="16" t="n">
        <v>1364.74</v>
      </c>
      <c r="E202" s="16" t="n">
        <v>1202.24</v>
      </c>
      <c r="F202" s="16" t="n">
        <v>1256</v>
      </c>
      <c r="G202" s="16" t="n">
        <v>1256</v>
      </c>
      <c r="H202" s="16">
        <f>G202-F202</f>
        <v/>
      </c>
      <c r="I202" s="14">
        <f>IF(F202=0,0,G202/F202-1)</f>
        <v/>
      </c>
    </row>
    <row r="203">
      <c r="A203" s="8" t="inlineStr">
        <is>
          <t>1000.0000.2213.52510.050</t>
        </is>
      </c>
      <c r="B203" s="8" t="inlineStr">
        <is>
          <t>Tuition</t>
        </is>
      </c>
      <c r="C203" s="16" t="n">
        <v>0</v>
      </c>
      <c r="D203" s="16" t="n">
        <v>0</v>
      </c>
      <c r="E203" s="16" t="n">
        <v>924.75</v>
      </c>
      <c r="F203" s="16" t="n">
        <v>0</v>
      </c>
      <c r="G203" s="16" t="n">
        <v>0</v>
      </c>
      <c r="H203" s="16">
        <f>G203-F203</f>
        <v/>
      </c>
      <c r="I203" s="14">
        <f>IF(F203=0,0,G203/F203-1)</f>
        <v/>
      </c>
    </row>
    <row r="204">
      <c r="A204" s="9" t="n"/>
      <c r="B204" s="22" t="inlineStr">
        <is>
          <t>Program 0000 Total</t>
        </is>
      </c>
      <c r="C204" s="23">
        <f>SUM(C200:C203)</f>
        <v/>
      </c>
      <c r="D204" s="23">
        <f>SUM(D200:D203)</f>
        <v/>
      </c>
      <c r="E204" s="23">
        <f>SUM(E200:E203)</f>
        <v/>
      </c>
      <c r="F204" s="23">
        <f>SUM(F200:F203)</f>
        <v/>
      </c>
      <c r="G204" s="23">
        <f>SUM(G200:G203)</f>
        <v/>
      </c>
      <c r="H204" s="23">
        <f>SUM(H200:H203)</f>
        <v/>
      </c>
      <c r="I204" s="23">
        <f>SUM(I200:I203)</f>
        <v/>
      </c>
    </row>
    <row r="205">
      <c r="A205" s="8" t="inlineStr">
        <is>
          <t>1000.0000.2220.51010.050</t>
        </is>
      </c>
      <c r="B205" s="8" t="inlineStr">
        <is>
          <t>Librarian Salaries</t>
        </is>
      </c>
      <c r="C205" s="16" t="n">
        <v>75696.16</v>
      </c>
      <c r="D205" s="16" t="n">
        <v>79381.14999999999</v>
      </c>
      <c r="E205" s="16" t="n">
        <v>85819.31</v>
      </c>
      <c r="F205" s="16" t="n">
        <v>91684</v>
      </c>
      <c r="G205" s="16" t="n">
        <v>104810</v>
      </c>
      <c r="H205" s="16">
        <f>G205-F205</f>
        <v/>
      </c>
      <c r="I205" s="14">
        <f>IF(F205=0,0,G205/F205-1)</f>
        <v/>
      </c>
    </row>
    <row r="206">
      <c r="A206" s="8" t="inlineStr">
        <is>
          <t>1000.0000.2220.51020.050</t>
        </is>
      </c>
      <c r="B206" s="8" t="inlineStr">
        <is>
          <t>Ed Tech Salaries</t>
        </is>
      </c>
      <c r="C206" s="16" t="n">
        <v>9170</v>
      </c>
      <c r="D206" s="16" t="n">
        <v>502.52</v>
      </c>
      <c r="E206" s="16" t="n">
        <v>0</v>
      </c>
      <c r="F206" s="16" t="n">
        <v>0</v>
      </c>
      <c r="G206" s="16" t="n">
        <v>0</v>
      </c>
      <c r="H206" s="16">
        <f>G206-F206</f>
        <v/>
      </c>
      <c r="I206" s="14">
        <f>IF(F206=0,0,G206/F206-1)</f>
        <v/>
      </c>
    </row>
    <row r="207">
      <c r="A207" s="8" t="inlineStr">
        <is>
          <t>1000.0000.2220.52010.050</t>
        </is>
      </c>
      <c r="B207" s="8" t="inlineStr">
        <is>
          <t>Librarian Benefits</t>
        </is>
      </c>
      <c r="C207" s="16" t="n">
        <v>17522.07</v>
      </c>
      <c r="D207" s="16" t="n">
        <v>18380.2</v>
      </c>
      <c r="E207" s="16" t="n">
        <v>31937.61</v>
      </c>
      <c r="F207" s="16" t="n">
        <v>28045</v>
      </c>
      <c r="G207" s="16" t="n">
        <v>30342</v>
      </c>
      <c r="H207" s="16">
        <f>G207-F207</f>
        <v/>
      </c>
      <c r="I207" s="14">
        <f>IF(F207=0,0,G207/F207-1)</f>
        <v/>
      </c>
    </row>
    <row r="208">
      <c r="A208" s="8" t="inlineStr">
        <is>
          <t>1000.0000.2220.52020.050</t>
        </is>
      </c>
      <c r="B208" s="8" t="inlineStr">
        <is>
          <t>Ed Tech Benefits</t>
        </is>
      </c>
      <c r="C208" s="16" t="n">
        <v>779.77</v>
      </c>
      <c r="D208" s="16" t="n">
        <v>7.83</v>
      </c>
      <c r="E208" s="16" t="n">
        <v>0</v>
      </c>
      <c r="F208" s="16" t="n">
        <v>0</v>
      </c>
      <c r="G208" s="16" t="n">
        <v>0</v>
      </c>
      <c r="H208" s="16">
        <f>G208-F208</f>
        <v/>
      </c>
      <c r="I208" s="14">
        <f>IF(F208=0,0,G208/F208-1)</f>
        <v/>
      </c>
    </row>
    <row r="209">
      <c r="A209" s="8" t="inlineStr">
        <is>
          <t>1000.0000.2220.52310.050</t>
        </is>
      </c>
      <c r="B209" s="8" t="inlineStr">
        <is>
          <t>Retirement</t>
        </is>
      </c>
      <c r="C209" s="16" t="n">
        <v>2906.77</v>
      </c>
      <c r="D209" s="16" t="n">
        <v>3548.37</v>
      </c>
      <c r="E209" s="16" t="n">
        <v>3821.6</v>
      </c>
      <c r="F209" s="16" t="n">
        <v>4098</v>
      </c>
      <c r="G209" s="16" t="n">
        <v>4685</v>
      </c>
      <c r="H209" s="16">
        <f>G209-F209</f>
        <v/>
      </c>
      <c r="I209" s="14">
        <f>IF(F209=0,0,G209/F209-1)</f>
        <v/>
      </c>
    </row>
    <row r="210">
      <c r="A210" s="8" t="inlineStr">
        <is>
          <t>1000.0000.2220.52320.050</t>
        </is>
      </c>
      <c r="B210" s="8" t="inlineStr">
        <is>
          <t>Retirement</t>
        </is>
      </c>
      <c r="C210" s="16" t="n">
        <v>115.8</v>
      </c>
      <c r="D210" s="16" t="n">
        <v>22.46</v>
      </c>
      <c r="E210" s="16" t="n">
        <v>0</v>
      </c>
      <c r="F210" s="16" t="n">
        <v>0</v>
      </c>
      <c r="G210" s="16" t="n">
        <v>0</v>
      </c>
      <c r="H210" s="16">
        <f>G210-F210</f>
        <v/>
      </c>
      <c r="I210" s="14">
        <f>IF(F210=0,0,G210/F210-1)</f>
        <v/>
      </c>
    </row>
    <row r="211">
      <c r="A211" s="8" t="inlineStr">
        <is>
          <t>1000.0000.2220.54330.050</t>
        </is>
      </c>
      <c r="B211" s="8" t="inlineStr">
        <is>
          <t>Software</t>
        </is>
      </c>
      <c r="C211" s="16" t="n">
        <v>1043</v>
      </c>
      <c r="D211" s="16" t="n">
        <v>1275.42</v>
      </c>
      <c r="E211" s="16" t="n">
        <v>1319.05</v>
      </c>
      <c r="F211" s="16" t="n">
        <v>1500</v>
      </c>
      <c r="G211" s="16" t="n">
        <v>1500</v>
      </c>
      <c r="H211" s="16">
        <f>G211-F211</f>
        <v/>
      </c>
      <c r="I211" s="14">
        <f>IF(F211=0,0,G211/F211-1)</f>
        <v/>
      </c>
    </row>
    <row r="212">
      <c r="A212" s="8" t="inlineStr">
        <is>
          <t>1000.0000.2220.56000.050</t>
        </is>
      </c>
      <c r="B212" s="8" t="inlineStr">
        <is>
          <t>Supplies</t>
        </is>
      </c>
      <c r="C212" s="16" t="n">
        <v>497.04</v>
      </c>
      <c r="D212" s="16" t="n">
        <v>0</v>
      </c>
      <c r="E212" s="16" t="n">
        <v>0</v>
      </c>
      <c r="F212" s="16" t="n">
        <v>0</v>
      </c>
      <c r="G212" s="16" t="n">
        <v>0</v>
      </c>
      <c r="H212" s="16">
        <f>G212-F212</f>
        <v/>
      </c>
      <c r="I212" s="14">
        <f>IF(F212=0,0,G212/F212-1)</f>
        <v/>
      </c>
    </row>
    <row r="213">
      <c r="A213" s="8" t="inlineStr">
        <is>
          <t>1000.0000.2220.56100.050</t>
        </is>
      </c>
      <c r="B213" s="8" t="inlineStr">
        <is>
          <t>Instructional Supplies</t>
        </is>
      </c>
      <c r="C213" s="16" t="n">
        <v>0</v>
      </c>
      <c r="D213" s="16" t="n">
        <v>464.68</v>
      </c>
      <c r="E213" s="16" t="n">
        <v>495.65</v>
      </c>
      <c r="F213" s="16" t="n">
        <v>500</v>
      </c>
      <c r="G213" s="16" t="n">
        <v>500</v>
      </c>
      <c r="H213" s="16">
        <f>G213-F213</f>
        <v/>
      </c>
      <c r="I213" s="14">
        <f>IF(F213=0,0,G213/F213-1)</f>
        <v/>
      </c>
    </row>
    <row r="214">
      <c r="A214" s="8" t="inlineStr">
        <is>
          <t>1000.0000.2220.56400.050</t>
        </is>
      </c>
      <c r="B214" s="8" t="inlineStr">
        <is>
          <t>Books</t>
        </is>
      </c>
      <c r="C214" s="16" t="n">
        <v>5832.57</v>
      </c>
      <c r="D214" s="16" t="n">
        <v>5886.29</v>
      </c>
      <c r="E214" s="16" t="n">
        <v>6362.19</v>
      </c>
      <c r="F214" s="16" t="n">
        <v>5964</v>
      </c>
      <c r="G214" s="16" t="n">
        <v>5964</v>
      </c>
      <c r="H214" s="16">
        <f>G214-F214</f>
        <v/>
      </c>
      <c r="I214" s="14">
        <f>IF(F214=0,0,G214/F214-1)</f>
        <v/>
      </c>
    </row>
    <row r="215">
      <c r="A215" s="9" t="n"/>
      <c r="B215" s="22" t="inlineStr">
        <is>
          <t>Program 0000 Total</t>
        </is>
      </c>
      <c r="C215" s="23">
        <f>SUM(C205:C214)</f>
        <v/>
      </c>
      <c r="D215" s="23">
        <f>SUM(D205:D214)</f>
        <v/>
      </c>
      <c r="E215" s="23">
        <f>SUM(E205:E214)</f>
        <v/>
      </c>
      <c r="F215" s="23">
        <f>SUM(F205:F214)</f>
        <v/>
      </c>
      <c r="G215" s="23">
        <f>SUM(G205:G214)</f>
        <v/>
      </c>
      <c r="H215" s="23">
        <f>SUM(H205:H214)</f>
        <v/>
      </c>
      <c r="I215" s="23">
        <f>SUM(I205:I214)</f>
        <v/>
      </c>
    </row>
    <row r="216">
      <c r="A216" s="8" t="inlineStr">
        <is>
          <t>1000.0000.2230.51010.050</t>
        </is>
      </c>
      <c r="B216" s="8" t="inlineStr">
        <is>
          <t>Teacher Salary</t>
        </is>
      </c>
      <c r="C216" s="16" t="n">
        <v>14511.95</v>
      </c>
      <c r="D216" s="16" t="n">
        <v>0</v>
      </c>
      <c r="E216" s="16" t="n">
        <v>0</v>
      </c>
      <c r="F216" s="16" t="n">
        <v>0</v>
      </c>
      <c r="G216" s="16" t="n">
        <v>0</v>
      </c>
      <c r="H216" s="16">
        <f>G216-F216</f>
        <v/>
      </c>
      <c r="I216" s="14">
        <f>IF(F216=0,0,G216/F216-1)</f>
        <v/>
      </c>
    </row>
    <row r="217">
      <c r="A217" s="8" t="inlineStr">
        <is>
          <t>1000.0000.2230.51500.050</t>
        </is>
      </c>
      <c r="B217" s="8" t="inlineStr">
        <is>
          <t>Stipends</t>
        </is>
      </c>
      <c r="C217" s="16" t="n">
        <v>1272</v>
      </c>
      <c r="D217" s="16" t="n">
        <v>1272</v>
      </c>
      <c r="E217" s="16" t="n">
        <v>1336</v>
      </c>
      <c r="F217" s="16" t="n">
        <v>4458</v>
      </c>
      <c r="G217" s="16" t="n">
        <v>4458</v>
      </c>
      <c r="H217" s="16">
        <f>G217-F217</f>
        <v/>
      </c>
      <c r="I217" s="14">
        <f>IF(F217=0,0,G217/F217-1)</f>
        <v/>
      </c>
    </row>
    <row r="218">
      <c r="A218" s="8" t="inlineStr">
        <is>
          <t>1000.0000.2230.52000.050</t>
        </is>
      </c>
      <c r="B218" s="8" t="inlineStr">
        <is>
          <t>Stipend Benefits</t>
        </is>
      </c>
      <c r="C218" s="16" t="n">
        <v>362.95</v>
      </c>
      <c r="D218" s="16" t="n">
        <v>213.52</v>
      </c>
      <c r="E218" s="16" t="n">
        <v>240.98</v>
      </c>
      <c r="F218" s="16" t="n">
        <v>150</v>
      </c>
      <c r="G218" s="16" t="n">
        <v>150</v>
      </c>
      <c r="H218" s="16">
        <f>G218-F218</f>
        <v/>
      </c>
      <c r="I218" s="14">
        <f>IF(F218=0,0,G218/F218-1)</f>
        <v/>
      </c>
    </row>
    <row r="219">
      <c r="A219" s="8" t="inlineStr">
        <is>
          <t>1000.0000.2230.52010.050</t>
        </is>
      </c>
      <c r="B219" s="8" t="inlineStr">
        <is>
          <t>Teacher Benefits</t>
        </is>
      </c>
      <c r="C219" s="16" t="n">
        <v>293.27</v>
      </c>
      <c r="D219" s="16" t="n">
        <v>0</v>
      </c>
      <c r="E219" s="16" t="n">
        <v>0</v>
      </c>
      <c r="F219" s="16" t="n">
        <v>0</v>
      </c>
      <c r="G219" s="16" t="n">
        <v>0</v>
      </c>
      <c r="H219" s="16">
        <f>G219-F219</f>
        <v/>
      </c>
      <c r="I219" s="14">
        <f>IF(F219=0,0,G219/F219-1)</f>
        <v/>
      </c>
    </row>
    <row r="220">
      <c r="A220" s="8" t="inlineStr">
        <is>
          <t>1000.0000.2230.52300.050</t>
        </is>
      </c>
      <c r="B220" s="8" t="inlineStr">
        <is>
          <t>Retirement</t>
        </is>
      </c>
      <c r="C220" s="16" t="n">
        <v>48.67</v>
      </c>
      <c r="D220" s="16" t="n">
        <v>56.86</v>
      </c>
      <c r="E220" s="16" t="n">
        <v>59.72</v>
      </c>
      <c r="F220" s="16" t="n">
        <v>199</v>
      </c>
      <c r="G220" s="16" t="n">
        <v>199</v>
      </c>
      <c r="H220" s="16">
        <f>G220-F220</f>
        <v/>
      </c>
      <c r="I220" s="14">
        <f>IF(F220=0,0,G220/F220-1)</f>
        <v/>
      </c>
    </row>
    <row r="221">
      <c r="A221" s="8" t="inlineStr">
        <is>
          <t>1000.0000.2230.52310.050</t>
        </is>
      </c>
      <c r="B221" s="8" t="inlineStr">
        <is>
          <t>Retirement</t>
        </is>
      </c>
      <c r="C221" s="16" t="n">
        <v>557.25</v>
      </c>
      <c r="D221" s="16" t="n">
        <v>0</v>
      </c>
      <c r="E221" s="16" t="n">
        <v>0</v>
      </c>
      <c r="F221" s="16" t="n">
        <v>0</v>
      </c>
      <c r="G221" s="16" t="n">
        <v>0</v>
      </c>
      <c r="H221" s="16">
        <f>G221-F221</f>
        <v/>
      </c>
      <c r="I221" s="14">
        <f>IF(F221=0,0,G221/F221-1)</f>
        <v/>
      </c>
    </row>
    <row r="222">
      <c r="A222" s="9" t="n"/>
      <c r="B222" s="22" t="inlineStr">
        <is>
          <t>Program 0000 Total</t>
        </is>
      </c>
      <c r="C222" s="23">
        <f>SUM(C216:C221)</f>
        <v/>
      </c>
      <c r="D222" s="23">
        <f>SUM(D216:D221)</f>
        <v/>
      </c>
      <c r="E222" s="23">
        <f>SUM(E216:E221)</f>
        <v/>
      </c>
      <c r="F222" s="23">
        <f>SUM(F216:F221)</f>
        <v/>
      </c>
      <c r="G222" s="23">
        <f>SUM(G216:G221)</f>
        <v/>
      </c>
      <c r="H222" s="23">
        <f>SUM(H216:H221)</f>
        <v/>
      </c>
      <c r="I222" s="23">
        <f>SUM(I216:I221)</f>
        <v/>
      </c>
    </row>
    <row r="223">
      <c r="A223" s="9" t="n"/>
      <c r="B223" s="12" t="inlineStr">
        <is>
          <t>Cost Center ('050',) Total</t>
        </is>
      </c>
      <c r="C223" s="26">
        <f>C181+C189+C199+C204+C215+C222</f>
        <v/>
      </c>
      <c r="D223" s="26">
        <f>D181+D189+D199+D204+D215+D222</f>
        <v/>
      </c>
      <c r="E223" s="26">
        <f>E181+E189+E199+E204+E215+E222</f>
        <v/>
      </c>
      <c r="F223" s="26">
        <f>F181+F189+F199+F204+F215+F222</f>
        <v/>
      </c>
      <c r="G223" s="26">
        <f>G181+G189+G199+G204+G215+G222</f>
        <v/>
      </c>
      <c r="H223" s="26">
        <f>H181+H189+H199+H204+H215+H222</f>
        <v/>
      </c>
      <c r="I223" s="26">
        <f>I181+I189+I199+I204+I215+I222</f>
        <v/>
      </c>
    </row>
    <row r="225">
      <c r="A225" s="3" t="inlineStr">
        <is>
          <t>Cost Center: ('300',)</t>
        </is>
      </c>
    </row>
    <row r="226">
      <c r="A226" s="8" t="inlineStr">
        <is>
          <t>1000.0000.2110.51010.300</t>
        </is>
      </c>
      <c r="B226" s="8" t="inlineStr">
        <is>
          <t>Teachers Salaries</t>
        </is>
      </c>
      <c r="C226" s="16" t="n">
        <v>12612.86</v>
      </c>
      <c r="D226" s="16" t="n">
        <v>84853.47</v>
      </c>
      <c r="E226" s="16" t="n">
        <v>77904.85000000001</v>
      </c>
      <c r="F226" s="16" t="n">
        <v>84967</v>
      </c>
      <c r="G226" s="16" t="n">
        <v>86947</v>
      </c>
      <c r="H226" s="16">
        <f>G226-F226</f>
        <v/>
      </c>
      <c r="I226" s="14">
        <f>IF(F226=0,0,G226/F226-1)</f>
        <v/>
      </c>
    </row>
    <row r="227">
      <c r="A227" s="8" t="inlineStr">
        <is>
          <t>1000.0000.2110.51500.300</t>
        </is>
      </c>
      <c r="B227" s="8" t="inlineStr">
        <is>
          <t>Student Support Team</t>
        </is>
      </c>
      <c r="C227" s="16" t="n">
        <v>6660</v>
      </c>
      <c r="D227" s="16" t="n">
        <v>6510</v>
      </c>
      <c r="E227" s="16" t="n">
        <v>6830</v>
      </c>
      <c r="F227" s="16" t="n">
        <v>0</v>
      </c>
      <c r="G227" s="16" t="n">
        <v>0</v>
      </c>
      <c r="H227" s="16">
        <f>G227-F227</f>
        <v/>
      </c>
      <c r="I227" s="14">
        <f>IF(F227=0,0,G227/F227-1)</f>
        <v/>
      </c>
    </row>
    <row r="228">
      <c r="A228" s="8" t="inlineStr">
        <is>
          <t>1000.0000.2110.52000.300</t>
        </is>
      </c>
      <c r="B228" s="8" t="inlineStr">
        <is>
          <t>Student Support Team</t>
        </is>
      </c>
      <c r="C228" s="16" t="n">
        <v>772.86</v>
      </c>
      <c r="D228" s="16" t="n">
        <v>977.21</v>
      </c>
      <c r="E228" s="16" t="n">
        <v>1193.9</v>
      </c>
      <c r="F228" s="16" t="n">
        <v>0</v>
      </c>
      <c r="G228" s="16" t="n">
        <v>0</v>
      </c>
      <c r="H228" s="16">
        <f>G228-F228</f>
        <v/>
      </c>
      <c r="I228" s="14">
        <f>IF(F228=0,0,G228/F228-1)</f>
        <v/>
      </c>
    </row>
    <row r="229">
      <c r="A229" s="8" t="inlineStr">
        <is>
          <t>1000.0000.2110.52010.300</t>
        </is>
      </c>
      <c r="B229" s="8" t="inlineStr">
        <is>
          <t>Teacher Benefits</t>
        </is>
      </c>
      <c r="C229" s="16" t="n">
        <v>1845.47</v>
      </c>
      <c r="D229" s="16" t="n">
        <v>19930.36</v>
      </c>
      <c r="E229" s="16" t="n">
        <v>24732.13</v>
      </c>
      <c r="F229" s="16" t="n">
        <v>27828</v>
      </c>
      <c r="G229" s="16" t="n">
        <v>29765</v>
      </c>
      <c r="H229" s="16">
        <f>G229-F229</f>
        <v/>
      </c>
      <c r="I229" s="14">
        <f>IF(F229=0,0,G229/F229-1)</f>
        <v/>
      </c>
    </row>
    <row r="230">
      <c r="A230" s="8" t="inlineStr">
        <is>
          <t>1000.0000.2110.52300.300</t>
        </is>
      </c>
      <c r="B230" s="8" t="inlineStr">
        <is>
          <t>Student Support Team</t>
        </is>
      </c>
      <c r="C230" s="16" t="n">
        <v>255.93</v>
      </c>
      <c r="D230" s="16" t="n">
        <v>295.39</v>
      </c>
      <c r="E230" s="16" t="n">
        <v>312.03</v>
      </c>
      <c r="F230" s="16" t="n">
        <v>0</v>
      </c>
      <c r="G230" s="16" t="n">
        <v>0</v>
      </c>
      <c r="H230" s="16">
        <f>G230-F230</f>
        <v/>
      </c>
      <c r="I230" s="14">
        <f>IF(F230=0,0,G230/F230-1)</f>
        <v/>
      </c>
    </row>
    <row r="231">
      <c r="A231" s="8" t="inlineStr">
        <is>
          <t>1000.0000.2110.52310.300</t>
        </is>
      </c>
      <c r="B231" s="8" t="inlineStr">
        <is>
          <t>Retirement</t>
        </is>
      </c>
      <c r="C231" s="16" t="n">
        <v>2362.39</v>
      </c>
      <c r="D231" s="16" t="n">
        <v>3792.88</v>
      </c>
      <c r="E231" s="16" t="n">
        <v>3469.24</v>
      </c>
      <c r="F231" s="16" t="n">
        <v>3798</v>
      </c>
      <c r="G231" s="16" t="n">
        <v>3887</v>
      </c>
      <c r="H231" s="16">
        <f>G231-F231</f>
        <v/>
      </c>
      <c r="I231" s="14">
        <f>IF(F231=0,0,G231/F231-1)</f>
        <v/>
      </c>
    </row>
    <row r="232">
      <c r="A232" s="9" t="n"/>
      <c r="B232" s="22" t="inlineStr">
        <is>
          <t>Program 0000 Total</t>
        </is>
      </c>
      <c r="C232" s="23">
        <f>SUM(C226:C231)</f>
        <v/>
      </c>
      <c r="D232" s="23">
        <f>SUM(D226:D231)</f>
        <v/>
      </c>
      <c r="E232" s="23">
        <f>SUM(E226:E231)</f>
        <v/>
      </c>
      <c r="F232" s="23">
        <f>SUM(F226:F231)</f>
        <v/>
      </c>
      <c r="G232" s="23">
        <f>SUM(G226:G231)</f>
        <v/>
      </c>
      <c r="H232" s="23">
        <f>SUM(H226:H231)</f>
        <v/>
      </c>
      <c r="I232" s="23">
        <f>SUM(I226:I231)</f>
        <v/>
      </c>
    </row>
    <row r="233">
      <c r="A233" s="8" t="inlineStr">
        <is>
          <t>1000.0000.2120.51010.300</t>
        </is>
      </c>
      <c r="B233" s="8" t="inlineStr">
        <is>
          <t>Counselor Salaries</t>
        </is>
      </c>
      <c r="C233" s="16" t="n">
        <v>258254.98</v>
      </c>
      <c r="D233" s="16" t="n">
        <v>226304.45</v>
      </c>
      <c r="E233" s="16" t="n">
        <v>249286.76</v>
      </c>
      <c r="F233" s="16" t="n">
        <v>264579</v>
      </c>
      <c r="G233" s="16" t="n">
        <v>285278</v>
      </c>
      <c r="H233" s="16">
        <f>G233-F233</f>
        <v/>
      </c>
      <c r="I233" s="14">
        <f>IF(F233=0,0,G233/F233-1)</f>
        <v/>
      </c>
    </row>
    <row r="234">
      <c r="A234" s="8" t="inlineStr">
        <is>
          <t>1000.0000.2120.51180.300</t>
        </is>
      </c>
      <c r="B234" s="8" t="inlineStr">
        <is>
          <t>Guidance Support Wages</t>
        </is>
      </c>
      <c r="C234" s="16" t="n">
        <v>36717.3</v>
      </c>
      <c r="D234" s="16" t="n">
        <v>65449.1</v>
      </c>
      <c r="E234" s="16" t="n">
        <v>65410.89</v>
      </c>
      <c r="F234" s="16" t="n">
        <v>69921</v>
      </c>
      <c r="G234" s="16" t="n">
        <v>64517</v>
      </c>
      <c r="H234" s="16">
        <f>G234-F234</f>
        <v/>
      </c>
      <c r="I234" s="14">
        <f>IF(F234=0,0,G234/F234-1)</f>
        <v/>
      </c>
    </row>
    <row r="235">
      <c r="A235" s="8" t="inlineStr">
        <is>
          <t>1000.0000.2120.52010.300</t>
        </is>
      </c>
      <c r="B235" s="8" t="inlineStr">
        <is>
          <t>Counselor Benefits</t>
        </is>
      </c>
      <c r="C235" s="16" t="n">
        <v>67664.84</v>
      </c>
      <c r="D235" s="16" t="n">
        <v>53659.91</v>
      </c>
      <c r="E235" s="16" t="n">
        <v>66775.62</v>
      </c>
      <c r="F235" s="16" t="n">
        <v>101077</v>
      </c>
      <c r="G235" s="16" t="n">
        <v>108676</v>
      </c>
      <c r="H235" s="16">
        <f>G235-F235</f>
        <v/>
      </c>
      <c r="I235" s="14">
        <f>IF(F235=0,0,G235/F235-1)</f>
        <v/>
      </c>
    </row>
    <row r="236">
      <c r="A236" s="8" t="inlineStr">
        <is>
          <t>1000.0000.2120.52080.300</t>
        </is>
      </c>
      <c r="B236" s="8" t="inlineStr">
        <is>
          <t>Support Benefits</t>
        </is>
      </c>
      <c r="C236" s="16" t="n">
        <v>9650.49</v>
      </c>
      <c r="D236" s="16" t="n">
        <v>16826.6</v>
      </c>
      <c r="E236" s="16" t="n">
        <v>18411.66</v>
      </c>
      <c r="F236" s="16" t="n">
        <v>31267</v>
      </c>
      <c r="G236" s="16" t="n">
        <v>35268</v>
      </c>
      <c r="H236" s="16">
        <f>G236-F236</f>
        <v/>
      </c>
      <c r="I236" s="14">
        <f>IF(F236=0,0,G236/F236-1)</f>
        <v/>
      </c>
    </row>
    <row r="237">
      <c r="A237" s="8" t="inlineStr">
        <is>
          <t>1000.0000.2120.52310.300</t>
        </is>
      </c>
      <c r="B237" s="8" t="inlineStr">
        <is>
          <t>Retirement</t>
        </is>
      </c>
      <c r="C237" s="16" t="n">
        <v>9847.15</v>
      </c>
      <c r="D237" s="16" t="n">
        <v>10197.05</v>
      </c>
      <c r="E237" s="16" t="n">
        <v>11103.36</v>
      </c>
      <c r="F237" s="16" t="n">
        <v>11827</v>
      </c>
      <c r="G237" s="16" t="n">
        <v>12752</v>
      </c>
      <c r="H237" s="16">
        <f>G237-F237</f>
        <v/>
      </c>
      <c r="I237" s="14">
        <f>IF(F237=0,0,G237/F237-1)</f>
        <v/>
      </c>
    </row>
    <row r="238">
      <c r="A238" s="8" t="inlineStr">
        <is>
          <t>1000.0000.2120.52380.300</t>
        </is>
      </c>
      <c r="B238" s="8" t="inlineStr">
        <is>
          <t>Retirement</t>
        </is>
      </c>
      <c r="C238" s="16" t="n">
        <v>0</v>
      </c>
      <c r="D238" s="16" t="n">
        <v>0</v>
      </c>
      <c r="E238" s="16" t="n">
        <v>0</v>
      </c>
      <c r="F238" s="16" t="n">
        <v>3496</v>
      </c>
      <c r="G238" s="16" t="n">
        <v>3484</v>
      </c>
      <c r="H238" s="16">
        <f>G238-F238</f>
        <v/>
      </c>
      <c r="I238" s="14">
        <f>IF(F238=0,0,G238/F238-1)</f>
        <v/>
      </c>
    </row>
    <row r="239">
      <c r="A239" s="8" t="inlineStr">
        <is>
          <t>1000.0000.2120.53000.300</t>
        </is>
      </c>
      <c r="B239" s="8" t="inlineStr">
        <is>
          <t>Purchased Professional</t>
        </is>
      </c>
      <c r="C239" s="16" t="n">
        <v>13457.5</v>
      </c>
      <c r="D239" s="16" t="n">
        <v>14882.59</v>
      </c>
      <c r="E239" s="16" t="n">
        <v>10961.32</v>
      </c>
      <c r="F239" s="16" t="n">
        <v>24602</v>
      </c>
      <c r="G239" s="16" t="n">
        <v>17686</v>
      </c>
      <c r="H239" s="16">
        <f>G239-F239</f>
        <v/>
      </c>
      <c r="I239" s="14">
        <f>IF(F239=0,0,G239/F239-1)</f>
        <v/>
      </c>
    </row>
    <row r="240">
      <c r="A240" s="8" t="inlineStr">
        <is>
          <t>1000.0000.2120.54330.300</t>
        </is>
      </c>
      <c r="B240" s="8" t="inlineStr">
        <is>
          <t>Software</t>
        </is>
      </c>
      <c r="C240" s="16" t="n">
        <v>333.33</v>
      </c>
      <c r="D240" s="16" t="n">
        <v>333.33</v>
      </c>
      <c r="E240" s="16" t="n">
        <v>275.35</v>
      </c>
      <c r="F240" s="16" t="n">
        <v>334</v>
      </c>
      <c r="G240" s="16" t="n">
        <v>500</v>
      </c>
      <c r="H240" s="16">
        <f>G240-F240</f>
        <v/>
      </c>
      <c r="I240" s="14">
        <f>IF(F240=0,0,G240/F240-1)</f>
        <v/>
      </c>
    </row>
    <row r="241">
      <c r="A241" s="8" t="inlineStr">
        <is>
          <t>1000.0000.2120.55810.300</t>
        </is>
      </c>
      <c r="B241" s="8" t="inlineStr">
        <is>
          <t>Travel</t>
        </is>
      </c>
      <c r="C241" s="16" t="n">
        <v>200</v>
      </c>
      <c r="D241" s="16" t="n">
        <v>348.4</v>
      </c>
      <c r="E241" s="16" t="n">
        <v>851.84</v>
      </c>
      <c r="F241" s="16" t="n">
        <v>900</v>
      </c>
      <c r="G241" s="16" t="n">
        <v>1200</v>
      </c>
      <c r="H241" s="16">
        <f>G241-F241</f>
        <v/>
      </c>
      <c r="I241" s="14">
        <f>IF(F241=0,0,G241/F241-1)</f>
        <v/>
      </c>
    </row>
    <row r="242">
      <c r="A242" s="8" t="inlineStr">
        <is>
          <t>1000.0000.2120.56100.300</t>
        </is>
      </c>
      <c r="B242" s="8" t="inlineStr">
        <is>
          <t>Instructional Supplies</t>
        </is>
      </c>
      <c r="C242" s="16" t="n">
        <v>543.01</v>
      </c>
      <c r="D242" s="16" t="n">
        <v>849.71</v>
      </c>
      <c r="E242" s="16" t="n">
        <v>574.7</v>
      </c>
      <c r="F242" s="16" t="n">
        <v>1750</v>
      </c>
      <c r="G242" s="16" t="n">
        <v>1750</v>
      </c>
      <c r="H242" s="16">
        <f>G242-F242</f>
        <v/>
      </c>
      <c r="I242" s="14">
        <f>IF(F242=0,0,G242/F242-1)</f>
        <v/>
      </c>
    </row>
    <row r="243">
      <c r="A243" s="8" t="inlineStr">
        <is>
          <t>1000.0000.2120.58100.300</t>
        </is>
      </c>
      <c r="B243" s="8" t="inlineStr">
        <is>
          <t>Dues &amp; Fees</t>
        </is>
      </c>
      <c r="C243" s="16" t="n">
        <v>0</v>
      </c>
      <c r="D243" s="16" t="n">
        <v>0</v>
      </c>
      <c r="E243" s="16" t="n">
        <v>0</v>
      </c>
      <c r="F243" s="16" t="n">
        <v>510</v>
      </c>
      <c r="G243" s="16" t="n">
        <v>510</v>
      </c>
      <c r="H243" s="16">
        <f>G243-F243</f>
        <v/>
      </c>
      <c r="I243" s="14">
        <f>IF(F243=0,0,G243/F243-1)</f>
        <v/>
      </c>
    </row>
    <row r="244">
      <c r="A244" s="9" t="n"/>
      <c r="B244" s="22" t="inlineStr">
        <is>
          <t>Program 0000 Total</t>
        </is>
      </c>
      <c r="C244" s="23">
        <f>SUM(C233:C243)</f>
        <v/>
      </c>
      <c r="D244" s="23">
        <f>SUM(D233:D243)</f>
        <v/>
      </c>
      <c r="E244" s="23">
        <f>SUM(E233:E243)</f>
        <v/>
      </c>
      <c r="F244" s="23">
        <f>SUM(F233:F243)</f>
        <v/>
      </c>
      <c r="G244" s="23">
        <f>SUM(G233:G243)</f>
        <v/>
      </c>
      <c r="H244" s="23">
        <f>SUM(H233:H243)</f>
        <v/>
      </c>
      <c r="I244" s="23">
        <f>SUM(I233:I243)</f>
        <v/>
      </c>
    </row>
    <row r="245">
      <c r="A245" s="8" t="inlineStr">
        <is>
          <t>1000.0000.2130.51010.300</t>
        </is>
      </c>
      <c r="B245" s="8" t="inlineStr">
        <is>
          <t>Nurse Salary</t>
        </is>
      </c>
      <c r="C245" s="16" t="n">
        <v>70172.49000000001</v>
      </c>
      <c r="D245" s="16" t="n">
        <v>73228.08</v>
      </c>
      <c r="E245" s="16" t="n">
        <v>84058.92999999999</v>
      </c>
      <c r="F245" s="16" t="n">
        <v>91021</v>
      </c>
      <c r="G245" s="16" t="n">
        <v>97392</v>
      </c>
      <c r="H245" s="16">
        <f>G245-F245</f>
        <v/>
      </c>
      <c r="I245" s="14">
        <f>IF(F245=0,0,G245/F245-1)</f>
        <v/>
      </c>
    </row>
    <row r="246">
      <c r="A246" s="8" t="inlineStr">
        <is>
          <t>1000.0000.2130.51200.300</t>
        </is>
      </c>
      <c r="B246" s="8" t="inlineStr">
        <is>
          <t>Nurse Substitute - FHS</t>
        </is>
      </c>
      <c r="C246" s="16" t="n">
        <v>0</v>
      </c>
      <c r="D246" s="16" t="n">
        <v>972.6900000000001</v>
      </c>
      <c r="E246" s="16" t="n">
        <v>4813.54</v>
      </c>
      <c r="F246" s="16" t="n">
        <v>0</v>
      </c>
      <c r="G246" s="16" t="n">
        <v>0</v>
      </c>
      <c r="H246" s="16">
        <f>G246-F246</f>
        <v/>
      </c>
      <c r="I246" s="14">
        <f>IF(F246=0,0,G246/F246-1)</f>
        <v/>
      </c>
    </row>
    <row r="247">
      <c r="A247" s="8" t="inlineStr">
        <is>
          <t>1000.0000.2130.52000.300</t>
        </is>
      </c>
      <c r="B247" s="8" t="inlineStr">
        <is>
          <t>Employee Benefits</t>
        </is>
      </c>
      <c r="C247" s="16" t="n">
        <v>0</v>
      </c>
      <c r="D247" s="16" t="n">
        <v>40.91</v>
      </c>
      <c r="E247" s="16" t="n">
        <v>430.95</v>
      </c>
      <c r="F247" s="16" t="n">
        <v>0</v>
      </c>
      <c r="G247" s="16" t="n">
        <v>0</v>
      </c>
      <c r="H247" s="16">
        <f>G247-F247</f>
        <v/>
      </c>
      <c r="I247" s="14">
        <f>IF(F247=0,0,G247/F247-1)</f>
        <v/>
      </c>
    </row>
    <row r="248">
      <c r="A248" s="8" t="inlineStr">
        <is>
          <t>1000.0000.2130.52010.300</t>
        </is>
      </c>
      <c r="B248" s="8" t="inlineStr">
        <is>
          <t>Nurses Benefits</t>
        </is>
      </c>
      <c r="C248" s="16" t="n">
        <v>18607.9</v>
      </c>
      <c r="D248" s="16" t="n">
        <v>19695.59</v>
      </c>
      <c r="E248" s="16" t="n">
        <v>24891.35</v>
      </c>
      <c r="F248" s="16" t="n">
        <v>28024</v>
      </c>
      <c r="G248" s="16" t="n">
        <v>30103</v>
      </c>
      <c r="H248" s="16">
        <f>G248-F248</f>
        <v/>
      </c>
      <c r="I248" s="14">
        <f>IF(F248=0,0,G248/F248-1)</f>
        <v/>
      </c>
    </row>
    <row r="249">
      <c r="A249" s="8" t="inlineStr">
        <is>
          <t>1000.0000.2130.52310.300</t>
        </is>
      </c>
      <c r="B249" s="8" t="inlineStr">
        <is>
          <t>Retirement</t>
        </is>
      </c>
      <c r="C249" s="16" t="n">
        <v>2694.74</v>
      </c>
      <c r="D249" s="16" t="n">
        <v>3273.4</v>
      </c>
      <c r="E249" s="16" t="n">
        <v>3743.28</v>
      </c>
      <c r="F249" s="16" t="n">
        <v>4069</v>
      </c>
      <c r="G249" s="16" t="n">
        <v>4353</v>
      </c>
      <c r="H249" s="16">
        <f>G249-F249</f>
        <v/>
      </c>
      <c r="I249" s="14">
        <f>IF(F249=0,0,G249/F249-1)</f>
        <v/>
      </c>
    </row>
    <row r="250">
      <c r="A250" s="8" t="inlineStr">
        <is>
          <t>1000.0000.2130.53000.300</t>
        </is>
      </c>
      <c r="B250" s="8" t="inlineStr">
        <is>
          <t>Purchased Professional</t>
        </is>
      </c>
      <c r="C250" s="16" t="n">
        <v>0</v>
      </c>
      <c r="D250" s="16" t="n">
        <v>245</v>
      </c>
      <c r="E250" s="16" t="n">
        <v>40</v>
      </c>
      <c r="F250" s="16" t="n">
        <v>300</v>
      </c>
      <c r="G250" s="16" t="n">
        <v>300</v>
      </c>
      <c r="H250" s="16">
        <f>G250-F250</f>
        <v/>
      </c>
      <c r="I250" s="14">
        <f>IF(F250=0,0,G250/F250-1)</f>
        <v/>
      </c>
    </row>
    <row r="251">
      <c r="A251" s="8" t="inlineStr">
        <is>
          <t>1000.0000.2130.55800.300</t>
        </is>
      </c>
      <c r="B251" s="8" t="inlineStr">
        <is>
          <t>Travel</t>
        </is>
      </c>
      <c r="C251" s="16" t="n">
        <v>0</v>
      </c>
      <c r="D251" s="16" t="n">
        <v>0</v>
      </c>
      <c r="E251" s="16" t="n">
        <v>33.77</v>
      </c>
      <c r="F251" s="16" t="n">
        <v>0</v>
      </c>
      <c r="G251" s="16" t="n">
        <v>0</v>
      </c>
      <c r="H251" s="16">
        <f>G251-F251</f>
        <v/>
      </c>
      <c r="I251" s="14">
        <f>IF(F251=0,0,G251/F251-1)</f>
        <v/>
      </c>
    </row>
    <row r="252">
      <c r="A252" s="8" t="inlineStr">
        <is>
          <t>1000.0000.2130.56000.300</t>
        </is>
      </c>
      <c r="B252" s="8" t="inlineStr">
        <is>
          <t>Supplies</t>
        </is>
      </c>
      <c r="C252" s="16" t="n">
        <v>1552.68</v>
      </c>
      <c r="D252" s="16" t="n">
        <v>1181.44</v>
      </c>
      <c r="E252" s="16" t="n">
        <v>1861.2</v>
      </c>
      <c r="F252" s="16" t="n">
        <v>2058</v>
      </c>
      <c r="G252" s="16" t="n">
        <v>2216</v>
      </c>
      <c r="H252" s="16">
        <f>G252-F252</f>
        <v/>
      </c>
      <c r="I252" s="14">
        <f>IF(F252=0,0,G252/F252-1)</f>
        <v/>
      </c>
    </row>
    <row r="253">
      <c r="A253" s="8" t="inlineStr">
        <is>
          <t>1000.0000.2130.58100.300</t>
        </is>
      </c>
      <c r="B253" s="8" t="inlineStr">
        <is>
          <t>Dues &amp; Fees</t>
        </is>
      </c>
      <c r="C253" s="16" t="n">
        <v>0</v>
      </c>
      <c r="D253" s="16" t="n">
        <v>0</v>
      </c>
      <c r="E253" s="16" t="n">
        <v>150</v>
      </c>
      <c r="F253" s="16" t="n">
        <v>180</v>
      </c>
      <c r="G253" s="16" t="n">
        <v>180</v>
      </c>
      <c r="H253" s="16">
        <f>G253-F253</f>
        <v/>
      </c>
      <c r="I253" s="14">
        <f>IF(F253=0,0,G253/F253-1)</f>
        <v/>
      </c>
    </row>
    <row r="254">
      <c r="A254" s="9" t="n"/>
      <c r="B254" s="22" t="inlineStr">
        <is>
          <t>Program 0000 Total</t>
        </is>
      </c>
      <c r="C254" s="23">
        <f>SUM(C245:C253)</f>
        <v/>
      </c>
      <c r="D254" s="23">
        <f>SUM(D245:D253)</f>
        <v/>
      </c>
      <c r="E254" s="23">
        <f>SUM(E245:E253)</f>
        <v/>
      </c>
      <c r="F254" s="23">
        <f>SUM(F245:F253)</f>
        <v/>
      </c>
      <c r="G254" s="23">
        <f>SUM(G245:G253)</f>
        <v/>
      </c>
      <c r="H254" s="23">
        <f>SUM(H245:H253)</f>
        <v/>
      </c>
      <c r="I254" s="23">
        <f>SUM(I245:I253)</f>
        <v/>
      </c>
    </row>
    <row r="255">
      <c r="A255" s="8" t="inlineStr">
        <is>
          <t>1000.0000.2213.51010.300</t>
        </is>
      </c>
      <c r="B255" s="8" t="inlineStr">
        <is>
          <t>9-12 HONORARIUM</t>
        </is>
      </c>
      <c r="C255" s="16" t="n">
        <v>8000.25</v>
      </c>
      <c r="D255" s="16" t="n">
        <v>5913</v>
      </c>
      <c r="E255" s="16" t="n">
        <v>9222.99</v>
      </c>
      <c r="F255" s="16" t="n">
        <v>1989</v>
      </c>
      <c r="G255" s="16" t="n">
        <v>2128</v>
      </c>
      <c r="H255" s="16">
        <f>G255-F255</f>
        <v/>
      </c>
      <c r="I255" s="14">
        <f>IF(F255=0,0,G255/F255-1)</f>
        <v/>
      </c>
    </row>
    <row r="256">
      <c r="A256" s="8" t="inlineStr">
        <is>
          <t>1000.0000.2213.51230.300</t>
        </is>
      </c>
      <c r="B256" s="8" t="inlineStr">
        <is>
          <t>Substitute Salaries</t>
        </is>
      </c>
      <c r="C256" s="16" t="n">
        <v>390</v>
      </c>
      <c r="D256" s="16" t="n">
        <v>0</v>
      </c>
      <c r="E256" s="16" t="n">
        <v>0</v>
      </c>
      <c r="F256" s="16" t="n">
        <v>0</v>
      </c>
      <c r="G256" s="16" t="n">
        <v>0</v>
      </c>
      <c r="H256" s="16">
        <f>G256-F256</f>
        <v/>
      </c>
      <c r="I256" s="14">
        <f>IF(F256=0,0,G256/F256-1)</f>
        <v/>
      </c>
    </row>
    <row r="257">
      <c r="A257" s="8" t="inlineStr">
        <is>
          <t>1000.0000.2213.51500.300</t>
        </is>
      </c>
      <c r="B257" s="8" t="inlineStr">
        <is>
          <t>Stipends-Acad Leadership</t>
        </is>
      </c>
      <c r="C257" s="16" t="n">
        <v>32517</v>
      </c>
      <c r="D257" s="16" t="n">
        <v>33489</v>
      </c>
      <c r="E257" s="16" t="n">
        <v>27545.5</v>
      </c>
      <c r="F257" s="16" t="n">
        <v>20530</v>
      </c>
      <c r="G257" s="16" t="n">
        <v>20530</v>
      </c>
      <c r="H257" s="16">
        <f>G257-F257</f>
        <v/>
      </c>
      <c r="I257" s="14">
        <f>IF(F257=0,0,G257/F257-1)</f>
        <v/>
      </c>
    </row>
    <row r="258">
      <c r="A258" s="8" t="inlineStr">
        <is>
          <t>1000.0000.2213.52000.300</t>
        </is>
      </c>
      <c r="B258" s="8" t="inlineStr">
        <is>
          <t>Stipend Benefits - FHS</t>
        </is>
      </c>
      <c r="C258" s="16" t="n">
        <v>4765.92</v>
      </c>
      <c r="D258" s="16" t="n">
        <v>5146.51</v>
      </c>
      <c r="E258" s="16" t="n">
        <v>4976.62</v>
      </c>
      <c r="F258" s="16" t="n">
        <v>690</v>
      </c>
      <c r="G258" s="16" t="n">
        <v>690</v>
      </c>
      <c r="H258" s="16">
        <f>G258-F258</f>
        <v/>
      </c>
      <c r="I258" s="14">
        <f>IF(F258=0,0,G258/F258-1)</f>
        <v/>
      </c>
    </row>
    <row r="259">
      <c r="A259" s="8" t="inlineStr">
        <is>
          <t>1000.0000.2213.52010.300</t>
        </is>
      </c>
      <c r="B259" s="8" t="inlineStr">
        <is>
          <t>9-12 HONORARIUM</t>
        </is>
      </c>
      <c r="C259" s="16" t="n">
        <v>1244.77</v>
      </c>
      <c r="D259" s="16" t="n">
        <v>1157.82</v>
      </c>
      <c r="E259" s="16" t="n">
        <v>1622.73</v>
      </c>
      <c r="F259" s="16" t="n">
        <v>67</v>
      </c>
      <c r="G259" s="16" t="n">
        <v>213</v>
      </c>
      <c r="H259" s="16">
        <f>G259-F259</f>
        <v/>
      </c>
      <c r="I259" s="14">
        <f>IF(F259=0,0,G259/F259-1)</f>
        <v/>
      </c>
    </row>
    <row r="260">
      <c r="A260" s="8" t="inlineStr">
        <is>
          <t>1000.0000.2213.52030.300</t>
        </is>
      </c>
      <c r="B260" s="8" t="inlineStr">
        <is>
          <t>Substitute Benefit</t>
        </is>
      </c>
      <c r="C260" s="16" t="n">
        <v>32.22</v>
      </c>
      <c r="D260" s="16" t="n">
        <v>0</v>
      </c>
      <c r="E260" s="16" t="n">
        <v>0</v>
      </c>
      <c r="F260" s="16" t="n">
        <v>0</v>
      </c>
      <c r="G260" s="16" t="n">
        <v>0</v>
      </c>
      <c r="H260" s="16">
        <f>G260-F260</f>
        <v/>
      </c>
      <c r="I260" s="14">
        <f>IF(F260=0,0,G260/F260-1)</f>
        <v/>
      </c>
    </row>
    <row r="261">
      <c r="A261" s="8" t="inlineStr">
        <is>
          <t>1000.0000.2213.52300.300</t>
        </is>
      </c>
      <c r="B261" s="8" t="inlineStr">
        <is>
          <t>Stipend Retirement - FHS</t>
        </is>
      </c>
      <c r="C261" s="16" t="n">
        <v>1248.56</v>
      </c>
      <c r="D261" s="16" t="n">
        <v>1497.03</v>
      </c>
      <c r="E261" s="16" t="n">
        <v>1229.56</v>
      </c>
      <c r="F261" s="16" t="n">
        <v>918</v>
      </c>
      <c r="G261" s="16" t="n">
        <v>918</v>
      </c>
      <c r="H261" s="16">
        <f>G261-F261</f>
        <v/>
      </c>
      <c r="I261" s="14">
        <f>IF(F261=0,0,G261/F261-1)</f>
        <v/>
      </c>
    </row>
    <row r="262">
      <c r="A262" s="8" t="inlineStr">
        <is>
          <t>1000.0000.2213.52310.300</t>
        </is>
      </c>
      <c r="B262" s="8" t="inlineStr">
        <is>
          <t>9-12 HONORARIUM</t>
        </is>
      </c>
      <c r="C262" s="16" t="n">
        <v>306.17</v>
      </c>
      <c r="D262" s="16" t="n">
        <v>264.32</v>
      </c>
      <c r="E262" s="16" t="n">
        <v>421.46</v>
      </c>
      <c r="F262" s="16" t="n">
        <v>89</v>
      </c>
      <c r="G262" s="16" t="n">
        <v>95</v>
      </c>
      <c r="H262" s="16">
        <f>G262-F262</f>
        <v/>
      </c>
      <c r="I262" s="14">
        <f>IF(F262=0,0,G262/F262-1)</f>
        <v/>
      </c>
    </row>
    <row r="263">
      <c r="A263" s="8" t="inlineStr">
        <is>
          <t>1000.0000.2213.52510.300</t>
        </is>
      </c>
      <c r="B263" s="8" t="inlineStr">
        <is>
          <t>Tuition</t>
        </is>
      </c>
      <c r="C263" s="16" t="n">
        <v>19634.98</v>
      </c>
      <c r="D263" s="16" t="n">
        <v>17445</v>
      </c>
      <c r="E263" s="16" t="n">
        <v>11455</v>
      </c>
      <c r="F263" s="16" t="n">
        <v>20000</v>
      </c>
      <c r="G263" s="16" t="n">
        <v>20000</v>
      </c>
      <c r="H263" s="16">
        <f>G263-F263</f>
        <v/>
      </c>
      <c r="I263" s="14">
        <f>IF(F263=0,0,G263/F263-1)</f>
        <v/>
      </c>
    </row>
    <row r="264">
      <c r="A264" s="8" t="inlineStr">
        <is>
          <t>1000.0000.2213.52520.300</t>
        </is>
      </c>
      <c r="B264" s="8" t="inlineStr">
        <is>
          <t>Tuition</t>
        </is>
      </c>
      <c r="C264" s="16" t="n">
        <v>0</v>
      </c>
      <c r="D264" s="16" t="n">
        <v>0</v>
      </c>
      <c r="E264" s="16" t="n">
        <v>0</v>
      </c>
      <c r="F264" s="16" t="n">
        <v>1500</v>
      </c>
      <c r="G264" s="16" t="n">
        <v>1500</v>
      </c>
      <c r="H264" s="16">
        <f>G264-F264</f>
        <v/>
      </c>
      <c r="I264" s="14">
        <f>IF(F264=0,0,G264/F264-1)</f>
        <v/>
      </c>
    </row>
    <row r="265">
      <c r="A265" s="8" t="inlineStr">
        <is>
          <t>1000.0000.2213.53000.300</t>
        </is>
      </c>
      <c r="B265" s="8" t="inlineStr">
        <is>
          <t>Purchased Professional</t>
        </is>
      </c>
      <c r="C265" s="16" t="n">
        <v>16178.07</v>
      </c>
      <c r="D265" s="16" t="n">
        <v>14679.93</v>
      </c>
      <c r="E265" s="16" t="n">
        <v>28432</v>
      </c>
      <c r="F265" s="16" t="n">
        <v>35400</v>
      </c>
      <c r="G265" s="16" t="n">
        <v>35400</v>
      </c>
      <c r="H265" s="16">
        <f>G265-F265</f>
        <v/>
      </c>
      <c r="I265" s="14">
        <f>IF(F265=0,0,G265/F265-1)</f>
        <v/>
      </c>
    </row>
    <row r="266">
      <c r="A266" s="8" t="inlineStr">
        <is>
          <t>1000.0000.2213.55000.300</t>
        </is>
      </c>
      <c r="B266" s="8" t="inlineStr">
        <is>
          <t>Other Purchased Services</t>
        </is>
      </c>
      <c r="C266" s="16" t="n">
        <v>0</v>
      </c>
      <c r="D266" s="16" t="n">
        <v>0</v>
      </c>
      <c r="E266" s="16" t="n">
        <v>150</v>
      </c>
      <c r="F266" s="16" t="n">
        <v>1000</v>
      </c>
      <c r="G266" s="16" t="n">
        <v>0</v>
      </c>
      <c r="H266" s="16">
        <f>G266-F266</f>
        <v/>
      </c>
      <c r="I266" s="14">
        <f>IF(F266=0,0,G266/F266-1)</f>
        <v/>
      </c>
    </row>
    <row r="267">
      <c r="A267" s="8" t="inlineStr">
        <is>
          <t>1000.0000.2213.55810.300</t>
        </is>
      </c>
      <c r="B267" s="8" t="inlineStr">
        <is>
          <t>Travel</t>
        </is>
      </c>
      <c r="C267" s="16" t="n">
        <v>729.84</v>
      </c>
      <c r="D267" s="16" t="n">
        <v>0</v>
      </c>
      <c r="E267" s="16" t="n">
        <v>123.35</v>
      </c>
      <c r="F267" s="16" t="n">
        <v>1000</v>
      </c>
      <c r="G267" s="16" t="n">
        <v>0</v>
      </c>
      <c r="H267" s="16">
        <f>G267-F267</f>
        <v/>
      </c>
      <c r="I267" s="14">
        <f>IF(F267=0,0,G267/F267-1)</f>
        <v/>
      </c>
    </row>
    <row r="268">
      <c r="A268" s="9" t="n"/>
      <c r="B268" s="22" t="inlineStr">
        <is>
          <t>Program 0000 Total</t>
        </is>
      </c>
      <c r="C268" s="23">
        <f>SUM(C255:C267)</f>
        <v/>
      </c>
      <c r="D268" s="23">
        <f>SUM(D255:D267)</f>
        <v/>
      </c>
      <c r="E268" s="23">
        <f>SUM(E255:E267)</f>
        <v/>
      </c>
      <c r="F268" s="23">
        <f>SUM(F255:F267)</f>
        <v/>
      </c>
      <c r="G268" s="23">
        <f>SUM(G255:G267)</f>
        <v/>
      </c>
      <c r="H268" s="23">
        <f>SUM(H255:H267)</f>
        <v/>
      </c>
      <c r="I268" s="23">
        <f>SUM(I255:I267)</f>
        <v/>
      </c>
    </row>
    <row r="269">
      <c r="A269" s="8" t="inlineStr">
        <is>
          <t>1000.0000.2220.51010.300</t>
        </is>
      </c>
      <c r="B269" s="8" t="inlineStr">
        <is>
          <t>Librarian Salary</t>
        </is>
      </c>
      <c r="C269" s="16" t="n">
        <v>81340.92</v>
      </c>
      <c r="D269" s="16" t="n">
        <v>85303.47</v>
      </c>
      <c r="E269" s="16" t="n">
        <v>90368.95</v>
      </c>
      <c r="F269" s="16" t="n">
        <v>95791</v>
      </c>
      <c r="G269" s="16" t="n">
        <v>101060</v>
      </c>
      <c r="H269" s="16">
        <f>G269-F269</f>
        <v/>
      </c>
      <c r="I269" s="14">
        <f>IF(F269=0,0,G269/F269-1)</f>
        <v/>
      </c>
    </row>
    <row r="270">
      <c r="A270" s="8" t="inlineStr">
        <is>
          <t>1000.0000.2220.51020.300</t>
        </is>
      </c>
      <c r="B270" s="8" t="inlineStr">
        <is>
          <t>Ed Tech Salaries</t>
        </is>
      </c>
      <c r="C270" s="16" t="n">
        <v>15249.98</v>
      </c>
      <c r="D270" s="16" t="n">
        <v>24957.6</v>
      </c>
      <c r="E270" s="16" t="n">
        <v>3081.98</v>
      </c>
      <c r="F270" s="16" t="n">
        <v>31142</v>
      </c>
      <c r="G270" s="16" t="n">
        <v>0</v>
      </c>
      <c r="H270" s="16">
        <f>G270-F270</f>
        <v/>
      </c>
      <c r="I270" s="14">
        <f>IF(F270=0,0,G270/F270-1)</f>
        <v/>
      </c>
    </row>
    <row r="271">
      <c r="A271" s="8" t="inlineStr">
        <is>
          <t>1000.0000.2220.52010.300</t>
        </is>
      </c>
      <c r="B271" s="8" t="inlineStr">
        <is>
          <t>Librarian Benefits</t>
        </is>
      </c>
      <c r="C271" s="16" t="n">
        <v>11262.31</v>
      </c>
      <c r="D271" s="16" t="n">
        <v>10830.09</v>
      </c>
      <c r="E271" s="16" t="n">
        <v>12103.73</v>
      </c>
      <c r="F271" s="16" t="n">
        <v>14060</v>
      </c>
      <c r="G271" s="16" t="n">
        <v>15032</v>
      </c>
      <c r="H271" s="16">
        <f>G271-F271</f>
        <v/>
      </c>
      <c r="I271" s="14">
        <f>IF(F271=0,0,G271/F271-1)</f>
        <v/>
      </c>
    </row>
    <row r="272">
      <c r="A272" s="8" t="inlineStr">
        <is>
          <t>1000.0000.2220.52020.300</t>
        </is>
      </c>
      <c r="B272" s="8" t="inlineStr">
        <is>
          <t>Ed Tech Benefits</t>
        </is>
      </c>
      <c r="C272" s="16" t="n">
        <v>1496.09</v>
      </c>
      <c r="D272" s="16" t="n">
        <v>7909.43</v>
      </c>
      <c r="E272" s="16" t="n">
        <v>3272.26</v>
      </c>
      <c r="F272" s="16" t="n">
        <v>11972</v>
      </c>
      <c r="G272" s="16" t="n">
        <v>0</v>
      </c>
      <c r="H272" s="16">
        <f>G272-F272</f>
        <v/>
      </c>
      <c r="I272" s="14">
        <f>IF(F272=0,0,G272/F272-1)</f>
        <v/>
      </c>
    </row>
    <row r="273">
      <c r="A273" s="8" t="inlineStr">
        <is>
          <t>1000.0000.2220.52310.300</t>
        </is>
      </c>
      <c r="B273" s="8" t="inlineStr">
        <is>
          <t>Retirement</t>
        </is>
      </c>
      <c r="C273" s="16" t="n">
        <v>3123.4</v>
      </c>
      <c r="D273" s="16" t="n">
        <v>3813.01</v>
      </c>
      <c r="E273" s="16" t="n">
        <v>4024.08</v>
      </c>
      <c r="F273" s="16" t="n">
        <v>4282</v>
      </c>
      <c r="G273" s="16" t="n">
        <v>4517</v>
      </c>
      <c r="H273" s="16">
        <f>G273-F273</f>
        <v/>
      </c>
      <c r="I273" s="14">
        <f>IF(F273=0,0,G273/F273-1)</f>
        <v/>
      </c>
    </row>
    <row r="274">
      <c r="A274" s="8" t="inlineStr">
        <is>
          <t>1000.0000.2220.52320.300</t>
        </is>
      </c>
      <c r="B274" s="8" t="inlineStr">
        <is>
          <t>Retirement</t>
        </is>
      </c>
      <c r="C274" s="16" t="n">
        <v>141.66</v>
      </c>
      <c r="D274" s="16" t="n">
        <v>1037.37</v>
      </c>
      <c r="E274" s="16" t="n">
        <v>137.79</v>
      </c>
      <c r="F274" s="16" t="n">
        <v>1392</v>
      </c>
      <c r="G274" s="16" t="n">
        <v>0</v>
      </c>
      <c r="H274" s="16">
        <f>G274-F274</f>
        <v/>
      </c>
      <c r="I274" s="14">
        <f>IF(F274=0,0,G274/F274-1)</f>
        <v/>
      </c>
    </row>
    <row r="275">
      <c r="A275" s="8" t="inlineStr">
        <is>
          <t>1000.0000.2220.54330.300</t>
        </is>
      </c>
      <c r="B275" s="8" t="inlineStr">
        <is>
          <t>Software</t>
        </is>
      </c>
      <c r="C275" s="16" t="n">
        <v>1128.63</v>
      </c>
      <c r="D275" s="16" t="n">
        <v>1275.42</v>
      </c>
      <c r="E275" s="16" t="n">
        <v>1319.05</v>
      </c>
      <c r="F275" s="16" t="n">
        <v>1500</v>
      </c>
      <c r="G275" s="16" t="n">
        <v>1500</v>
      </c>
      <c r="H275" s="16">
        <f>G275-F275</f>
        <v/>
      </c>
      <c r="I275" s="14">
        <f>IF(F275=0,0,G275/F275-1)</f>
        <v/>
      </c>
    </row>
    <row r="276">
      <c r="A276" s="8" t="inlineStr">
        <is>
          <t>1000.0000.2220.56000.300</t>
        </is>
      </c>
      <c r="B276" s="8" t="inlineStr">
        <is>
          <t>Supplies</t>
        </is>
      </c>
      <c r="C276" s="16" t="n">
        <v>1231.39</v>
      </c>
      <c r="D276" s="16" t="n">
        <v>0</v>
      </c>
      <c r="E276" s="16" t="n">
        <v>17.5</v>
      </c>
      <c r="F276" s="16" t="n">
        <v>0</v>
      </c>
      <c r="G276" s="16" t="n">
        <v>0</v>
      </c>
      <c r="H276" s="16">
        <f>G276-F276</f>
        <v/>
      </c>
      <c r="I276" s="14">
        <f>IF(F276=0,0,G276/F276-1)</f>
        <v/>
      </c>
    </row>
    <row r="277">
      <c r="A277" s="8" t="inlineStr">
        <is>
          <t>1000.0000.2220.56100.300</t>
        </is>
      </c>
      <c r="B277" s="8" t="inlineStr">
        <is>
          <t>Instructional Supplies</t>
        </is>
      </c>
      <c r="C277" s="16" t="n">
        <v>0</v>
      </c>
      <c r="D277" s="16" t="n">
        <v>1340.75</v>
      </c>
      <c r="E277" s="16" t="n">
        <v>1261.82</v>
      </c>
      <c r="F277" s="16" t="n">
        <v>990</v>
      </c>
      <c r="G277" s="16" t="n">
        <v>1490</v>
      </c>
      <c r="H277" s="16">
        <f>G277-F277</f>
        <v/>
      </c>
      <c r="I277" s="14">
        <f>IF(F277=0,0,G277/F277-1)</f>
        <v/>
      </c>
    </row>
    <row r="278">
      <c r="A278" s="8" t="inlineStr">
        <is>
          <t>1000.0000.2220.56400.300</t>
        </is>
      </c>
      <c r="B278" s="8" t="inlineStr">
        <is>
          <t>Books</t>
        </is>
      </c>
      <c r="C278" s="16" t="n">
        <v>11336.8</v>
      </c>
      <c r="D278" s="16" t="n">
        <v>12639.73</v>
      </c>
      <c r="E278" s="16" t="n">
        <v>13359.46</v>
      </c>
      <c r="F278" s="16" t="n">
        <v>14147</v>
      </c>
      <c r="G278" s="16" t="n">
        <v>12933</v>
      </c>
      <c r="H278" s="16">
        <f>G278-F278</f>
        <v/>
      </c>
      <c r="I278" s="14">
        <f>IF(F278=0,0,G278/F278-1)</f>
        <v/>
      </c>
    </row>
    <row r="279">
      <c r="A279" s="9" t="n"/>
      <c r="B279" s="22" t="inlineStr">
        <is>
          <t>Program 0000 Total</t>
        </is>
      </c>
      <c r="C279" s="23">
        <f>SUM(C269:C278)</f>
        <v/>
      </c>
      <c r="D279" s="23">
        <f>SUM(D269:D278)</f>
        <v/>
      </c>
      <c r="E279" s="23">
        <f>SUM(E269:E278)</f>
        <v/>
      </c>
      <c r="F279" s="23">
        <f>SUM(F269:F278)</f>
        <v/>
      </c>
      <c r="G279" s="23">
        <f>SUM(G269:G278)</f>
        <v/>
      </c>
      <c r="H279" s="23">
        <f>SUM(H269:H278)</f>
        <v/>
      </c>
      <c r="I279" s="23">
        <f>SUM(I269:I278)</f>
        <v/>
      </c>
    </row>
    <row r="280">
      <c r="A280" s="8" t="inlineStr">
        <is>
          <t>1000.0000.2230.51010.300</t>
        </is>
      </c>
      <c r="B280" s="8" t="inlineStr">
        <is>
          <t>Teacher Salaries</t>
        </is>
      </c>
      <c r="C280" s="16" t="n">
        <v>795</v>
      </c>
      <c r="D280" s="16" t="n">
        <v>0</v>
      </c>
      <c r="E280" s="16" t="n">
        <v>0</v>
      </c>
      <c r="F280" s="16" t="n">
        <v>0</v>
      </c>
      <c r="G280" s="16" t="n">
        <v>0</v>
      </c>
      <c r="H280" s="16">
        <f>G280-F280</f>
        <v/>
      </c>
      <c r="I280" s="14">
        <f>IF(F280=0,0,G280/F280-1)</f>
        <v/>
      </c>
    </row>
    <row r="281">
      <c r="A281" s="8" t="inlineStr">
        <is>
          <t>1000.0000.2230.52010.300</t>
        </is>
      </c>
      <c r="B281" s="8" t="inlineStr">
        <is>
          <t>Teacher Benefits</t>
        </is>
      </c>
      <c r="C281" s="16" t="n">
        <v>106.61</v>
      </c>
      <c r="D281" s="16" t="n">
        <v>0</v>
      </c>
      <c r="E281" s="16" t="n">
        <v>0</v>
      </c>
      <c r="F281" s="16" t="n">
        <v>0</v>
      </c>
      <c r="G281" s="16" t="n">
        <v>0</v>
      </c>
      <c r="H281" s="16">
        <f>G281-F281</f>
        <v/>
      </c>
      <c r="I281" s="14">
        <f>IF(F281=0,0,G281/F281-1)</f>
        <v/>
      </c>
    </row>
    <row r="282">
      <c r="A282" s="8" t="inlineStr">
        <is>
          <t>1000.0000.2230.52310.300</t>
        </is>
      </c>
      <c r="B282" s="8" t="inlineStr">
        <is>
          <t>Retirement</t>
        </is>
      </c>
      <c r="C282" s="16" t="n">
        <v>30.53</v>
      </c>
      <c r="D282" s="16" t="n">
        <v>0</v>
      </c>
      <c r="E282" s="16" t="n">
        <v>0</v>
      </c>
      <c r="F282" s="16" t="n">
        <v>0</v>
      </c>
      <c r="G282" s="16" t="n">
        <v>0</v>
      </c>
      <c r="H282" s="16">
        <f>G282-F282</f>
        <v/>
      </c>
      <c r="I282" s="14">
        <f>IF(F282=0,0,G282/F282-1)</f>
        <v/>
      </c>
    </row>
    <row r="283">
      <c r="A283" s="9" t="n"/>
      <c r="B283" s="22" t="inlineStr">
        <is>
          <t>Program 0000 Total</t>
        </is>
      </c>
      <c r="C283" s="23">
        <f>SUM(C280:C282)</f>
        <v/>
      </c>
      <c r="D283" s="23">
        <f>SUM(D280:D282)</f>
        <v/>
      </c>
      <c r="E283" s="23">
        <f>SUM(E280:E282)</f>
        <v/>
      </c>
      <c r="F283" s="23">
        <f>SUM(F280:F282)</f>
        <v/>
      </c>
      <c r="G283" s="23">
        <f>SUM(G280:G282)</f>
        <v/>
      </c>
      <c r="H283" s="23">
        <f>SUM(H280:H282)</f>
        <v/>
      </c>
      <c r="I283" s="23">
        <f>SUM(I280:I282)</f>
        <v/>
      </c>
    </row>
    <row r="284">
      <c r="A284" s="8" t="inlineStr">
        <is>
          <t>1000.0000.2290.51060.300</t>
        </is>
      </c>
      <c r="B284" s="8" t="inlineStr">
        <is>
          <t>Outreach Coordinator</t>
        </is>
      </c>
      <c r="C284" s="16" t="n">
        <v>60612</v>
      </c>
      <c r="D284" s="16" t="n">
        <v>62785.5</v>
      </c>
      <c r="E284" s="16" t="n">
        <v>65907.17</v>
      </c>
      <c r="F284" s="16" t="n">
        <v>69822</v>
      </c>
      <c r="G284" s="16" t="n">
        <v>36831</v>
      </c>
      <c r="H284" s="16">
        <f>G284-F284</f>
        <v/>
      </c>
      <c r="I284" s="14">
        <f>IF(F284=0,0,G284/F284-1)</f>
        <v/>
      </c>
    </row>
    <row r="285">
      <c r="A285" s="8" t="inlineStr">
        <is>
          <t>1000.0000.2290.52060.300</t>
        </is>
      </c>
      <c r="B285" s="8" t="inlineStr">
        <is>
          <t>Outreach Coordinator</t>
        </is>
      </c>
      <c r="C285" s="16" t="n">
        <v>21295.73</v>
      </c>
      <c r="D285" s="16" t="n">
        <v>22259.06</v>
      </c>
      <c r="E285" s="16" t="n">
        <v>26946.66</v>
      </c>
      <c r="F285" s="16" t="n">
        <v>37828</v>
      </c>
      <c r="G285" s="16" t="n">
        <v>20228</v>
      </c>
      <c r="H285" s="16">
        <f>G285-F285</f>
        <v/>
      </c>
      <c r="I285" s="14">
        <f>IF(F285=0,0,G285/F285-1)</f>
        <v/>
      </c>
    </row>
    <row r="286">
      <c r="A286" s="9" t="n"/>
      <c r="B286" s="22" t="inlineStr">
        <is>
          <t>Program 0000 Total</t>
        </is>
      </c>
      <c r="C286" s="23">
        <f>SUM(C284:C285)</f>
        <v/>
      </c>
      <c r="D286" s="23">
        <f>SUM(D284:D285)</f>
        <v/>
      </c>
      <c r="E286" s="23">
        <f>SUM(E284:E285)</f>
        <v/>
      </c>
      <c r="F286" s="23">
        <f>SUM(F284:F285)</f>
        <v/>
      </c>
      <c r="G286" s="23">
        <f>SUM(G284:G285)</f>
        <v/>
      </c>
      <c r="H286" s="23">
        <f>SUM(H284:H285)</f>
        <v/>
      </c>
      <c r="I286" s="23">
        <f>SUM(I284:I285)</f>
        <v/>
      </c>
    </row>
    <row r="287">
      <c r="A287" s="9" t="n"/>
      <c r="B287" s="12" t="inlineStr">
        <is>
          <t>Cost Center ('300',) Total</t>
        </is>
      </c>
      <c r="C287" s="26">
        <f>C232+C244+C254+C268+C279+C283+C286</f>
        <v/>
      </c>
      <c r="D287" s="26">
        <f>D232+D244+D254+D268+D279+D283+D286</f>
        <v/>
      </c>
      <c r="E287" s="26">
        <f>E232+E244+E254+E268+E279+E283+E286</f>
        <v/>
      </c>
      <c r="F287" s="26">
        <f>F232+F244+F254+F268+F279+F283+F286</f>
        <v/>
      </c>
      <c r="G287" s="26">
        <f>G232+G244+G254+G268+G279+G283+G286</f>
        <v/>
      </c>
      <c r="H287" s="26">
        <f>H232+H244+H254+H268+H279+H283+H286</f>
        <v/>
      </c>
      <c r="I287" s="26">
        <f>I232+I244+I254+I268+I279+I283+I286</f>
        <v/>
      </c>
    </row>
    <row r="289">
      <c r="A289" s="3" t="inlineStr">
        <is>
          <t>Cost Center: ('900',)</t>
        </is>
      </c>
    </row>
    <row r="290">
      <c r="A290" s="8" t="inlineStr">
        <is>
          <t>1000.0000.2130.51500.900</t>
        </is>
      </c>
      <c r="B290" s="8" t="inlineStr">
        <is>
          <t>Doctor-Consulting</t>
        </is>
      </c>
      <c r="C290" s="16" t="n">
        <v>0</v>
      </c>
      <c r="D290" s="16" t="n">
        <v>0</v>
      </c>
      <c r="E290" s="16" t="n">
        <v>0</v>
      </c>
      <c r="F290" s="16" t="n">
        <v>1500</v>
      </c>
      <c r="G290" s="16" t="n">
        <v>1500</v>
      </c>
      <c r="H290" s="16">
        <f>G290-F290</f>
        <v/>
      </c>
      <c r="I290" s="14">
        <f>IF(F290=0,0,G290/F290-1)</f>
        <v/>
      </c>
    </row>
    <row r="291">
      <c r="A291" s="8" t="inlineStr">
        <is>
          <t>1000.0000.2130.56000.900</t>
        </is>
      </c>
      <c r="B291" s="8" t="inlineStr">
        <is>
          <t>Supplies - District Wide</t>
        </is>
      </c>
      <c r="C291" s="16" t="n">
        <v>0</v>
      </c>
      <c r="D291" s="16" t="n">
        <v>2171.64</v>
      </c>
      <c r="E291" s="16" t="n">
        <v>10923.82</v>
      </c>
      <c r="F291" s="16" t="n">
        <v>0</v>
      </c>
      <c r="G291" s="16" t="n">
        <v>0</v>
      </c>
      <c r="H291" s="16">
        <f>G291-F291</f>
        <v/>
      </c>
      <c r="I291" s="14">
        <f>IF(F291=0,0,G291/F291-1)</f>
        <v/>
      </c>
    </row>
    <row r="292">
      <c r="A292" s="9" t="n"/>
      <c r="B292" s="22" t="inlineStr">
        <is>
          <t>Program 0000 Total</t>
        </is>
      </c>
      <c r="C292" s="23">
        <f>SUM(C290:C291)</f>
        <v/>
      </c>
      <c r="D292" s="23">
        <f>SUM(D290:D291)</f>
        <v/>
      </c>
      <c r="E292" s="23">
        <f>SUM(E290:E291)</f>
        <v/>
      </c>
      <c r="F292" s="23">
        <f>SUM(F290:F291)</f>
        <v/>
      </c>
      <c r="G292" s="23">
        <f>SUM(G290:G291)</f>
        <v/>
      </c>
      <c r="H292" s="23">
        <f>SUM(H290:H291)</f>
        <v/>
      </c>
      <c r="I292" s="23">
        <f>SUM(I290:I291)</f>
        <v/>
      </c>
    </row>
    <row r="293">
      <c r="A293" s="8" t="inlineStr">
        <is>
          <t>1000.0000.2210.51040.900</t>
        </is>
      </c>
      <c r="B293" s="8" t="inlineStr">
        <is>
          <t>Curriculum Director Salary</t>
        </is>
      </c>
      <c r="C293" s="16" t="n">
        <v>79651.2</v>
      </c>
      <c r="D293" s="16" t="n">
        <v>83999.95</v>
      </c>
      <c r="E293" s="16" t="n">
        <v>99433.75999999999</v>
      </c>
      <c r="F293" s="16" t="n">
        <v>93492</v>
      </c>
      <c r="G293" s="16" t="n">
        <v>98635</v>
      </c>
      <c r="H293" s="16">
        <f>G293-F293</f>
        <v/>
      </c>
      <c r="I293" s="14">
        <f>IF(F293=0,0,G293/F293-1)</f>
        <v/>
      </c>
    </row>
    <row r="294">
      <c r="A294" s="8" t="inlineStr">
        <is>
          <t>1000.0000.2210.52040.900</t>
        </is>
      </c>
      <c r="B294" s="8" t="inlineStr">
        <is>
          <t>Curriculum Director Benefits</t>
        </is>
      </c>
      <c r="C294" s="16" t="n">
        <v>12691.36</v>
      </c>
      <c r="D294" s="16" t="n">
        <v>13462.64</v>
      </c>
      <c r="E294" s="16" t="n">
        <v>14983.3</v>
      </c>
      <c r="F294" s="16" t="n">
        <v>20058</v>
      </c>
      <c r="G294" s="16" t="n">
        <v>24477</v>
      </c>
      <c r="H294" s="16">
        <f>G294-F294</f>
        <v/>
      </c>
      <c r="I294" s="14">
        <f>IF(F294=0,0,G294/F294-1)</f>
        <v/>
      </c>
    </row>
    <row r="295">
      <c r="A295" s="8" t="inlineStr">
        <is>
          <t>1000.0000.2210.52340.900</t>
        </is>
      </c>
      <c r="B295" s="8" t="inlineStr">
        <is>
          <t>Retirement</t>
        </is>
      </c>
      <c r="C295" s="16" t="n">
        <v>3058.64</v>
      </c>
      <c r="D295" s="16" t="n">
        <v>3754.66</v>
      </c>
      <c r="E295" s="16" t="n">
        <v>4458.19</v>
      </c>
      <c r="F295" s="16" t="n">
        <v>4179</v>
      </c>
      <c r="G295" s="16" t="n">
        <v>4409</v>
      </c>
      <c r="H295" s="16">
        <f>G295-F295</f>
        <v/>
      </c>
      <c r="I295" s="14">
        <f>IF(F295=0,0,G295/F295-1)</f>
        <v/>
      </c>
    </row>
    <row r="296">
      <c r="A296" s="8" t="inlineStr">
        <is>
          <t>1000.0000.2210.53000.900</t>
        </is>
      </c>
      <c r="B296" s="8" t="inlineStr">
        <is>
          <t>Purchased Professional</t>
        </is>
      </c>
      <c r="C296" s="16" t="n">
        <v>62.4</v>
      </c>
      <c r="D296" s="16" t="n">
        <v>4250</v>
      </c>
      <c r="E296" s="16" t="n">
        <v>861.41</v>
      </c>
      <c r="F296" s="16" t="n">
        <v>5000</v>
      </c>
      <c r="G296" s="16" t="n">
        <v>5000</v>
      </c>
      <c r="H296" s="16">
        <f>G296-F296</f>
        <v/>
      </c>
      <c r="I296" s="14">
        <f>IF(F296=0,0,G296/F296-1)</f>
        <v/>
      </c>
    </row>
    <row r="297">
      <c r="A297" s="8" t="inlineStr">
        <is>
          <t>1000.0000.2210.55810.900</t>
        </is>
      </c>
      <c r="B297" s="8" t="inlineStr">
        <is>
          <t>Travel</t>
        </is>
      </c>
      <c r="C297" s="16" t="n">
        <v>0</v>
      </c>
      <c r="D297" s="16" t="n">
        <v>31.36</v>
      </c>
      <c r="E297" s="16" t="n">
        <v>0</v>
      </c>
      <c r="F297" s="16" t="n">
        <v>700</v>
      </c>
      <c r="G297" s="16" t="n">
        <v>700</v>
      </c>
      <c r="H297" s="16">
        <f>G297-F297</f>
        <v/>
      </c>
      <c r="I297" s="14">
        <f>IF(F297=0,0,G297/F297-1)</f>
        <v/>
      </c>
    </row>
    <row r="298">
      <c r="A298" s="8" t="inlineStr">
        <is>
          <t>1000.0000.2210.56400.900</t>
        </is>
      </c>
      <c r="B298" s="8" t="inlineStr">
        <is>
          <t>Curriculum Materials</t>
        </is>
      </c>
      <c r="C298" s="16" t="n">
        <v>50000</v>
      </c>
      <c r="D298" s="16" t="n">
        <v>43561.66</v>
      </c>
      <c r="E298" s="16" t="n">
        <v>51751.42</v>
      </c>
      <c r="F298" s="16" t="n">
        <v>47300</v>
      </c>
      <c r="G298" s="16" t="n">
        <v>56500</v>
      </c>
      <c r="H298" s="16">
        <f>G298-F298</f>
        <v/>
      </c>
      <c r="I298" s="14">
        <f>IF(F298=0,0,G298/F298-1)</f>
        <v/>
      </c>
    </row>
    <row r="299">
      <c r="A299" s="8" t="inlineStr">
        <is>
          <t>1000.0000.2210.58100.900</t>
        </is>
      </c>
      <c r="B299" s="8" t="inlineStr">
        <is>
          <t>Dues &amp; Fees</t>
        </is>
      </c>
      <c r="C299" s="16" t="n">
        <v>1784</v>
      </c>
      <c r="D299" s="16" t="n">
        <v>185.37</v>
      </c>
      <c r="E299" s="16" t="n">
        <v>655</v>
      </c>
      <c r="F299" s="16" t="n">
        <v>505</v>
      </c>
      <c r="G299" s="16" t="n">
        <v>505</v>
      </c>
      <c r="H299" s="16">
        <f>G299-F299</f>
        <v/>
      </c>
      <c r="I299" s="14">
        <f>IF(F299=0,0,G299/F299-1)</f>
        <v/>
      </c>
    </row>
    <row r="300">
      <c r="A300" s="9" t="n"/>
      <c r="B300" s="22" t="inlineStr">
        <is>
          <t>Program 0000 Total</t>
        </is>
      </c>
      <c r="C300" s="23">
        <f>SUM(C293:C299)</f>
        <v/>
      </c>
      <c r="D300" s="23">
        <f>SUM(D293:D299)</f>
        <v/>
      </c>
      <c r="E300" s="23">
        <f>SUM(E293:E299)</f>
        <v/>
      </c>
      <c r="F300" s="23">
        <f>SUM(F293:F299)</f>
        <v/>
      </c>
      <c r="G300" s="23">
        <f>SUM(G293:G299)</f>
        <v/>
      </c>
      <c r="H300" s="23">
        <f>SUM(H293:H299)</f>
        <v/>
      </c>
      <c r="I300" s="23">
        <f>SUM(I293:I299)</f>
        <v/>
      </c>
    </row>
    <row r="301">
      <c r="A301" s="8" t="inlineStr">
        <is>
          <t>1000.0000.2230.51040.900</t>
        </is>
      </c>
      <c r="B301" s="8" t="inlineStr">
        <is>
          <t>Technology Director Salary</t>
        </is>
      </c>
      <c r="C301" s="16" t="n">
        <v>101799.5</v>
      </c>
      <c r="D301" s="16" t="n">
        <v>112000</v>
      </c>
      <c r="E301" s="16" t="n">
        <v>117600</v>
      </c>
      <c r="F301" s="16" t="n">
        <v>124656</v>
      </c>
      <c r="G301" s="16" t="n">
        <v>131513</v>
      </c>
      <c r="H301" s="16">
        <f>G301-F301</f>
        <v/>
      </c>
      <c r="I301" s="14">
        <f>IF(F301=0,0,G301/F301-1)</f>
        <v/>
      </c>
    </row>
    <row r="302">
      <c r="A302" s="8" t="inlineStr">
        <is>
          <t>1000.0000.2230.51180.900</t>
        </is>
      </c>
      <c r="B302" s="8" t="inlineStr">
        <is>
          <t>Support Wages</t>
        </is>
      </c>
      <c r="C302" s="16" t="n">
        <v>285350.48</v>
      </c>
      <c r="D302" s="16" t="n">
        <v>258261.18</v>
      </c>
      <c r="E302" s="16" t="n">
        <v>359998.51</v>
      </c>
      <c r="F302" s="16" t="n">
        <v>367877</v>
      </c>
      <c r="G302" s="16" t="n">
        <v>400305</v>
      </c>
      <c r="H302" s="16">
        <f>G302-F302</f>
        <v/>
      </c>
      <c r="I302" s="14">
        <f>IF(F302=0,0,G302/F302-1)</f>
        <v/>
      </c>
    </row>
    <row r="303">
      <c r="A303" s="8" t="inlineStr">
        <is>
          <t>1000.0000.2230.52040.900</t>
        </is>
      </c>
      <c r="B303" s="8" t="inlineStr">
        <is>
          <t>Benefits</t>
        </is>
      </c>
      <c r="C303" s="16" t="n">
        <v>20783.11</v>
      </c>
      <c r="D303" s="16" t="n">
        <v>25656.22</v>
      </c>
      <c r="E303" s="16" t="n">
        <v>27972.19</v>
      </c>
      <c r="F303" s="16" t="n">
        <v>35691</v>
      </c>
      <c r="G303" s="16" t="n">
        <v>40441</v>
      </c>
      <c r="H303" s="16">
        <f>G303-F303</f>
        <v/>
      </c>
      <c r="I303" s="14">
        <f>IF(F303=0,0,G303/F303-1)</f>
        <v/>
      </c>
    </row>
    <row r="304">
      <c r="A304" s="8" t="inlineStr">
        <is>
          <t>1000.0000.2230.52080.900</t>
        </is>
      </c>
      <c r="B304" s="8" t="inlineStr">
        <is>
          <t>Benefits</t>
        </is>
      </c>
      <c r="C304" s="16" t="n">
        <v>93686.72</v>
      </c>
      <c r="D304" s="16" t="n">
        <v>68654.31</v>
      </c>
      <c r="E304" s="16" t="n">
        <v>92984.46000000001</v>
      </c>
      <c r="F304" s="16" t="n">
        <v>126948</v>
      </c>
      <c r="G304" s="16" t="n">
        <v>136299</v>
      </c>
      <c r="H304" s="16">
        <f>G304-F304</f>
        <v/>
      </c>
      <c r="I304" s="14">
        <f>IF(F304=0,0,G304/F304-1)</f>
        <v/>
      </c>
    </row>
    <row r="305">
      <c r="A305" s="8" t="inlineStr">
        <is>
          <t>1000.0000.2230.52340.900</t>
        </is>
      </c>
      <c r="B305" s="8" t="inlineStr">
        <is>
          <t>Retirement</t>
        </is>
      </c>
      <c r="C305" s="16" t="n">
        <v>10254.34</v>
      </c>
      <c r="D305" s="16" t="n">
        <v>11423.89</v>
      </c>
      <c r="E305" s="16" t="n">
        <v>11642.28</v>
      </c>
      <c r="F305" s="16" t="n">
        <v>12341</v>
      </c>
      <c r="G305" s="16" t="n">
        <v>13020</v>
      </c>
      <c r="H305" s="16">
        <f>G305-F305</f>
        <v/>
      </c>
      <c r="I305" s="14">
        <f>IF(F305=0,0,G305/F305-1)</f>
        <v/>
      </c>
    </row>
    <row r="306">
      <c r="A306" s="8" t="inlineStr">
        <is>
          <t>1000.0000.2230.52380.900</t>
        </is>
      </c>
      <c r="B306" s="8" t="inlineStr">
        <is>
          <t>Retirement</t>
        </is>
      </c>
      <c r="C306" s="16" t="n">
        <v>8009.9</v>
      </c>
      <c r="D306" s="16" t="n">
        <v>8331.469999999999</v>
      </c>
      <c r="E306" s="16" t="n">
        <v>13574.43</v>
      </c>
      <c r="F306" s="16" t="n">
        <v>22250</v>
      </c>
      <c r="G306" s="16" t="n">
        <v>24083</v>
      </c>
      <c r="H306" s="16">
        <f>G306-F306</f>
        <v/>
      </c>
      <c r="I306" s="14">
        <f>IF(F306=0,0,G306/F306-1)</f>
        <v/>
      </c>
    </row>
    <row r="307">
      <c r="A307" s="8" t="inlineStr">
        <is>
          <t>1000.0000.2230.53000.900</t>
        </is>
      </c>
      <c r="B307" s="8" t="inlineStr">
        <is>
          <t>Purchased Professional</t>
        </is>
      </c>
      <c r="C307" s="16" t="n">
        <v>4799.64</v>
      </c>
      <c r="D307" s="16" t="n">
        <v>4751.49</v>
      </c>
      <c r="E307" s="16" t="n">
        <v>5573.25</v>
      </c>
      <c r="F307" s="16" t="n">
        <v>7012</v>
      </c>
      <c r="G307" s="16" t="n">
        <v>9012</v>
      </c>
      <c r="H307" s="16">
        <f>G307-F307</f>
        <v/>
      </c>
      <c r="I307" s="14">
        <f>IF(F307=0,0,G307/F307-1)</f>
        <v/>
      </c>
    </row>
    <row r="308">
      <c r="A308" s="8" t="inlineStr">
        <is>
          <t>1000.0000.2230.54320.900</t>
        </is>
      </c>
      <c r="B308" s="8" t="inlineStr">
        <is>
          <t>Tech Repairs/Maintenance</t>
        </is>
      </c>
      <c r="C308" s="16" t="n">
        <v>0</v>
      </c>
      <c r="D308" s="16" t="n">
        <v>5249.7</v>
      </c>
      <c r="E308" s="16" t="n">
        <v>3441.96</v>
      </c>
      <c r="F308" s="16" t="n">
        <v>6000</v>
      </c>
      <c r="G308" s="16" t="n">
        <v>6000</v>
      </c>
      <c r="H308" s="16">
        <f>G308-F308</f>
        <v/>
      </c>
      <c r="I308" s="14">
        <f>IF(F308=0,0,G308/F308-1)</f>
        <v/>
      </c>
    </row>
    <row r="309">
      <c r="A309" s="8" t="inlineStr">
        <is>
          <t>1000.0000.2230.54330.900</t>
        </is>
      </c>
      <c r="B309" s="8" t="inlineStr">
        <is>
          <t>Software</t>
        </is>
      </c>
      <c r="C309" s="16" t="n">
        <v>553.05</v>
      </c>
      <c r="D309" s="16" t="n">
        <v>2787.47</v>
      </c>
      <c r="E309" s="16" t="n">
        <v>0</v>
      </c>
      <c r="F309" s="16" t="n">
        <v>0</v>
      </c>
      <c r="G309" s="16" t="n">
        <v>0</v>
      </c>
      <c r="H309" s="16">
        <f>G309-F309</f>
        <v/>
      </c>
      <c r="I309" s="14">
        <f>IF(F309=0,0,G309/F309-1)</f>
        <v/>
      </c>
    </row>
    <row r="310">
      <c r="A310" s="8" t="inlineStr">
        <is>
          <t>1000.0000.2230.55000.900</t>
        </is>
      </c>
      <c r="B310" s="8" t="inlineStr">
        <is>
          <t>Other Purchased Services</t>
        </is>
      </c>
      <c r="C310" s="16" t="n">
        <v>28619.28</v>
      </c>
      <c r="D310" s="16" t="n">
        <v>41370.82</v>
      </c>
      <c r="E310" s="16" t="n">
        <v>104775.41</v>
      </c>
      <c r="F310" s="16" t="n">
        <v>116131</v>
      </c>
      <c r="G310" s="16" t="n">
        <v>190478</v>
      </c>
      <c r="H310" s="16">
        <f>G310-F310</f>
        <v/>
      </c>
      <c r="I310" s="14">
        <f>IF(F310=0,0,G310/F310-1)</f>
        <v/>
      </c>
    </row>
    <row r="311">
      <c r="A311" s="8" t="inlineStr">
        <is>
          <t>1000.0000.2230.55200.900</t>
        </is>
      </c>
      <c r="B311" s="8" t="inlineStr">
        <is>
          <t>Insurance (P&amp;C)</t>
        </is>
      </c>
      <c r="C311" s="16" t="n">
        <v>15658.1</v>
      </c>
      <c r="D311" s="16" t="n">
        <v>16303.05</v>
      </c>
      <c r="E311" s="16" t="n">
        <v>16584</v>
      </c>
      <c r="F311" s="16" t="n">
        <v>16500</v>
      </c>
      <c r="G311" s="16" t="n">
        <v>16500</v>
      </c>
      <c r="H311" s="16">
        <f>G311-F311</f>
        <v/>
      </c>
      <c r="I311" s="14">
        <f>IF(F311=0,0,G311/F311-1)</f>
        <v/>
      </c>
    </row>
    <row r="312">
      <c r="A312" s="8" t="inlineStr">
        <is>
          <t>1000.0000.2230.55800.900</t>
        </is>
      </c>
      <c r="B312" s="8" t="inlineStr">
        <is>
          <t>Travel</t>
        </is>
      </c>
      <c r="C312" s="16" t="n">
        <v>1370.43</v>
      </c>
      <c r="D312" s="16" t="n">
        <v>1961.75</v>
      </c>
      <c r="E312" s="16" t="n">
        <v>1591.02</v>
      </c>
      <c r="F312" s="16" t="n">
        <v>4000</v>
      </c>
      <c r="G312" s="16" t="n">
        <v>6000</v>
      </c>
      <c r="H312" s="16">
        <f>G312-F312</f>
        <v/>
      </c>
      <c r="I312" s="14">
        <f>IF(F312=0,0,G312/F312-1)</f>
        <v/>
      </c>
    </row>
    <row r="313">
      <c r="A313" s="8" t="inlineStr">
        <is>
          <t>1000.0000.2230.56500.900</t>
        </is>
      </c>
      <c r="B313" s="8" t="inlineStr">
        <is>
          <t>Computer Materials</t>
        </is>
      </c>
      <c r="C313" s="16" t="n">
        <v>9487.91</v>
      </c>
      <c r="D313" s="16" t="n">
        <v>13170.24</v>
      </c>
      <c r="E313" s="16" t="n">
        <v>31048.4</v>
      </c>
      <c r="F313" s="16" t="n">
        <v>345710</v>
      </c>
      <c r="G313" s="16" t="n">
        <v>354121</v>
      </c>
      <c r="H313" s="16">
        <f>G313-F313</f>
        <v/>
      </c>
      <c r="I313" s="14">
        <f>IF(F313=0,0,G313/F313-1)</f>
        <v/>
      </c>
    </row>
    <row r="314">
      <c r="A314" s="8" t="inlineStr">
        <is>
          <t>1000.0000.2230.57340.900</t>
        </is>
      </c>
      <c r="B314" s="8" t="inlineStr">
        <is>
          <t>EQUIPMENT</t>
        </is>
      </c>
      <c r="C314" s="16" t="n">
        <v>154466.69</v>
      </c>
      <c r="D314" s="16" t="n">
        <v>311801.38</v>
      </c>
      <c r="E314" s="16" t="n">
        <v>362416.78</v>
      </c>
      <c r="F314" s="16" t="n">
        <v>0</v>
      </c>
      <c r="G314" s="16" t="n">
        <v>0</v>
      </c>
      <c r="H314" s="16">
        <f>G314-F314</f>
        <v/>
      </c>
      <c r="I314" s="14">
        <f>IF(F314=0,0,G314/F314-1)</f>
        <v/>
      </c>
    </row>
    <row r="315">
      <c r="A315" s="8" t="inlineStr">
        <is>
          <t>1000.0000.2230.58100.900</t>
        </is>
      </c>
      <c r="B315" s="8" t="inlineStr">
        <is>
          <t>Dues and Fees</t>
        </is>
      </c>
      <c r="C315" s="16" t="n">
        <v>120</v>
      </c>
      <c r="D315" s="16" t="n">
        <v>170</v>
      </c>
      <c r="E315" s="16" t="n">
        <v>220</v>
      </c>
      <c r="F315" s="16" t="n">
        <v>270</v>
      </c>
      <c r="G315" s="16" t="n">
        <v>270</v>
      </c>
      <c r="H315" s="16">
        <f>G315-F315</f>
        <v/>
      </c>
      <c r="I315" s="14">
        <f>IF(F315=0,0,G315/F315-1)</f>
        <v/>
      </c>
    </row>
    <row r="316">
      <c r="A316" s="9" t="n"/>
      <c r="B316" s="22" t="inlineStr">
        <is>
          <t>Program 0000 Total</t>
        </is>
      </c>
      <c r="C316" s="23">
        <f>SUM(C301:C315)</f>
        <v/>
      </c>
      <c r="D316" s="23">
        <f>SUM(D301:D315)</f>
        <v/>
      </c>
      <c r="E316" s="23">
        <f>SUM(E301:E315)</f>
        <v/>
      </c>
      <c r="F316" s="23">
        <f>SUM(F301:F315)</f>
        <v/>
      </c>
      <c r="G316" s="23">
        <f>SUM(G301:G315)</f>
        <v/>
      </c>
      <c r="H316" s="23">
        <f>SUM(H301:H315)</f>
        <v/>
      </c>
      <c r="I316" s="23">
        <f>SUM(I301:I315)</f>
        <v/>
      </c>
    </row>
    <row r="317">
      <c r="A317" s="8" t="inlineStr">
        <is>
          <t>1000.0000.2240.53000.900</t>
        </is>
      </c>
      <c r="B317" s="8" t="inlineStr">
        <is>
          <t>Purchased Professional -</t>
        </is>
      </c>
      <c r="C317" s="16" t="n">
        <v>3750</v>
      </c>
      <c r="D317" s="16" t="n">
        <v>3750</v>
      </c>
      <c r="E317" s="16" t="n">
        <v>0</v>
      </c>
      <c r="F317" s="16" t="n">
        <v>7475</v>
      </c>
      <c r="G317" s="16" t="n">
        <v>3900</v>
      </c>
      <c r="H317" s="16">
        <f>G317-F317</f>
        <v/>
      </c>
      <c r="I317" s="14">
        <f>IF(F317=0,0,G317/F317-1)</f>
        <v/>
      </c>
    </row>
    <row r="318">
      <c r="A318" s="9" t="n"/>
      <c r="B318" s="12" t="inlineStr">
        <is>
          <t>Cost Center ('900',) Total</t>
        </is>
      </c>
      <c r="C318" s="26">
        <f>C292+C300+C316</f>
        <v/>
      </c>
      <c r="D318" s="26">
        <f>D292+D300+D316</f>
        <v/>
      </c>
      <c r="E318" s="26">
        <f>E292+E300+E316</f>
        <v/>
      </c>
      <c r="F318" s="26">
        <f>F292+F300+F316</f>
        <v/>
      </c>
      <c r="G318" s="26">
        <f>G292+G300+G316</f>
        <v/>
      </c>
      <c r="H318" s="26">
        <f>H292+H300+H316</f>
        <v/>
      </c>
      <c r="I318" s="26">
        <f>I292+I300+I316</f>
        <v/>
      </c>
    </row>
    <row r="320">
      <c r="A320" s="3" t="inlineStr">
        <is>
          <t>Cost Center: ('950',)</t>
        </is>
      </c>
    </row>
    <row r="321">
      <c r="A321" s="8" t="inlineStr">
        <is>
          <t>1000.0000.2213.51010.950</t>
        </is>
      </c>
      <c r="B321" s="8" t="inlineStr">
        <is>
          <t>K-8 HONORARIUM</t>
        </is>
      </c>
      <c r="C321" s="16" t="n">
        <v>4449.37</v>
      </c>
      <c r="D321" s="16" t="n">
        <v>8082.5</v>
      </c>
      <c r="E321" s="16" t="n">
        <v>8002.81</v>
      </c>
      <c r="F321" s="16" t="n">
        <v>4733</v>
      </c>
      <c r="G321" s="16" t="n">
        <v>5065</v>
      </c>
      <c r="H321" s="16">
        <f>G321-F321</f>
        <v/>
      </c>
      <c r="I321" s="14">
        <f>IF(F321=0,0,G321/F321-1)</f>
        <v/>
      </c>
    </row>
    <row r="322">
      <c r="A322" s="8" t="inlineStr">
        <is>
          <t>1000.0000.2213.51500.950</t>
        </is>
      </c>
      <c r="B322" s="8" t="inlineStr">
        <is>
          <t>New Educator Mentors K-8</t>
        </is>
      </c>
      <c r="C322" s="16" t="n">
        <v>13470</v>
      </c>
      <c r="D322" s="16" t="n">
        <v>13042.8</v>
      </c>
      <c r="E322" s="16" t="n">
        <v>6980</v>
      </c>
      <c r="F322" s="16" t="n">
        <v>31593</v>
      </c>
      <c r="G322" s="16" t="n">
        <v>31593</v>
      </c>
      <c r="H322" s="16">
        <f>G322-F322</f>
        <v/>
      </c>
      <c r="I322" s="14">
        <f>IF(F322=0,0,G322/F322-1)</f>
        <v/>
      </c>
    </row>
    <row r="323">
      <c r="A323" s="8" t="inlineStr">
        <is>
          <t>1000.0000.2213.52000.950</t>
        </is>
      </c>
      <c r="B323" s="8" t="inlineStr">
        <is>
          <t>Stipend Benefits - K-8</t>
        </is>
      </c>
      <c r="C323" s="16" t="n">
        <v>1695.77</v>
      </c>
      <c r="D323" s="16" t="n">
        <v>2194.62</v>
      </c>
      <c r="E323" s="16" t="n">
        <v>890.95</v>
      </c>
      <c r="F323" s="16" t="n">
        <v>1601</v>
      </c>
      <c r="G323" s="16" t="n">
        <v>1601</v>
      </c>
      <c r="H323" s="16">
        <f>G323-F323</f>
        <v/>
      </c>
      <c r="I323" s="14">
        <f>IF(F323=0,0,G323/F323-1)</f>
        <v/>
      </c>
    </row>
    <row r="324">
      <c r="A324" s="8" t="inlineStr">
        <is>
          <t>1000.0000.2213.52010.950</t>
        </is>
      </c>
      <c r="B324" s="8" t="inlineStr">
        <is>
          <t>K-8 HONORARIUM</t>
        </is>
      </c>
      <c r="C324" s="16" t="n">
        <v>79.44</v>
      </c>
      <c r="D324" s="16" t="n">
        <v>2016.05</v>
      </c>
      <c r="E324" s="16" t="n">
        <v>2260.51</v>
      </c>
      <c r="F324" s="16" t="n">
        <v>159</v>
      </c>
      <c r="G324" s="16" t="n">
        <v>507</v>
      </c>
      <c r="H324" s="16">
        <f>G324-F324</f>
        <v/>
      </c>
      <c r="I324" s="14">
        <f>IF(F324=0,0,G324/F324-1)</f>
        <v/>
      </c>
    </row>
    <row r="325">
      <c r="A325" s="8" t="inlineStr">
        <is>
          <t>1000.0000.2213.52300.950</t>
        </is>
      </c>
      <c r="B325" s="8" t="inlineStr">
        <is>
          <t>Stipend Retirement - K-8</t>
        </is>
      </c>
      <c r="C325" s="16" t="n">
        <v>517.39</v>
      </c>
      <c r="D325" s="16" t="n">
        <v>583.01</v>
      </c>
      <c r="E325" s="16" t="n">
        <v>311.64</v>
      </c>
      <c r="F325" s="16" t="n">
        <v>2129</v>
      </c>
      <c r="G325" s="16" t="n">
        <v>2129</v>
      </c>
      <c r="H325" s="16">
        <f>G325-F325</f>
        <v/>
      </c>
      <c r="I325" s="14">
        <f>IF(F325=0,0,G325/F325-1)</f>
        <v/>
      </c>
    </row>
    <row r="326">
      <c r="A326" s="8" t="inlineStr">
        <is>
          <t>1000.0000.2213.52310.950</t>
        </is>
      </c>
      <c r="B326" s="8" t="inlineStr">
        <is>
          <t>K-8 HONORARIUM</t>
        </is>
      </c>
      <c r="C326" s="16" t="n">
        <v>30.59</v>
      </c>
      <c r="D326" s="16" t="n">
        <v>299.22</v>
      </c>
      <c r="E326" s="16" t="n">
        <v>193.87</v>
      </c>
      <c r="F326" s="16" t="n">
        <v>212</v>
      </c>
      <c r="G326" s="16" t="n">
        <v>226</v>
      </c>
      <c r="H326" s="16">
        <f>G326-F326</f>
        <v/>
      </c>
      <c r="I326" s="14">
        <f>IF(F326=0,0,G326/F326-1)</f>
        <v/>
      </c>
    </row>
    <row r="327">
      <c r="A327" s="8" t="inlineStr">
        <is>
          <t>1000.0000.2213.52510.950</t>
        </is>
      </c>
      <c r="B327" s="8" t="inlineStr">
        <is>
          <t>Tuition Reimbursement-Prof</t>
        </is>
      </c>
      <c r="C327" s="16" t="n">
        <v>76856.27</v>
      </c>
      <c r="D327" s="16" t="n">
        <v>112404.6</v>
      </c>
      <c r="E327" s="16" t="n">
        <v>140801.56</v>
      </c>
      <c r="F327" s="16" t="n">
        <v>112000</v>
      </c>
      <c r="G327" s="16" t="n">
        <v>141000</v>
      </c>
      <c r="H327" s="16">
        <f>G327-F327</f>
        <v/>
      </c>
      <c r="I327" s="14">
        <f>IF(F327=0,0,G327/F327-1)</f>
        <v/>
      </c>
    </row>
    <row r="328">
      <c r="A328" s="8" t="inlineStr">
        <is>
          <t>1000.0000.2213.52520.950</t>
        </is>
      </c>
      <c r="B328" s="8" t="inlineStr">
        <is>
          <t>Tuition</t>
        </is>
      </c>
      <c r="C328" s="16" t="n">
        <v>2786</v>
      </c>
      <c r="D328" s="16" t="n">
        <v>0</v>
      </c>
      <c r="E328" s="16" t="n">
        <v>0</v>
      </c>
      <c r="F328" s="16" t="n">
        <v>1500</v>
      </c>
      <c r="G328" s="16" t="n">
        <v>1500</v>
      </c>
      <c r="H328" s="16">
        <f>G328-F328</f>
        <v/>
      </c>
      <c r="I328" s="14">
        <f>IF(F328=0,0,G328/F328-1)</f>
        <v/>
      </c>
    </row>
    <row r="329">
      <c r="A329" s="8" t="inlineStr">
        <is>
          <t>1000.0000.2213.53000.950</t>
        </is>
      </c>
      <c r="B329" s="8" t="inlineStr">
        <is>
          <t>K-8 Purchased Professional</t>
        </is>
      </c>
      <c r="C329" s="16" t="n">
        <v>46072</v>
      </c>
      <c r="D329" s="16" t="n">
        <v>33925.78</v>
      </c>
      <c r="E329" s="16" t="n">
        <v>47041.55</v>
      </c>
      <c r="F329" s="16" t="n">
        <v>63300</v>
      </c>
      <c r="G329" s="16" t="n">
        <v>63800</v>
      </c>
      <c r="H329" s="16">
        <f>G329-F329</f>
        <v/>
      </c>
      <c r="I329" s="14">
        <f>IF(F329=0,0,G329/F329-1)</f>
        <v/>
      </c>
    </row>
    <row r="330">
      <c r="A330" s="8" t="inlineStr">
        <is>
          <t>1000.0000.2213.55810.950</t>
        </is>
      </c>
      <c r="B330" s="8" t="inlineStr">
        <is>
          <t>Travel</t>
        </is>
      </c>
      <c r="C330" s="16" t="n">
        <v>0</v>
      </c>
      <c r="D330" s="16" t="n">
        <v>737.9</v>
      </c>
      <c r="E330" s="16" t="n">
        <v>980.87</v>
      </c>
      <c r="F330" s="16" t="n">
        <v>250</v>
      </c>
      <c r="G330" s="16" t="n">
        <v>250</v>
      </c>
      <c r="H330" s="16">
        <f>G330-F330</f>
        <v/>
      </c>
      <c r="I330" s="14">
        <f>IF(F330=0,0,G330/F330-1)</f>
        <v/>
      </c>
    </row>
    <row r="331">
      <c r="A331" s="8" t="inlineStr">
        <is>
          <t>1000.0000.2213.56000.950</t>
        </is>
      </c>
      <c r="B331" s="8" t="inlineStr">
        <is>
          <t>Supplies</t>
        </is>
      </c>
      <c r="C331" s="16" t="n">
        <v>0</v>
      </c>
      <c r="D331" s="16" t="n">
        <v>0</v>
      </c>
      <c r="E331" s="16" t="n">
        <v>0</v>
      </c>
      <c r="F331" s="16" t="n">
        <v>350</v>
      </c>
      <c r="G331" s="16" t="n">
        <v>350</v>
      </c>
      <c r="H331" s="16">
        <f>G331-F331</f>
        <v/>
      </c>
      <c r="I331" s="14">
        <f>IF(F331=0,0,G331/F331-1)</f>
        <v/>
      </c>
    </row>
    <row r="332">
      <c r="A332" s="8" t="inlineStr">
        <is>
          <t>1000.0000.2213.56400.950</t>
        </is>
      </c>
      <c r="B332" s="8" t="inlineStr">
        <is>
          <t>Books</t>
        </is>
      </c>
      <c r="C332" s="16" t="n">
        <v>1400</v>
      </c>
      <c r="D332" s="16" t="n">
        <v>641.09</v>
      </c>
      <c r="E332" s="16" t="n">
        <v>1217.67</v>
      </c>
      <c r="F332" s="16" t="n">
        <v>1400</v>
      </c>
      <c r="G332" s="16" t="n">
        <v>1400</v>
      </c>
      <c r="H332" s="16">
        <f>G332-F332</f>
        <v/>
      </c>
      <c r="I332" s="14">
        <f>IF(F332=0,0,G332/F332-1)</f>
        <v/>
      </c>
    </row>
    <row r="333">
      <c r="A333" s="9" t="n"/>
      <c r="B333" s="22" t="inlineStr">
        <is>
          <t>Program 0000 Total</t>
        </is>
      </c>
      <c r="C333" s="23">
        <f>SUM(C321:C332)</f>
        <v/>
      </c>
      <c r="D333" s="23">
        <f>SUM(D321:D332)</f>
        <v/>
      </c>
      <c r="E333" s="23">
        <f>SUM(E321:E332)</f>
        <v/>
      </c>
      <c r="F333" s="23">
        <f>SUM(F321:F332)</f>
        <v/>
      </c>
      <c r="G333" s="23">
        <f>SUM(G321:G332)</f>
        <v/>
      </c>
      <c r="H333" s="23">
        <f>SUM(H321:H332)</f>
        <v/>
      </c>
      <c r="I333" s="23">
        <f>SUM(I321:I332)</f>
        <v/>
      </c>
    </row>
    <row r="334">
      <c r="A334" s="9" t="n"/>
      <c r="B334" s="12" t="inlineStr">
        <is>
          <t>Cost Center ('950',) Total</t>
        </is>
      </c>
      <c r="C334" s="26">
        <f>C333</f>
        <v/>
      </c>
      <c r="D334" s="26">
        <f>D333</f>
        <v/>
      </c>
      <c r="E334" s="26">
        <f>E333</f>
        <v/>
      </c>
      <c r="F334" s="26">
        <f>F333</f>
        <v/>
      </c>
      <c r="G334" s="26">
        <f>G333</f>
        <v/>
      </c>
      <c r="H334" s="26">
        <f>H333</f>
        <v/>
      </c>
      <c r="I334" s="26">
        <f>I333</f>
        <v/>
      </c>
    </row>
    <row r="336">
      <c r="A336" s="3" t="inlineStr">
        <is>
          <t>Cost Center: ('990',)</t>
        </is>
      </c>
    </row>
    <row r="337">
      <c r="A337" s="8" t="inlineStr">
        <is>
          <t>1000.0000.2213.51500.990</t>
        </is>
      </c>
      <c r="B337" s="8" t="inlineStr">
        <is>
          <t>New Educator Mentors 9-12</t>
        </is>
      </c>
      <c r="C337" s="16" t="n">
        <v>0</v>
      </c>
      <c r="D337" s="16" t="n">
        <v>0</v>
      </c>
      <c r="E337" s="16" t="n">
        <v>0</v>
      </c>
      <c r="F337" s="16" t="n">
        <v>16032</v>
      </c>
      <c r="G337" s="16" t="n">
        <v>16032</v>
      </c>
      <c r="H337" s="16">
        <f>G337-F337</f>
        <v/>
      </c>
      <c r="I337" s="14">
        <f>IF(F337=0,0,G337/F337-1)</f>
        <v/>
      </c>
    </row>
    <row r="338">
      <c r="A338" s="9" t="n"/>
      <c r="B338" s="27" t="inlineStr">
        <is>
          <t>ARTICLE 5 TOTAL</t>
        </is>
      </c>
      <c r="C338" s="28">
        <f>C53+C94+C138+C175+C223+C287+C318+C334</f>
        <v/>
      </c>
      <c r="D338" s="28">
        <f>D53+D94+D138+D175+D223+D287+D318+D334</f>
        <v/>
      </c>
      <c r="E338" s="28">
        <f>E53+E94+E138+E175+E223+E287+E318+E334</f>
        <v/>
      </c>
      <c r="F338" s="28">
        <f>F53+F94+F138+F175+F223+F287+F318+F334</f>
        <v/>
      </c>
      <c r="G338" s="28">
        <f>G53+G94+G138+G175+G223+G287+G318+G334</f>
        <v/>
      </c>
      <c r="H338" s="28">
        <f>H53+H94+H138+H175+H223+H287+H318+H334</f>
        <v/>
      </c>
      <c r="I338" s="28">
        <f>I53+I94+I138+I175+I223+I287+I318+I334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6 - System Administration</t>
        </is>
      </c>
    </row>
    <row r="2">
      <c r="A2" s="2" t="inlineStr">
        <is>
          <t>Source: FY27 Proposed Budget, RSU 5</t>
        </is>
      </c>
    </row>
    <row r="3">
      <c r="A3" s="2" t="inlineStr">
        <is>
          <t>Verification: UNRECONCILED -- see Summary tab</t>
        </is>
      </c>
    </row>
    <row r="5">
      <c r="A5" s="4" t="inlineStr">
        <is>
          <t>Account</t>
        </is>
      </c>
      <c r="B5" s="4" t="inlineStr">
        <is>
          <t>Description</t>
        </is>
      </c>
      <c r="C5" s="4" t="inlineStr">
        <is>
          <t>FY23 Actual</t>
        </is>
      </c>
      <c r="D5" s="4" t="inlineStr">
        <is>
          <t>FY24 Actual</t>
        </is>
      </c>
      <c r="E5" s="4" t="inlineStr">
        <is>
          <t>FY25 Actual</t>
        </is>
      </c>
      <c r="F5" s="4" t="inlineStr">
        <is>
          <t>FY26 Adopted</t>
        </is>
      </c>
      <c r="G5" s="4" t="inlineStr">
        <is>
          <t>FY27 Proposed</t>
        </is>
      </c>
      <c r="H5" s="4" t="inlineStr">
        <is>
          <t>$ Diff</t>
        </is>
      </c>
      <c r="I5" s="4" t="inlineStr">
        <is>
          <t>% Diff</t>
        </is>
      </c>
    </row>
    <row r="6">
      <c r="A6" s="3" t="inlineStr">
        <is>
          <t>Cost Center: ('900',)</t>
        </is>
      </c>
    </row>
    <row r="7">
      <c r="A7" s="8" t="inlineStr">
        <is>
          <t>1000.0000.2310.51500.900</t>
        </is>
      </c>
      <c r="B7" s="8" t="inlineStr">
        <is>
          <t>Stipends</t>
        </is>
      </c>
      <c r="C7" s="16" t="n">
        <v>5625</v>
      </c>
      <c r="D7" s="16" t="n">
        <v>4900</v>
      </c>
      <c r="E7" s="16" t="n">
        <v>5150</v>
      </c>
      <c r="F7" s="16" t="n">
        <v>7150</v>
      </c>
      <c r="G7" s="16" t="n">
        <v>7150</v>
      </c>
      <c r="H7" s="16">
        <f>G7-F7</f>
        <v/>
      </c>
      <c r="I7" s="14">
        <f>IF(F7=0,0,G7/F7-1)</f>
        <v/>
      </c>
    </row>
    <row r="8">
      <c r="A8" s="8" t="inlineStr">
        <is>
          <t>1000.0000.2310.52000.900</t>
        </is>
      </c>
      <c r="B8" s="8" t="inlineStr">
        <is>
          <t>Board Stipend Benefits</t>
        </is>
      </c>
      <c r="C8" s="16" t="n">
        <v>452.96</v>
      </c>
      <c r="D8" s="16" t="n">
        <v>386.64</v>
      </c>
      <c r="E8" s="16" t="n">
        <v>442.07</v>
      </c>
      <c r="F8" s="16" t="n">
        <v>674</v>
      </c>
      <c r="G8" s="16" t="n">
        <v>675</v>
      </c>
      <c r="H8" s="16">
        <f>G8-F8</f>
        <v/>
      </c>
      <c r="I8" s="14">
        <f>IF(F8=0,0,G8/F8-1)</f>
        <v/>
      </c>
    </row>
    <row r="9">
      <c r="A9" s="8" t="inlineStr">
        <is>
          <t>1000.0000.2310.53400.900</t>
        </is>
      </c>
      <c r="B9" s="8" t="inlineStr">
        <is>
          <t>Professional Services</t>
        </is>
      </c>
      <c r="C9" s="16" t="n">
        <v>14500.92</v>
      </c>
      <c r="D9" s="16" t="n">
        <v>84228.45</v>
      </c>
      <c r="E9" s="16" t="n">
        <v>110559.87</v>
      </c>
      <c r="F9" s="16" t="n">
        <v>92970</v>
      </c>
      <c r="G9" s="16" t="n">
        <v>90185</v>
      </c>
      <c r="H9" s="16">
        <f>G9-F9</f>
        <v/>
      </c>
      <c r="I9" s="14">
        <f>IF(F9=0,0,G9/F9-1)</f>
        <v/>
      </c>
    </row>
    <row r="10">
      <c r="A10" s="8" t="inlineStr">
        <is>
          <t>1000.0000.2310.55200.900</t>
        </is>
      </c>
      <c r="B10" s="8" t="inlineStr">
        <is>
          <t>Insurance</t>
        </is>
      </c>
      <c r="C10" s="16" t="n">
        <v>43476.8</v>
      </c>
      <c r="D10" s="16" t="n">
        <v>34561.65</v>
      </c>
      <c r="E10" s="16" t="n">
        <v>43316</v>
      </c>
      <c r="F10" s="16" t="n">
        <v>47555</v>
      </c>
      <c r="G10" s="16" t="n">
        <v>47555</v>
      </c>
      <c r="H10" s="16">
        <f>G10-F10</f>
        <v/>
      </c>
      <c r="I10" s="14">
        <f>IF(F10=0,0,G10/F10-1)</f>
        <v/>
      </c>
    </row>
    <row r="11">
      <c r="A11" s="8" t="inlineStr">
        <is>
          <t>1000.0000.2310.55800.900</t>
        </is>
      </c>
      <c r="B11" s="8" t="inlineStr">
        <is>
          <t>Committee Travel</t>
        </is>
      </c>
      <c r="C11" s="16" t="n">
        <v>0</v>
      </c>
      <c r="D11" s="16" t="n">
        <v>0</v>
      </c>
      <c r="E11" s="16" t="n">
        <v>0</v>
      </c>
      <c r="F11" s="16" t="n">
        <v>150</v>
      </c>
      <c r="G11" s="16" t="n">
        <v>150</v>
      </c>
      <c r="H11" s="16">
        <f>G11-F11</f>
        <v/>
      </c>
      <c r="I11" s="14">
        <f>IF(F11=0,0,G11/F11-1)</f>
        <v/>
      </c>
    </row>
    <row r="12">
      <c r="A12" s="8" t="inlineStr">
        <is>
          <t>1000.0000.2310.56000.900</t>
        </is>
      </c>
      <c r="B12" s="8" t="inlineStr">
        <is>
          <t>Supplies</t>
        </is>
      </c>
      <c r="C12" s="16" t="n">
        <v>453.21</v>
      </c>
      <c r="D12" s="16" t="n">
        <v>834.97</v>
      </c>
      <c r="E12" s="16" t="n">
        <v>1427.68</v>
      </c>
      <c r="F12" s="16" t="n">
        <v>850</v>
      </c>
      <c r="G12" s="16" t="n">
        <v>960</v>
      </c>
      <c r="H12" s="16">
        <f>G12-F12</f>
        <v/>
      </c>
      <c r="I12" s="14">
        <f>IF(F12=0,0,G12/F12-1)</f>
        <v/>
      </c>
    </row>
    <row r="13">
      <c r="A13" s="8" t="inlineStr">
        <is>
          <t>1000.0000.2310.58100.900</t>
        </is>
      </c>
      <c r="B13" s="8" t="inlineStr">
        <is>
          <t>Dues &amp; Fees</t>
        </is>
      </c>
      <c r="C13" s="16" t="n">
        <v>6395.56</v>
      </c>
      <c r="D13" s="16" t="n">
        <v>6860</v>
      </c>
      <c r="E13" s="16" t="n">
        <v>7203</v>
      </c>
      <c r="F13" s="16" t="n">
        <v>7592</v>
      </c>
      <c r="G13" s="16" t="n">
        <v>7592</v>
      </c>
      <c r="H13" s="16">
        <f>G13-F13</f>
        <v/>
      </c>
      <c r="I13" s="14">
        <f>IF(F13=0,0,G13/F13-1)</f>
        <v/>
      </c>
    </row>
    <row r="14">
      <c r="A14" s="9" t="n"/>
      <c r="B14" s="22" t="inlineStr">
        <is>
          <t>Program 0000 Total</t>
        </is>
      </c>
      <c r="C14" s="23">
        <f>SUM(C7:C13)</f>
        <v/>
      </c>
      <c r="D14" s="23">
        <f>SUM(D7:D13)</f>
        <v/>
      </c>
      <c r="E14" s="23">
        <f>SUM(E7:E13)</f>
        <v/>
      </c>
      <c r="F14" s="23">
        <f>SUM(F7:F13)</f>
        <v/>
      </c>
      <c r="G14" s="23">
        <f>SUM(G7:G13)</f>
        <v/>
      </c>
      <c r="H14" s="23">
        <f>SUM(H7:H13)</f>
        <v/>
      </c>
      <c r="I14" s="23">
        <f>SUM(I7:I13)</f>
        <v/>
      </c>
    </row>
    <row r="15">
      <c r="A15" s="8" t="inlineStr">
        <is>
          <t>1000.0000.2314.53100.900</t>
        </is>
      </c>
      <c r="B15" s="8" t="inlineStr">
        <is>
          <t>Election Costs</t>
        </is>
      </c>
      <c r="C15" s="16" t="n">
        <v>0</v>
      </c>
      <c r="D15" s="16" t="n">
        <v>5481.49</v>
      </c>
      <c r="E15" s="16" t="n">
        <v>4883.64</v>
      </c>
      <c r="F15" s="16" t="n">
        <v>7525</v>
      </c>
      <c r="G15" s="16" t="n">
        <v>6600</v>
      </c>
      <c r="H15" s="16">
        <f>G15-F15</f>
        <v/>
      </c>
      <c r="I15" s="14">
        <f>IF(F15=0,0,G15/F15-1)</f>
        <v/>
      </c>
    </row>
    <row r="16">
      <c r="A16" s="8" t="inlineStr">
        <is>
          <t>1000.0000.2320.51040.900</t>
        </is>
      </c>
      <c r="B16" s="8" t="inlineStr">
        <is>
          <t>Superintendent's Salary</t>
        </is>
      </c>
      <c r="C16" s="16" t="n">
        <v>210808.82</v>
      </c>
      <c r="D16" s="16" t="n">
        <v>219280.05</v>
      </c>
      <c r="E16" s="16" t="n">
        <v>238427.39</v>
      </c>
      <c r="F16" s="16" t="n">
        <v>244059</v>
      </c>
      <c r="G16" s="16" t="n">
        <v>256185</v>
      </c>
      <c r="H16" s="16">
        <f>G16-F16</f>
        <v/>
      </c>
      <c r="I16" s="14">
        <f>IF(F16=0,0,G16/F16-1)</f>
        <v/>
      </c>
    </row>
    <row r="17">
      <c r="A17" s="8" t="inlineStr">
        <is>
          <t>1000.0000.2320.51180.900</t>
        </is>
      </c>
      <c r="B17" s="8" t="inlineStr">
        <is>
          <t>Support Wages</t>
        </is>
      </c>
      <c r="C17" s="16" t="n">
        <v>75772</v>
      </c>
      <c r="D17" s="16" t="n">
        <v>78424.02</v>
      </c>
      <c r="E17" s="16" t="n">
        <v>82345.22</v>
      </c>
      <c r="F17" s="16" t="n">
        <v>87286</v>
      </c>
      <c r="G17" s="16" t="n">
        <v>92087</v>
      </c>
      <c r="H17" s="16">
        <f>G17-F17</f>
        <v/>
      </c>
      <c r="I17" s="14">
        <f>IF(F17=0,0,G17/F17-1)</f>
        <v/>
      </c>
    </row>
    <row r="18">
      <c r="A18" s="8" t="inlineStr">
        <is>
          <t>1000.0000.2320.52040.900</t>
        </is>
      </c>
      <c r="B18" s="8" t="inlineStr">
        <is>
          <t>Superintendent Benefits</t>
        </is>
      </c>
      <c r="C18" s="16" t="n">
        <v>32959.48</v>
      </c>
      <c r="D18" s="16" t="n">
        <v>32994.48</v>
      </c>
      <c r="E18" s="16" t="n">
        <v>38639.32</v>
      </c>
      <c r="F18" s="16" t="n">
        <v>61007</v>
      </c>
      <c r="G18" s="16" t="n">
        <v>57544</v>
      </c>
      <c r="H18" s="16">
        <f>G18-F18</f>
        <v/>
      </c>
      <c r="I18" s="14">
        <f>IF(F18=0,0,G18/F18-1)</f>
        <v/>
      </c>
    </row>
    <row r="19">
      <c r="A19" s="8" t="inlineStr">
        <is>
          <t>1000.0000.2320.52080.900</t>
        </is>
      </c>
      <c r="B19" s="8" t="inlineStr">
        <is>
          <t>Support Benefits</t>
        </is>
      </c>
      <c r="C19" s="16" t="n">
        <v>24389.33</v>
      </c>
      <c r="D19" s="16" t="n">
        <v>25853.28</v>
      </c>
      <c r="E19" s="16" t="n">
        <v>27544.58</v>
      </c>
      <c r="F19" s="16" t="n">
        <v>39910</v>
      </c>
      <c r="G19" s="16" t="n">
        <v>42551</v>
      </c>
      <c r="H19" s="16">
        <f>G19-F19</f>
        <v/>
      </c>
      <c r="I19" s="14">
        <f>IF(F19=0,0,G19/F19-1)</f>
        <v/>
      </c>
    </row>
    <row r="20">
      <c r="A20" s="8" t="inlineStr">
        <is>
          <t>1000.0000.2320.52340.900</t>
        </is>
      </c>
      <c r="B20" s="8" t="inlineStr">
        <is>
          <t>Retirement</t>
        </is>
      </c>
      <c r="C20" s="16" t="n">
        <v>18070.9</v>
      </c>
      <c r="D20" s="16" t="n">
        <v>21232.12</v>
      </c>
      <c r="E20" s="16" t="n">
        <v>22065.55</v>
      </c>
      <c r="F20" s="16" t="n">
        <v>10909</v>
      </c>
      <c r="G20" s="16" t="n">
        <v>14451</v>
      </c>
      <c r="H20" s="16">
        <f>G20-F20</f>
        <v/>
      </c>
      <c r="I20" s="14">
        <f>IF(F20=0,0,G20/F20-1)</f>
        <v/>
      </c>
    </row>
    <row r="21">
      <c r="A21" s="8" t="inlineStr">
        <is>
          <t>1000.0000.2320.52380.900</t>
        </is>
      </c>
      <c r="B21" s="8" t="inlineStr">
        <is>
          <t>Retirement</t>
        </is>
      </c>
      <c r="C21" s="16" t="n">
        <v>7577.18</v>
      </c>
      <c r="D21" s="16" t="n">
        <v>7842.38</v>
      </c>
      <c r="E21" s="16" t="n">
        <v>8234.469999999999</v>
      </c>
      <c r="F21" s="16" t="n">
        <v>0</v>
      </c>
      <c r="G21" s="16" t="n">
        <v>9252</v>
      </c>
      <c r="H21" s="16">
        <f>G21-F21</f>
        <v/>
      </c>
      <c r="I21" s="14">
        <f>IF(F21=0,0,G21/F21-1)</f>
        <v/>
      </c>
    </row>
    <row r="22">
      <c r="A22" s="8" t="inlineStr">
        <is>
          <t>1000.0000.2320.53300.900</t>
        </is>
      </c>
      <c r="B22" s="8" t="inlineStr">
        <is>
          <t>Employee Training &amp;</t>
        </is>
      </c>
      <c r="C22" s="16" t="n">
        <v>0</v>
      </c>
      <c r="D22" s="16" t="n">
        <v>3179</v>
      </c>
      <c r="E22" s="16" t="n">
        <v>3383</v>
      </c>
      <c r="F22" s="16" t="n">
        <v>3050</v>
      </c>
      <c r="G22" s="16" t="n">
        <v>3560</v>
      </c>
      <c r="H22" s="16">
        <f>G22-F22</f>
        <v/>
      </c>
      <c r="I22" s="14">
        <f>IF(F22=0,0,G22/F22-1)</f>
        <v/>
      </c>
    </row>
    <row r="23">
      <c r="A23" s="8" t="inlineStr">
        <is>
          <t>1000.0000.2320.53400.900</t>
        </is>
      </c>
      <c r="B23" s="8" t="inlineStr">
        <is>
          <t>Professional Services</t>
        </is>
      </c>
      <c r="C23" s="16" t="n">
        <v>87527.16</v>
      </c>
      <c r="D23" s="16" t="n">
        <v>89358.97</v>
      </c>
      <c r="E23" s="16" t="n">
        <v>56020.8</v>
      </c>
      <c r="F23" s="16" t="n">
        <v>72995</v>
      </c>
      <c r="G23" s="16" t="n">
        <v>74545</v>
      </c>
      <c r="H23" s="16">
        <f>G23-F23</f>
        <v/>
      </c>
      <c r="I23" s="14">
        <f>IF(F23=0,0,G23/F23-1)</f>
        <v/>
      </c>
    </row>
    <row r="24">
      <c r="A24" s="8" t="inlineStr">
        <is>
          <t>1000.0000.2320.54330.900</t>
        </is>
      </c>
      <c r="B24" s="8" t="inlineStr">
        <is>
          <t>Software Repairs &amp;</t>
        </is>
      </c>
      <c r="C24" s="16" t="n">
        <v>67555.39999999999</v>
      </c>
      <c r="D24" s="16" t="n">
        <v>2571.02</v>
      </c>
      <c r="E24" s="16" t="n">
        <v>9310.73</v>
      </c>
      <c r="F24" s="16" t="n">
        <v>10000</v>
      </c>
      <c r="G24" s="16" t="n">
        <v>10000</v>
      </c>
      <c r="H24" s="16">
        <f>G24-F24</f>
        <v/>
      </c>
      <c r="I24" s="14">
        <f>IF(F24=0,0,G24/F24-1)</f>
        <v/>
      </c>
    </row>
    <row r="25">
      <c r="A25" s="8" t="inlineStr">
        <is>
          <t>1000.0000.2320.55310.900</t>
        </is>
      </c>
      <c r="B25" s="8" t="inlineStr">
        <is>
          <t>Postage</t>
        </is>
      </c>
      <c r="C25" s="16" t="n">
        <v>9088.809999999999</v>
      </c>
      <c r="D25" s="16" t="n">
        <v>5513.78</v>
      </c>
      <c r="E25" s="16" t="n">
        <v>7206.28</v>
      </c>
      <c r="F25" s="16" t="n">
        <v>7200</v>
      </c>
      <c r="G25" s="16" t="n">
        <v>7700</v>
      </c>
      <c r="H25" s="16">
        <f>G25-F25</f>
        <v/>
      </c>
      <c r="I25" s="14">
        <f>IF(F25=0,0,G25/F25-1)</f>
        <v/>
      </c>
    </row>
    <row r="26">
      <c r="A26" s="8" t="inlineStr">
        <is>
          <t>1000.0000.2320.55400.900</t>
        </is>
      </c>
      <c r="B26" s="8" t="inlineStr">
        <is>
          <t>Advertising</t>
        </is>
      </c>
      <c r="C26" s="16" t="n">
        <v>1854</v>
      </c>
      <c r="D26" s="16" t="n">
        <v>1309.42</v>
      </c>
      <c r="E26" s="16" t="n">
        <v>857.04</v>
      </c>
      <c r="F26" s="16" t="n">
        <v>1500</v>
      </c>
      <c r="G26" s="16" t="n">
        <v>1500</v>
      </c>
      <c r="H26" s="16">
        <f>G26-F26</f>
        <v/>
      </c>
      <c r="I26" s="14">
        <f>IF(F26=0,0,G26/F26-1)</f>
        <v/>
      </c>
    </row>
    <row r="27">
      <c r="A27" s="8" t="inlineStr">
        <is>
          <t>1000.0000.2320.55800.900</t>
        </is>
      </c>
      <c r="B27" s="8" t="inlineStr">
        <is>
          <t>Travel</t>
        </is>
      </c>
      <c r="C27" s="16" t="n">
        <v>2105.17</v>
      </c>
      <c r="D27" s="16" t="n">
        <v>3299.51</v>
      </c>
      <c r="E27" s="16" t="n">
        <v>2412.15</v>
      </c>
      <c r="F27" s="16" t="n">
        <v>2600</v>
      </c>
      <c r="G27" s="16" t="n">
        <v>2900</v>
      </c>
      <c r="H27" s="16">
        <f>G27-F27</f>
        <v/>
      </c>
      <c r="I27" s="14">
        <f>IF(F27=0,0,G27/F27-1)</f>
        <v/>
      </c>
    </row>
    <row r="28">
      <c r="A28" s="8" t="inlineStr">
        <is>
          <t>1000.0000.2320.56000.900</t>
        </is>
      </c>
      <c r="B28" s="8" t="inlineStr">
        <is>
          <t>Supplies</t>
        </is>
      </c>
      <c r="C28" s="16" t="n">
        <v>12436.27</v>
      </c>
      <c r="D28" s="16" t="n">
        <v>13548.75</v>
      </c>
      <c r="E28" s="16" t="n">
        <v>11425.25</v>
      </c>
      <c r="F28" s="16" t="n">
        <v>15400</v>
      </c>
      <c r="G28" s="16" t="n">
        <v>15400</v>
      </c>
      <c r="H28" s="16">
        <f>G28-F28</f>
        <v/>
      </c>
      <c r="I28" s="14">
        <f>IF(F28=0,0,G28/F28-1)</f>
        <v/>
      </c>
    </row>
    <row r="29">
      <c r="A29" s="8" t="inlineStr">
        <is>
          <t>1000.0000.2320.56400.900</t>
        </is>
      </c>
      <c r="B29" s="8" t="inlineStr">
        <is>
          <t>Books</t>
        </is>
      </c>
      <c r="C29" s="16" t="n">
        <v>0</v>
      </c>
      <c r="D29" s="16" t="n">
        <v>0</v>
      </c>
      <c r="E29" s="16" t="n">
        <v>0</v>
      </c>
      <c r="F29" s="16" t="n">
        <v>100</v>
      </c>
      <c r="G29" s="16" t="n">
        <v>0</v>
      </c>
      <c r="H29" s="16">
        <f>G29-F29</f>
        <v/>
      </c>
      <c r="I29" s="14">
        <f>IF(F29=0,0,G29/F29-1)</f>
        <v/>
      </c>
    </row>
    <row r="30">
      <c r="A30" s="8" t="inlineStr">
        <is>
          <t>1000.0000.2320.57340.900</t>
        </is>
      </c>
      <c r="B30" s="8" t="inlineStr">
        <is>
          <t>Technology Equipment</t>
        </is>
      </c>
      <c r="C30" s="16" t="n">
        <v>0</v>
      </c>
      <c r="D30" s="16" t="n">
        <v>1000</v>
      </c>
      <c r="E30" s="16" t="n">
        <v>776.59</v>
      </c>
      <c r="F30" s="16" t="n">
        <v>0</v>
      </c>
      <c r="G30" s="16" t="n">
        <v>0</v>
      </c>
      <c r="H30" s="16">
        <f>G30-F30</f>
        <v/>
      </c>
      <c r="I30" s="14">
        <f>IF(F30=0,0,G30/F30-1)</f>
        <v/>
      </c>
    </row>
    <row r="31">
      <c r="A31" s="8" t="inlineStr">
        <is>
          <t>1000.0000.2320.58100.900</t>
        </is>
      </c>
      <c r="B31" s="8" t="inlineStr">
        <is>
          <t>Dues and Fees</t>
        </is>
      </c>
      <c r="C31" s="16" t="n">
        <v>11563.43</v>
      </c>
      <c r="D31" s="16" t="n">
        <v>7237.5</v>
      </c>
      <c r="E31" s="16" t="n">
        <v>6736</v>
      </c>
      <c r="F31" s="16" t="n">
        <v>7648</v>
      </c>
      <c r="G31" s="16" t="n">
        <v>7748</v>
      </c>
      <c r="H31" s="16">
        <f>G31-F31</f>
        <v/>
      </c>
      <c r="I31" s="14">
        <f>IF(F31=0,0,G31/F31-1)</f>
        <v/>
      </c>
    </row>
    <row r="32">
      <c r="A32" s="8" t="inlineStr">
        <is>
          <t>1000.0000.2320.59000.900</t>
        </is>
      </c>
      <c r="B32" s="8" t="inlineStr">
        <is>
          <t>Aspirations / Miscellaneous</t>
        </is>
      </c>
      <c r="C32" s="16" t="n">
        <v>6107.74</v>
      </c>
      <c r="D32" s="16" t="n">
        <v>2000</v>
      </c>
      <c r="E32" s="16" t="n">
        <v>606.73</v>
      </c>
      <c r="F32" s="16" t="n">
        <v>8600</v>
      </c>
      <c r="G32" s="16" t="n">
        <v>8600</v>
      </c>
      <c r="H32" s="16">
        <f>G32-F32</f>
        <v/>
      </c>
      <c r="I32" s="14">
        <f>IF(F32=0,0,G32/F32-1)</f>
        <v/>
      </c>
    </row>
    <row r="33">
      <c r="A33" s="9" t="n"/>
      <c r="B33" s="22" t="inlineStr">
        <is>
          <t>Program 0000 Total</t>
        </is>
      </c>
      <c r="C33" s="23">
        <f>SUM(C16:C32)</f>
        <v/>
      </c>
      <c r="D33" s="23">
        <f>SUM(D16:D32)</f>
        <v/>
      </c>
      <c r="E33" s="23">
        <f>SUM(E16:E32)</f>
        <v/>
      </c>
      <c r="F33" s="23">
        <f>SUM(F16:F32)</f>
        <v/>
      </c>
      <c r="G33" s="23">
        <f>SUM(G16:G32)</f>
        <v/>
      </c>
      <c r="H33" s="23">
        <f>SUM(H16:H32)</f>
        <v/>
      </c>
      <c r="I33" s="23">
        <f>SUM(I16:I32)</f>
        <v/>
      </c>
    </row>
    <row r="34">
      <c r="A34" s="8" t="inlineStr">
        <is>
          <t>1000.0000.2500.51040.900</t>
        </is>
      </c>
      <c r="B34" s="8" t="inlineStr">
        <is>
          <t>Administrator Salary</t>
        </is>
      </c>
      <c r="C34" s="16" t="n">
        <v>114630</v>
      </c>
      <c r="D34" s="16" t="n">
        <v>124691</v>
      </c>
      <c r="E34" s="16" t="n">
        <v>143925</v>
      </c>
      <c r="F34" s="16" t="n">
        <v>151925</v>
      </c>
      <c r="G34" s="16" t="n">
        <v>160282</v>
      </c>
      <c r="H34" s="16">
        <f>G34-F34</f>
        <v/>
      </c>
      <c r="I34" s="14">
        <f>IF(F34=0,0,G34/F34-1)</f>
        <v/>
      </c>
    </row>
    <row r="35">
      <c r="A35" s="8" t="inlineStr">
        <is>
          <t>1000.0000.2500.51180.900</t>
        </is>
      </c>
      <c r="B35" s="8" t="inlineStr">
        <is>
          <t>Salaries</t>
        </is>
      </c>
      <c r="C35" s="16" t="n">
        <v>174868.53</v>
      </c>
      <c r="D35" s="16" t="n">
        <v>189421.15</v>
      </c>
      <c r="E35" s="16" t="n">
        <v>215417.67</v>
      </c>
      <c r="F35" s="16" t="n">
        <v>217944</v>
      </c>
      <c r="G35" s="16" t="n">
        <v>200547</v>
      </c>
      <c r="H35" s="16">
        <f>G35-F35</f>
        <v/>
      </c>
      <c r="I35" s="14">
        <f>IF(F35=0,0,G35/F35-1)</f>
        <v/>
      </c>
    </row>
    <row r="36">
      <c r="A36" s="8" t="inlineStr">
        <is>
          <t>1000.0000.2500.52040.900</t>
        </is>
      </c>
      <c r="B36" s="8" t="inlineStr">
        <is>
          <t>Admin Benefits</t>
        </is>
      </c>
      <c r="C36" s="16" t="n">
        <v>19360.36</v>
      </c>
      <c r="D36" s="16" t="n">
        <v>30926.77</v>
      </c>
      <c r="E36" s="16" t="n">
        <v>32933.17</v>
      </c>
      <c r="F36" s="16" t="n">
        <v>46070</v>
      </c>
      <c r="G36" s="16" t="n">
        <v>54169</v>
      </c>
      <c r="H36" s="16">
        <f>G36-F36</f>
        <v/>
      </c>
      <c r="I36" s="14">
        <f>IF(F36=0,0,G36/F36-1)</f>
        <v/>
      </c>
    </row>
    <row r="37">
      <c r="A37" s="8" t="inlineStr">
        <is>
          <t>1000.0000.2500.52080.900</t>
        </is>
      </c>
      <c r="B37" s="8" t="inlineStr">
        <is>
          <t>Benefits</t>
        </is>
      </c>
      <c r="C37" s="16" t="n">
        <v>43124.34</v>
      </c>
      <c r="D37" s="16" t="n">
        <v>38499.32</v>
      </c>
      <c r="E37" s="16" t="n">
        <v>38545.02</v>
      </c>
      <c r="F37" s="16" t="n">
        <v>46202</v>
      </c>
      <c r="G37" s="16" t="n">
        <v>39841</v>
      </c>
      <c r="H37" s="16">
        <f>G37-F37</f>
        <v/>
      </c>
      <c r="I37" s="14">
        <f>IF(F37=0,0,G37/F37-1)</f>
        <v/>
      </c>
    </row>
    <row r="38">
      <c r="A38" s="8" t="inlineStr">
        <is>
          <t>1000.0000.2500.52340.900</t>
        </is>
      </c>
      <c r="B38" s="8" t="inlineStr">
        <is>
          <t>Retirement</t>
        </is>
      </c>
      <c r="C38" s="16" t="n">
        <v>5440.89</v>
      </c>
      <c r="D38" s="16" t="n">
        <v>12409.03</v>
      </c>
      <c r="E38" s="16" t="n">
        <v>7166.38</v>
      </c>
      <c r="F38" s="16" t="n">
        <v>0</v>
      </c>
      <c r="G38" s="16" t="n">
        <v>8014</v>
      </c>
      <c r="H38" s="16">
        <f>G38-F38</f>
        <v/>
      </c>
      <c r="I38" s="14">
        <f>IF(F38=0,0,G38/F38-1)</f>
        <v/>
      </c>
    </row>
    <row r="39">
      <c r="A39" s="8" t="inlineStr">
        <is>
          <t>1000.0000.2500.52380.900</t>
        </is>
      </c>
      <c r="B39" s="8" t="inlineStr">
        <is>
          <t>Retirement</t>
        </is>
      </c>
      <c r="C39" s="16" t="n">
        <v>8134.73</v>
      </c>
      <c r="D39" s="16" t="n">
        <v>7606.71</v>
      </c>
      <c r="E39" s="16" t="n">
        <v>8959.120000000001</v>
      </c>
      <c r="F39" s="16" t="n">
        <v>10897</v>
      </c>
      <c r="G39" s="16" t="n">
        <v>10027</v>
      </c>
      <c r="H39" s="16">
        <f>G39-F39</f>
        <v/>
      </c>
      <c r="I39" s="14">
        <f>IF(F39=0,0,G39/F39-1)</f>
        <v/>
      </c>
    </row>
    <row r="40">
      <c r="A40" s="8" t="inlineStr">
        <is>
          <t>1000.0000.2500.53300.900</t>
        </is>
      </c>
      <c r="B40" s="8" t="inlineStr">
        <is>
          <t>Training &amp; Development</t>
        </is>
      </c>
      <c r="C40" s="16" t="n">
        <v>595</v>
      </c>
      <c r="D40" s="16" t="n">
        <v>1878</v>
      </c>
      <c r="E40" s="16" t="n">
        <v>2326</v>
      </c>
      <c r="F40" s="16" t="n">
        <v>5400</v>
      </c>
      <c r="G40" s="16" t="n">
        <v>5400</v>
      </c>
      <c r="H40" s="16">
        <f>G40-F40</f>
        <v/>
      </c>
      <c r="I40" s="14">
        <f>IF(F40=0,0,G40/F40-1)</f>
        <v/>
      </c>
    </row>
    <row r="41">
      <c r="A41" s="8" t="inlineStr">
        <is>
          <t>1000.0000.2500.53400.900</t>
        </is>
      </c>
      <c r="B41" s="8" t="inlineStr">
        <is>
          <t>Purchased Professional</t>
        </is>
      </c>
      <c r="C41" s="16" t="n">
        <v>0</v>
      </c>
      <c r="D41" s="16" t="n">
        <v>0</v>
      </c>
      <c r="E41" s="16" t="n">
        <v>37972.8</v>
      </c>
      <c r="F41" s="16" t="n">
        <v>40900</v>
      </c>
      <c r="G41" s="16" t="n">
        <v>56950</v>
      </c>
      <c r="H41" s="16">
        <f>G41-F41</f>
        <v/>
      </c>
      <c r="I41" s="14">
        <f>IF(F41=0,0,G41/F41-1)</f>
        <v/>
      </c>
    </row>
    <row r="42">
      <c r="A42" s="8" t="inlineStr">
        <is>
          <t>1000.0000.2500.55800.900</t>
        </is>
      </c>
      <c r="B42" s="8" t="inlineStr">
        <is>
          <t>Travel</t>
        </is>
      </c>
      <c r="C42" s="16" t="n">
        <v>455.81</v>
      </c>
      <c r="D42" s="16" t="n">
        <v>394.6</v>
      </c>
      <c r="E42" s="16" t="n">
        <v>1866.36</v>
      </c>
      <c r="F42" s="16" t="n">
        <v>1500</v>
      </c>
      <c r="G42" s="16" t="n">
        <v>1750</v>
      </c>
      <c r="H42" s="16">
        <f>G42-F42</f>
        <v/>
      </c>
      <c r="I42" s="14">
        <f>IF(F42=0,0,G42/F42-1)</f>
        <v/>
      </c>
    </row>
    <row r="43">
      <c r="A43" s="8" t="inlineStr">
        <is>
          <t>1000.0000.2500.55810.900</t>
        </is>
      </c>
      <c r="B43" s="8" t="inlineStr">
        <is>
          <t>Travel</t>
        </is>
      </c>
      <c r="C43" s="16" t="n">
        <v>17</v>
      </c>
      <c r="D43" s="16" t="n">
        <v>0</v>
      </c>
      <c r="E43" s="16" t="n">
        <v>0</v>
      </c>
      <c r="F43" s="16" t="n">
        <v>0</v>
      </c>
      <c r="G43" s="16" t="n">
        <v>0</v>
      </c>
      <c r="H43" s="16">
        <f>G43-F43</f>
        <v/>
      </c>
      <c r="I43" s="14">
        <f>IF(F43=0,0,G43/F43-1)</f>
        <v/>
      </c>
    </row>
    <row r="44">
      <c r="A44" s="8" t="inlineStr">
        <is>
          <t>1000.0000.2500.56000.900</t>
        </is>
      </c>
      <c r="B44" s="8" t="inlineStr">
        <is>
          <t>Supplies</t>
        </is>
      </c>
      <c r="C44" s="16" t="n">
        <v>0</v>
      </c>
      <c r="D44" s="16" t="n">
        <v>3982.81</v>
      </c>
      <c r="E44" s="16" t="n">
        <v>2267.85</v>
      </c>
      <c r="F44" s="16" t="n">
        <v>4075</v>
      </c>
      <c r="G44" s="16" t="n">
        <v>4340</v>
      </c>
      <c r="H44" s="16">
        <f>G44-F44</f>
        <v/>
      </c>
      <c r="I44" s="14">
        <f>IF(F44=0,0,G44/F44-1)</f>
        <v/>
      </c>
    </row>
    <row r="45">
      <c r="A45" s="8" t="inlineStr">
        <is>
          <t>1000.0000.2500.58100.900</t>
        </is>
      </c>
      <c r="B45" s="8" t="inlineStr">
        <is>
          <t>Dues and Fees</t>
        </is>
      </c>
      <c r="C45" s="16" t="n">
        <v>4942.32</v>
      </c>
      <c r="D45" s="16" t="n">
        <v>2053</v>
      </c>
      <c r="E45" s="16" t="n">
        <v>6093.6</v>
      </c>
      <c r="F45" s="16" t="n">
        <v>1944</v>
      </c>
      <c r="G45" s="16" t="n">
        <v>1798</v>
      </c>
      <c r="H45" s="16">
        <f>G45-F45</f>
        <v/>
      </c>
      <c r="I45" s="14">
        <f>IF(F45=0,0,G45/F45-1)</f>
        <v/>
      </c>
    </row>
    <row r="46">
      <c r="A46" s="9" t="n"/>
      <c r="B46" s="22" t="inlineStr">
        <is>
          <t>Program 0000 Total</t>
        </is>
      </c>
      <c r="C46" s="23">
        <f>SUM(C34:C45)</f>
        <v/>
      </c>
      <c r="D46" s="23">
        <f>SUM(D34:D45)</f>
        <v/>
      </c>
      <c r="E46" s="23">
        <f>SUM(E34:E45)</f>
        <v/>
      </c>
      <c r="F46" s="23">
        <f>SUM(F34:F45)</f>
        <v/>
      </c>
      <c r="G46" s="23">
        <f>SUM(G34:G45)</f>
        <v/>
      </c>
      <c r="H46" s="23">
        <f>SUM(H34:H45)</f>
        <v/>
      </c>
      <c r="I46" s="23">
        <f>SUM(I34:I45)</f>
        <v/>
      </c>
    </row>
    <row r="47">
      <c r="A47" s="9" t="n"/>
      <c r="B47" s="12" t="inlineStr">
        <is>
          <t>Cost Center ('900',) Total</t>
        </is>
      </c>
      <c r="C47" s="26">
        <f>C14+C33+C46</f>
        <v/>
      </c>
      <c r="D47" s="26">
        <f>D14+D33+D46</f>
        <v/>
      </c>
      <c r="E47" s="26">
        <f>E14+E33+E46</f>
        <v/>
      </c>
      <c r="F47" s="26">
        <f>F14+F33+F46</f>
        <v/>
      </c>
      <c r="G47" s="26">
        <f>G14+G33+G46</f>
        <v/>
      </c>
      <c r="H47" s="26">
        <f>H14+H33+H46</f>
        <v/>
      </c>
      <c r="I47" s="26">
        <f>I14+I33+I46</f>
        <v/>
      </c>
    </row>
    <row r="49">
      <c r="A49" s="9" t="n"/>
      <c r="B49" s="27" t="inlineStr">
        <is>
          <t>ARTICLE 6 TOTAL</t>
        </is>
      </c>
      <c r="C49" s="28">
        <f>C47</f>
        <v/>
      </c>
      <c r="D49" s="28">
        <f>D47</f>
        <v/>
      </c>
      <c r="E49" s="28">
        <f>E47</f>
        <v/>
      </c>
      <c r="F49" s="28">
        <f>F47</f>
        <v/>
      </c>
      <c r="G49" s="28">
        <f>G47</f>
        <v/>
      </c>
      <c r="H49" s="28">
        <f>H47</f>
        <v/>
      </c>
      <c r="I49" s="28">
        <f>I47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7 - School Administration</t>
        </is>
      </c>
    </row>
    <row r="2">
      <c r="A2" s="2" t="inlineStr">
        <is>
          <t>Source: FY27 Proposed Budget, RSU 5</t>
        </is>
      </c>
    </row>
    <row r="3">
      <c r="A3" s="2" t="inlineStr">
        <is>
          <t>Verification: UNRECONCILED -- see Summary tab</t>
        </is>
      </c>
    </row>
    <row r="5">
      <c r="A5" s="4" t="inlineStr">
        <is>
          <t>Account</t>
        </is>
      </c>
      <c r="B5" s="4" t="inlineStr">
        <is>
          <t>Description</t>
        </is>
      </c>
      <c r="C5" s="4" t="inlineStr">
        <is>
          <t>FY23 Actual</t>
        </is>
      </c>
      <c r="D5" s="4" t="inlineStr">
        <is>
          <t>FY24 Actual</t>
        </is>
      </c>
      <c r="E5" s="4" t="inlineStr">
        <is>
          <t>FY25 Actual</t>
        </is>
      </c>
      <c r="F5" s="4" t="inlineStr">
        <is>
          <t>FY26 Adopted</t>
        </is>
      </c>
      <c r="G5" s="4" t="inlineStr">
        <is>
          <t>FY27 Proposed</t>
        </is>
      </c>
      <c r="H5" s="4" t="inlineStr">
        <is>
          <t>$ Diff</t>
        </is>
      </c>
      <c r="I5" s="4" t="inlineStr">
        <is>
          <t>% Diff</t>
        </is>
      </c>
    </row>
    <row r="6">
      <c r="A6" s="3" t="inlineStr">
        <is>
          <t>Cost Center: ('010',)</t>
        </is>
      </c>
    </row>
    <row r="7">
      <c r="A7" s="8" t="inlineStr">
        <is>
          <t>1000.0000.2400.51040.010</t>
        </is>
      </c>
      <c r="B7" s="8" t="inlineStr">
        <is>
          <t>Admin Salary</t>
        </is>
      </c>
      <c r="C7" s="16" t="n">
        <v>230806</v>
      </c>
      <c r="D7" s="16" t="n">
        <v>243767</v>
      </c>
      <c r="E7" s="16" t="n">
        <v>272254.46</v>
      </c>
      <c r="F7" s="16" t="n">
        <v>270646</v>
      </c>
      <c r="G7" s="16" t="n">
        <v>285533</v>
      </c>
      <c r="H7" s="16">
        <f>G7-F7</f>
        <v/>
      </c>
      <c r="I7" s="14">
        <f>IF(F7=0,0,G7/F7-1)</f>
        <v/>
      </c>
    </row>
    <row r="8">
      <c r="A8" s="8" t="inlineStr">
        <is>
          <t>1000.0000.2400.51180.010</t>
        </is>
      </c>
      <c r="B8" s="8" t="inlineStr">
        <is>
          <t>Support Wages</t>
        </is>
      </c>
      <c r="C8" s="16" t="n">
        <v>82988.27</v>
      </c>
      <c r="D8" s="16" t="n">
        <v>91863.00999999999</v>
      </c>
      <c r="E8" s="16" t="n">
        <v>103385.62</v>
      </c>
      <c r="F8" s="16" t="n">
        <v>100527</v>
      </c>
      <c r="G8" s="16" t="n">
        <v>101329</v>
      </c>
      <c r="H8" s="16">
        <f>G8-F8</f>
        <v/>
      </c>
      <c r="I8" s="14">
        <f>IF(F8=0,0,G8/F8-1)</f>
        <v/>
      </c>
    </row>
    <row r="9">
      <c r="A9" s="8" t="inlineStr">
        <is>
          <t>1000.0000.2400.52040.010</t>
        </is>
      </c>
      <c r="B9" s="8" t="inlineStr">
        <is>
          <t>Admin Benefits</t>
        </is>
      </c>
      <c r="C9" s="16" t="n">
        <v>51312.82</v>
      </c>
      <c r="D9" s="16" t="n">
        <v>40021.72</v>
      </c>
      <c r="E9" s="16" t="n">
        <v>52376.75</v>
      </c>
      <c r="F9" s="16" t="n">
        <v>62446</v>
      </c>
      <c r="G9" s="16" t="n">
        <v>69251</v>
      </c>
      <c r="H9" s="16">
        <f>G9-F9</f>
        <v/>
      </c>
      <c r="I9" s="14">
        <f>IF(F9=0,0,G9/F9-1)</f>
        <v/>
      </c>
    </row>
    <row r="10">
      <c r="A10" s="8" t="inlineStr">
        <is>
          <t>1000.0000.2400.52080.010</t>
        </is>
      </c>
      <c r="B10" s="8" t="inlineStr">
        <is>
          <t>Support Benefits</t>
        </is>
      </c>
      <c r="C10" s="16" t="n">
        <v>23255.02</v>
      </c>
      <c r="D10" s="16" t="n">
        <v>21746.08</v>
      </c>
      <c r="E10" s="16" t="n">
        <v>22060.69</v>
      </c>
      <c r="F10" s="16" t="n">
        <v>25368</v>
      </c>
      <c r="G10" s="16" t="n">
        <v>35116</v>
      </c>
      <c r="H10" s="16">
        <f>G10-F10</f>
        <v/>
      </c>
      <c r="I10" s="14">
        <f>IF(F10=0,0,G10/F10-1)</f>
        <v/>
      </c>
    </row>
    <row r="11">
      <c r="A11" s="8" t="inlineStr">
        <is>
          <t>1000.0000.2400.52340.010</t>
        </is>
      </c>
      <c r="B11" s="8" t="inlineStr">
        <is>
          <t>Retirement</t>
        </is>
      </c>
      <c r="C11" s="16" t="n">
        <v>8816.860000000001</v>
      </c>
      <c r="D11" s="16" t="n">
        <v>10486.81</v>
      </c>
      <c r="E11" s="16" t="n">
        <v>12142.91</v>
      </c>
      <c r="F11" s="16" t="n">
        <v>12098</v>
      </c>
      <c r="G11" s="16" t="n">
        <v>12764</v>
      </c>
      <c r="H11" s="16">
        <f>G11-F11</f>
        <v/>
      </c>
      <c r="I11" s="14">
        <f>IF(F11=0,0,G11/F11-1)</f>
        <v/>
      </c>
    </row>
    <row r="12">
      <c r="A12" s="8" t="inlineStr">
        <is>
          <t>1000.0000.2400.52380.010</t>
        </is>
      </c>
      <c r="B12" s="8" t="inlineStr">
        <is>
          <t>Retirement</t>
        </is>
      </c>
      <c r="C12" s="16" t="n">
        <v>0</v>
      </c>
      <c r="D12" s="16" t="n">
        <v>0</v>
      </c>
      <c r="E12" s="16" t="n">
        <v>2268.24</v>
      </c>
      <c r="F12" s="16" t="n">
        <v>5026</v>
      </c>
      <c r="G12" s="16" t="n">
        <v>5472</v>
      </c>
      <c r="H12" s="16">
        <f>G12-F12</f>
        <v/>
      </c>
      <c r="I12" s="14">
        <f>IF(F12=0,0,G12/F12-1)</f>
        <v/>
      </c>
    </row>
    <row r="13">
      <c r="A13" s="8" t="inlineStr">
        <is>
          <t>1000.0000.2400.53400.010</t>
        </is>
      </c>
      <c r="B13" s="8" t="inlineStr">
        <is>
          <t>Other Professional Services</t>
        </is>
      </c>
      <c r="C13" s="16" t="n">
        <v>0</v>
      </c>
      <c r="D13" s="16" t="n">
        <v>0</v>
      </c>
      <c r="E13" s="16" t="n">
        <v>0</v>
      </c>
      <c r="F13" s="16" t="n">
        <v>240</v>
      </c>
      <c r="G13" s="16" t="n">
        <v>240</v>
      </c>
      <c r="H13" s="16">
        <f>G13-F13</f>
        <v/>
      </c>
      <c r="I13" s="14">
        <f>IF(F13=0,0,G13/F13-1)</f>
        <v/>
      </c>
    </row>
    <row r="14">
      <c r="A14" s="8" t="inlineStr">
        <is>
          <t>1000.0000.2400.55310.010</t>
        </is>
      </c>
      <c r="B14" s="8" t="inlineStr">
        <is>
          <t>Postage</t>
        </is>
      </c>
      <c r="C14" s="16" t="n">
        <v>1754.45</v>
      </c>
      <c r="D14" s="16" t="n">
        <v>1840.95</v>
      </c>
      <c r="E14" s="16" t="n">
        <v>2047.49</v>
      </c>
      <c r="F14" s="16" t="n">
        <v>2250</v>
      </c>
      <c r="G14" s="16" t="n">
        <v>2250</v>
      </c>
      <c r="H14" s="16">
        <f>G14-F14</f>
        <v/>
      </c>
      <c r="I14" s="14">
        <f>IF(F14=0,0,G14/F14-1)</f>
        <v/>
      </c>
    </row>
    <row r="15">
      <c r="A15" s="8" t="inlineStr">
        <is>
          <t>1000.0000.2400.55800.010</t>
        </is>
      </c>
      <c r="B15" s="8" t="inlineStr">
        <is>
          <t>Travel</t>
        </is>
      </c>
      <c r="C15" s="16" t="n">
        <v>408.77</v>
      </c>
      <c r="D15" s="16" t="n">
        <v>344.18</v>
      </c>
      <c r="E15" s="16" t="n">
        <v>269.64</v>
      </c>
      <c r="F15" s="16" t="n">
        <v>520</v>
      </c>
      <c r="G15" s="16" t="n">
        <v>520</v>
      </c>
      <c r="H15" s="16">
        <f>G15-F15</f>
        <v/>
      </c>
      <c r="I15" s="14">
        <f>IF(F15=0,0,G15/F15-1)</f>
        <v/>
      </c>
    </row>
    <row r="16">
      <c r="A16" s="8" t="inlineStr">
        <is>
          <t>1000.0000.2400.56000.010</t>
        </is>
      </c>
      <c r="B16" s="8" t="inlineStr">
        <is>
          <t>Supplies</t>
        </is>
      </c>
      <c r="C16" s="16" t="n">
        <v>1028.67</v>
      </c>
      <c r="D16" s="16" t="n">
        <v>1192.51</v>
      </c>
      <c r="E16" s="16" t="n">
        <v>1148.88</v>
      </c>
      <c r="F16" s="16" t="n">
        <v>1200</v>
      </c>
      <c r="G16" s="16" t="n">
        <v>1200</v>
      </c>
      <c r="H16" s="16">
        <f>G16-F16</f>
        <v/>
      </c>
      <c r="I16" s="14">
        <f>IF(F16=0,0,G16/F16-1)</f>
        <v/>
      </c>
    </row>
    <row r="17">
      <c r="A17" s="8" t="inlineStr">
        <is>
          <t>1000.0000.2400.56400.010</t>
        </is>
      </c>
      <c r="B17" s="8" t="inlineStr">
        <is>
          <t>Books</t>
        </is>
      </c>
      <c r="C17" s="16" t="n">
        <v>49.9</v>
      </c>
      <c r="D17" s="16" t="n">
        <v>130.85</v>
      </c>
      <c r="E17" s="16" t="n">
        <v>134.58</v>
      </c>
      <c r="F17" s="16" t="n">
        <v>150</v>
      </c>
      <c r="G17" s="16" t="n">
        <v>150</v>
      </c>
      <c r="H17" s="16">
        <f>G17-F17</f>
        <v/>
      </c>
      <c r="I17" s="14">
        <f>IF(F17=0,0,G17/F17-1)</f>
        <v/>
      </c>
    </row>
    <row r="18">
      <c r="A18" s="8" t="inlineStr">
        <is>
          <t>1000.0000.2400.58100.010</t>
        </is>
      </c>
      <c r="B18" s="8" t="inlineStr">
        <is>
          <t>Dues &amp; Fees</t>
        </is>
      </c>
      <c r="C18" s="16" t="n">
        <v>421.21</v>
      </c>
      <c r="D18" s="16" t="n">
        <v>872</v>
      </c>
      <c r="E18" s="16" t="n">
        <v>1158</v>
      </c>
      <c r="F18" s="16" t="n">
        <v>1368</v>
      </c>
      <c r="G18" s="16" t="n">
        <v>1368</v>
      </c>
      <c r="H18" s="16">
        <f>G18-F18</f>
        <v/>
      </c>
      <c r="I18" s="14">
        <f>IF(F18=0,0,G18/F18-1)</f>
        <v/>
      </c>
    </row>
    <row r="19">
      <c r="A19" s="9" t="n"/>
      <c r="B19" s="22" t="inlineStr">
        <is>
          <t>Program 0000 Total</t>
        </is>
      </c>
      <c r="C19" s="23">
        <f>SUM(C7:C18)</f>
        <v/>
      </c>
      <c r="D19" s="23">
        <f>SUM(D7:D18)</f>
        <v/>
      </c>
      <c r="E19" s="23">
        <f>SUM(E7:E18)</f>
        <v/>
      </c>
      <c r="F19" s="23">
        <f>SUM(F7:F18)</f>
        <v/>
      </c>
      <c r="G19" s="23">
        <f>SUM(G7:G18)</f>
        <v/>
      </c>
      <c r="H19" s="23">
        <f>SUM(H7:H18)</f>
        <v/>
      </c>
      <c r="I19" s="23">
        <f>SUM(I7:I18)</f>
        <v/>
      </c>
    </row>
    <row r="20">
      <c r="A20" s="9" t="n"/>
      <c r="B20" s="12" t="inlineStr">
        <is>
          <t>Cost Center ('010',) Total</t>
        </is>
      </c>
      <c r="C20" s="26">
        <f>C19</f>
        <v/>
      </c>
      <c r="D20" s="26">
        <f>D19</f>
        <v/>
      </c>
      <c r="E20" s="26">
        <f>E19</f>
        <v/>
      </c>
      <c r="F20" s="26">
        <f>F19</f>
        <v/>
      </c>
      <c r="G20" s="26">
        <f>G19</f>
        <v/>
      </c>
      <c r="H20" s="26">
        <f>H19</f>
        <v/>
      </c>
      <c r="I20" s="26">
        <f>I19</f>
        <v/>
      </c>
    </row>
    <row r="22">
      <c r="A22" s="3" t="inlineStr">
        <is>
          <t>Cost Center: ('020',)</t>
        </is>
      </c>
    </row>
    <row r="23">
      <c r="A23" s="8" t="inlineStr">
        <is>
          <t>1000.0000.2400.51040.020</t>
        </is>
      </c>
      <c r="B23" s="8" t="inlineStr">
        <is>
          <t>Admin Salary</t>
        </is>
      </c>
      <c r="C23" s="16" t="n">
        <v>117628</v>
      </c>
      <c r="D23" s="16" t="n">
        <v>212509</v>
      </c>
      <c r="E23" s="16" t="n">
        <v>229266</v>
      </c>
      <c r="F23" s="16" t="n">
        <v>243393</v>
      </c>
      <c r="G23" s="16" t="n">
        <v>256782</v>
      </c>
      <c r="H23" s="16">
        <f>G23-F23</f>
        <v/>
      </c>
      <c r="I23" s="14">
        <f>IF(F23=0,0,G23/F23-1)</f>
        <v/>
      </c>
    </row>
    <row r="24">
      <c r="A24" s="8" t="inlineStr">
        <is>
          <t>1000.0000.2400.51180.020</t>
        </is>
      </c>
      <c r="B24" s="8" t="inlineStr">
        <is>
          <t>Support Wages</t>
        </is>
      </c>
      <c r="C24" s="16" t="n">
        <v>53659.62</v>
      </c>
      <c r="D24" s="16" t="n">
        <v>57037.58</v>
      </c>
      <c r="E24" s="16" t="n">
        <v>61664.81</v>
      </c>
      <c r="F24" s="16" t="n">
        <v>65097</v>
      </c>
      <c r="G24" s="16" t="n">
        <v>66413</v>
      </c>
      <c r="H24" s="16">
        <f>G24-F24</f>
        <v/>
      </c>
      <c r="I24" s="14">
        <f>IF(F24=0,0,G24/F24-1)</f>
        <v/>
      </c>
    </row>
    <row r="25">
      <c r="A25" s="8" t="inlineStr">
        <is>
          <t>1000.0000.2400.52040.020</t>
        </is>
      </c>
      <c r="B25" s="8" t="inlineStr">
        <is>
          <t>Admin Benefits</t>
        </is>
      </c>
      <c r="C25" s="16" t="n">
        <v>7587.81</v>
      </c>
      <c r="D25" s="16" t="n">
        <v>33585.25</v>
      </c>
      <c r="E25" s="16" t="n">
        <v>45103.24</v>
      </c>
      <c r="F25" s="16" t="n">
        <v>48221</v>
      </c>
      <c r="G25" s="16" t="n">
        <v>53689</v>
      </c>
      <c r="H25" s="16">
        <f>G25-F25</f>
        <v/>
      </c>
      <c r="I25" s="14">
        <f>IF(F25=0,0,G25/F25-1)</f>
        <v/>
      </c>
    </row>
    <row r="26">
      <c r="A26" s="8" t="inlineStr">
        <is>
          <t>1000.0000.2400.52080.020</t>
        </is>
      </c>
      <c r="B26" s="8" t="inlineStr">
        <is>
          <t>Support Benefits</t>
        </is>
      </c>
      <c r="C26" s="16" t="n">
        <v>11880.93</v>
      </c>
      <c r="D26" s="16" t="n">
        <v>12581.67</v>
      </c>
      <c r="E26" s="16" t="n">
        <v>13738.62</v>
      </c>
      <c r="F26" s="16" t="n">
        <v>19723</v>
      </c>
      <c r="G26" s="16" t="n">
        <v>26347</v>
      </c>
      <c r="H26" s="16">
        <f>G26-F26</f>
        <v/>
      </c>
      <c r="I26" s="14">
        <f>IF(F26=0,0,G26/F26-1)</f>
        <v/>
      </c>
    </row>
    <row r="27">
      <c r="A27" s="8" t="inlineStr">
        <is>
          <t>1000.0000.2400.52340.020</t>
        </is>
      </c>
      <c r="B27" s="8" t="inlineStr">
        <is>
          <t>Retirement</t>
        </is>
      </c>
      <c r="C27" s="16" t="n">
        <v>4547.98</v>
      </c>
      <c r="D27" s="16" t="n">
        <v>9193.08</v>
      </c>
      <c r="E27" s="16" t="n">
        <v>10248.15</v>
      </c>
      <c r="F27" s="16" t="n">
        <v>10880</v>
      </c>
      <c r="G27" s="16" t="n">
        <v>11478</v>
      </c>
      <c r="H27" s="16">
        <f>G27-F27</f>
        <v/>
      </c>
      <c r="I27" s="14">
        <f>IF(F27=0,0,G27/F27-1)</f>
        <v/>
      </c>
    </row>
    <row r="28">
      <c r="A28" s="8" t="inlineStr">
        <is>
          <t>1000.0000.2400.52380.020</t>
        </is>
      </c>
      <c r="B28" s="8" t="inlineStr">
        <is>
          <t>Retirement</t>
        </is>
      </c>
      <c r="C28" s="16" t="n">
        <v>1957.74</v>
      </c>
      <c r="D28" s="16" t="n">
        <v>2156.09</v>
      </c>
      <c r="E28" s="16" t="n">
        <v>2393.51</v>
      </c>
      <c r="F28" s="16" t="n">
        <v>3255</v>
      </c>
      <c r="G28" s="16" t="n">
        <v>3586</v>
      </c>
      <c r="H28" s="16">
        <f>G28-F28</f>
        <v/>
      </c>
      <c r="I28" s="14">
        <f>IF(F28=0,0,G28/F28-1)</f>
        <v/>
      </c>
    </row>
    <row r="29">
      <c r="A29" s="8" t="inlineStr">
        <is>
          <t>1000.0000.2400.53400.020</t>
        </is>
      </c>
      <c r="B29" s="8" t="inlineStr">
        <is>
          <t>Other Professional Services</t>
        </is>
      </c>
      <c r="C29" s="16" t="n">
        <v>0</v>
      </c>
      <c r="D29" s="16" t="n">
        <v>0</v>
      </c>
      <c r="E29" s="16" t="n">
        <v>0</v>
      </c>
      <c r="F29" s="16" t="n">
        <v>240</v>
      </c>
      <c r="G29" s="16" t="n">
        <v>240</v>
      </c>
      <c r="H29" s="16">
        <f>G29-F29</f>
        <v/>
      </c>
      <c r="I29" s="14">
        <f>IF(F29=0,0,G29/F29-1)</f>
        <v/>
      </c>
    </row>
    <row r="30">
      <c r="A30" s="8" t="inlineStr">
        <is>
          <t>1000.0000.2400.55310.020</t>
        </is>
      </c>
      <c r="B30" s="8" t="inlineStr">
        <is>
          <t>Postage</t>
        </is>
      </c>
      <c r="C30" s="16" t="n">
        <v>717.7</v>
      </c>
      <c r="D30" s="16" t="n">
        <v>956.1900000000001</v>
      </c>
      <c r="E30" s="16" t="n">
        <v>814.25</v>
      </c>
      <c r="F30" s="16" t="n">
        <v>1000</v>
      </c>
      <c r="G30" s="16" t="n">
        <v>700</v>
      </c>
      <c r="H30" s="16">
        <f>G30-F30</f>
        <v/>
      </c>
      <c r="I30" s="14">
        <f>IF(F30=0,0,G30/F30-1)</f>
        <v/>
      </c>
    </row>
    <row r="31">
      <c r="A31" s="8" t="inlineStr">
        <is>
          <t>1000.0000.2400.55800.020</t>
        </is>
      </c>
      <c r="B31" s="8" t="inlineStr">
        <is>
          <t>Travel</t>
        </is>
      </c>
      <c r="C31" s="16" t="n">
        <v>0</v>
      </c>
      <c r="D31" s="16" t="n">
        <v>0</v>
      </c>
      <c r="E31" s="16" t="n">
        <v>0</v>
      </c>
      <c r="F31" s="16" t="n">
        <v>300</v>
      </c>
      <c r="G31" s="16" t="n">
        <v>300</v>
      </c>
      <c r="H31" s="16">
        <f>G31-F31</f>
        <v/>
      </c>
      <c r="I31" s="14">
        <f>IF(F31=0,0,G31/F31-1)</f>
        <v/>
      </c>
    </row>
    <row r="32">
      <c r="A32" s="8" t="inlineStr">
        <is>
          <t>1000.0000.2400.56000.020</t>
        </is>
      </c>
      <c r="B32" s="8" t="inlineStr">
        <is>
          <t>Supplies</t>
        </is>
      </c>
      <c r="C32" s="16" t="n">
        <v>418.59</v>
      </c>
      <c r="D32" s="16" t="n">
        <v>387.38</v>
      </c>
      <c r="E32" s="16" t="n">
        <v>335.02</v>
      </c>
      <c r="F32" s="16" t="n">
        <v>500</v>
      </c>
      <c r="G32" s="16" t="n">
        <v>500</v>
      </c>
      <c r="H32" s="16">
        <f>G32-F32</f>
        <v/>
      </c>
      <c r="I32" s="14">
        <f>IF(F32=0,0,G32/F32-1)</f>
        <v/>
      </c>
    </row>
    <row r="33">
      <c r="A33" s="8" t="inlineStr">
        <is>
          <t>1000.0000.2400.58100.020</t>
        </is>
      </c>
      <c r="B33" s="8" t="inlineStr">
        <is>
          <t>Dues &amp; Fees</t>
        </is>
      </c>
      <c r="C33" s="16" t="n">
        <v>340</v>
      </c>
      <c r="D33" s="16" t="n">
        <v>340</v>
      </c>
      <c r="E33" s="16" t="n">
        <v>680</v>
      </c>
      <c r="F33" s="16" t="n">
        <v>1150</v>
      </c>
      <c r="G33" s="16" t="n">
        <v>1150</v>
      </c>
      <c r="H33" s="16">
        <f>G33-F33</f>
        <v/>
      </c>
      <c r="I33" s="14">
        <f>IF(F33=0,0,G33/F33-1)</f>
        <v/>
      </c>
    </row>
    <row r="34">
      <c r="A34" s="9" t="n"/>
      <c r="B34" s="22" t="inlineStr">
        <is>
          <t>Program 0000 Total</t>
        </is>
      </c>
      <c r="C34" s="23">
        <f>SUM(C23:C33)</f>
        <v/>
      </c>
      <c r="D34" s="23">
        <f>SUM(D23:D33)</f>
        <v/>
      </c>
      <c r="E34" s="23">
        <f>SUM(E23:E33)</f>
        <v/>
      </c>
      <c r="F34" s="23">
        <f>SUM(F23:F33)</f>
        <v/>
      </c>
      <c r="G34" s="23">
        <f>SUM(G23:G33)</f>
        <v/>
      </c>
      <c r="H34" s="23">
        <f>SUM(H23:H33)</f>
        <v/>
      </c>
      <c r="I34" s="23">
        <f>SUM(I23:I33)</f>
        <v/>
      </c>
    </row>
    <row r="35">
      <c r="A35" s="9" t="n"/>
      <c r="B35" s="12" t="inlineStr">
        <is>
          <t>Cost Center ('020',) Total</t>
        </is>
      </c>
      <c r="C35" s="26">
        <f>C34</f>
        <v/>
      </c>
      <c r="D35" s="26">
        <f>D34</f>
        <v/>
      </c>
      <c r="E35" s="26">
        <f>E34</f>
        <v/>
      </c>
      <c r="F35" s="26">
        <f>F34</f>
        <v/>
      </c>
      <c r="G35" s="26">
        <f>G34</f>
        <v/>
      </c>
      <c r="H35" s="26">
        <f>H34</f>
        <v/>
      </c>
      <c r="I35" s="26">
        <f>I34</f>
        <v/>
      </c>
    </row>
    <row r="37">
      <c r="A37" s="3" t="inlineStr">
        <is>
          <t>Cost Center: ('030',)</t>
        </is>
      </c>
    </row>
    <row r="38">
      <c r="A38" s="8" t="inlineStr">
        <is>
          <t>1000.0000.2400.51040.030</t>
        </is>
      </c>
      <c r="B38" s="8" t="inlineStr">
        <is>
          <t>Admin Salary</t>
        </is>
      </c>
      <c r="C38" s="16" t="n">
        <v>118228</v>
      </c>
      <c r="D38" s="16" t="n">
        <v>124109</v>
      </c>
      <c r="E38" s="16" t="n">
        <v>130284</v>
      </c>
      <c r="F38" s="16" t="n">
        <v>137465</v>
      </c>
      <c r="G38" s="16" t="n">
        <v>145027</v>
      </c>
      <c r="H38" s="16">
        <f>G38-F38</f>
        <v/>
      </c>
      <c r="I38" s="14">
        <f>IF(F38=0,0,G38/F38-1)</f>
        <v/>
      </c>
    </row>
    <row r="39">
      <c r="A39" s="8" t="inlineStr">
        <is>
          <t>1000.0000.2400.51180.030</t>
        </is>
      </c>
      <c r="B39" s="8" t="inlineStr">
        <is>
          <t>Support Wages</t>
        </is>
      </c>
      <c r="C39" s="16" t="n">
        <v>38519.01</v>
      </c>
      <c r="D39" s="16" t="n">
        <v>6811.51</v>
      </c>
      <c r="E39" s="16" t="n">
        <v>58089.04</v>
      </c>
      <c r="F39" s="16" t="n">
        <v>51619</v>
      </c>
      <c r="G39" s="16" t="n">
        <v>48708</v>
      </c>
      <c r="H39" s="16">
        <f>G39-F39</f>
        <v/>
      </c>
      <c r="I39" s="14">
        <f>IF(F39=0,0,G39/F39-1)</f>
        <v/>
      </c>
    </row>
    <row r="40">
      <c r="A40" s="8" t="inlineStr">
        <is>
          <t>1000.0000.2400.52040.030</t>
        </is>
      </c>
      <c r="B40" s="8" t="inlineStr">
        <is>
          <t>Admin Benefits</t>
        </is>
      </c>
      <c r="C40" s="16" t="n">
        <v>34212.32</v>
      </c>
      <c r="D40" s="16" t="n">
        <v>22097.44</v>
      </c>
      <c r="E40" s="16" t="n">
        <v>24500.72</v>
      </c>
      <c r="F40" s="16" t="n">
        <v>31295</v>
      </c>
      <c r="G40" s="16" t="n">
        <v>35702</v>
      </c>
      <c r="H40" s="16">
        <f>G40-F40</f>
        <v/>
      </c>
      <c r="I40" s="14">
        <f>IF(F40=0,0,G40/F40-1)</f>
        <v/>
      </c>
    </row>
    <row r="41">
      <c r="A41" s="8" t="inlineStr">
        <is>
          <t>1000.0000.2400.52080.030</t>
        </is>
      </c>
      <c r="B41" s="8" t="inlineStr">
        <is>
          <t>Support Benefits</t>
        </is>
      </c>
      <c r="C41" s="16" t="n">
        <v>3337.6</v>
      </c>
      <c r="D41" s="16" t="n">
        <v>904.17</v>
      </c>
      <c r="E41" s="16" t="n">
        <v>11536.55</v>
      </c>
      <c r="F41" s="16" t="n">
        <v>12633</v>
      </c>
      <c r="G41" s="16" t="n">
        <v>17364</v>
      </c>
      <c r="H41" s="16">
        <f>G41-F41</f>
        <v/>
      </c>
      <c r="I41" s="14">
        <f>IF(F41=0,0,G41/F41-1)</f>
        <v/>
      </c>
    </row>
    <row r="42">
      <c r="A42" s="8" t="inlineStr">
        <is>
          <t>1000.0000.2400.52340.030</t>
        </is>
      </c>
      <c r="B42" s="8" t="inlineStr">
        <is>
          <t>Retirement</t>
        </is>
      </c>
      <c r="C42" s="16" t="n">
        <v>4516.98</v>
      </c>
      <c r="D42" s="16" t="n">
        <v>5520.84</v>
      </c>
      <c r="E42" s="16" t="n">
        <v>5796.95</v>
      </c>
      <c r="F42" s="16" t="n">
        <v>6145</v>
      </c>
      <c r="G42" s="16" t="n">
        <v>6483</v>
      </c>
      <c r="H42" s="16">
        <f>G42-F42</f>
        <v/>
      </c>
      <c r="I42" s="14">
        <f>IF(F42=0,0,G42/F42-1)</f>
        <v/>
      </c>
    </row>
    <row r="43">
      <c r="A43" s="8" t="inlineStr">
        <is>
          <t>1000.0000.2400.52380.030</t>
        </is>
      </c>
      <c r="B43" s="8" t="inlineStr">
        <is>
          <t>Retirement</t>
        </is>
      </c>
      <c r="C43" s="16" t="n">
        <v>7.82</v>
      </c>
      <c r="D43" s="16" t="n">
        <v>63.77</v>
      </c>
      <c r="E43" s="16" t="n">
        <v>2487.56</v>
      </c>
      <c r="F43" s="16" t="n">
        <v>2581</v>
      </c>
      <c r="G43" s="16" t="n">
        <v>2630</v>
      </c>
      <c r="H43" s="16">
        <f>G43-F43</f>
        <v/>
      </c>
      <c r="I43" s="14">
        <f>IF(F43=0,0,G43/F43-1)</f>
        <v/>
      </c>
    </row>
    <row r="44">
      <c r="A44" s="8" t="inlineStr">
        <is>
          <t>1000.0000.2400.53400.030</t>
        </is>
      </c>
      <c r="B44" s="8" t="inlineStr">
        <is>
          <t>Other Professional Services</t>
        </is>
      </c>
      <c r="C44" s="16" t="n">
        <v>0</v>
      </c>
      <c r="D44" s="16" t="n">
        <v>0</v>
      </c>
      <c r="E44" s="16" t="n">
        <v>0</v>
      </c>
      <c r="F44" s="16" t="n">
        <v>240</v>
      </c>
      <c r="G44" s="16" t="n">
        <v>240</v>
      </c>
      <c r="H44" s="16">
        <f>G44-F44</f>
        <v/>
      </c>
      <c r="I44" s="14">
        <f>IF(F44=0,0,G44/F44-1)</f>
        <v/>
      </c>
    </row>
    <row r="45">
      <c r="A45" s="8" t="inlineStr">
        <is>
          <t>1000.0000.2400.55310.030</t>
        </is>
      </c>
      <c r="B45" s="8" t="inlineStr">
        <is>
          <t>Postage</t>
        </is>
      </c>
      <c r="C45" s="16" t="n">
        <v>300.84</v>
      </c>
      <c r="D45" s="16" t="n">
        <v>228.21</v>
      </c>
      <c r="E45" s="16" t="n">
        <v>116.49</v>
      </c>
      <c r="F45" s="16" t="n">
        <v>400</v>
      </c>
      <c r="G45" s="16" t="n">
        <v>300</v>
      </c>
      <c r="H45" s="16">
        <f>G45-F45</f>
        <v/>
      </c>
      <c r="I45" s="14">
        <f>IF(F45=0,0,G45/F45-1)</f>
        <v/>
      </c>
    </row>
    <row r="46">
      <c r="A46" s="8" t="inlineStr">
        <is>
          <t>1000.0000.2400.55800.030</t>
        </is>
      </c>
      <c r="B46" s="8" t="inlineStr">
        <is>
          <t>Travel</t>
        </is>
      </c>
      <c r="C46" s="16" t="n">
        <v>533.12</v>
      </c>
      <c r="D46" s="16" t="n">
        <v>761.2</v>
      </c>
      <c r="E46" s="16" t="n">
        <v>349.32</v>
      </c>
      <c r="F46" s="16" t="n">
        <v>450</v>
      </c>
      <c r="G46" s="16" t="n">
        <v>450</v>
      </c>
      <c r="H46" s="16">
        <f>G46-F46</f>
        <v/>
      </c>
      <c r="I46" s="14">
        <f>IF(F46=0,0,G46/F46-1)</f>
        <v/>
      </c>
    </row>
    <row r="47">
      <c r="A47" s="8" t="inlineStr">
        <is>
          <t>1000.0000.2400.56000.030</t>
        </is>
      </c>
      <c r="B47" s="8" t="inlineStr">
        <is>
          <t>Supplies</t>
        </is>
      </c>
      <c r="C47" s="16" t="n">
        <v>236.86</v>
      </c>
      <c r="D47" s="16" t="n">
        <v>28.6</v>
      </c>
      <c r="E47" s="16" t="n">
        <v>239.94</v>
      </c>
      <c r="F47" s="16" t="n">
        <v>300</v>
      </c>
      <c r="G47" s="16" t="n">
        <v>300</v>
      </c>
      <c r="H47" s="16">
        <f>G47-F47</f>
        <v/>
      </c>
      <c r="I47" s="14">
        <f>IF(F47=0,0,G47/F47-1)</f>
        <v/>
      </c>
    </row>
    <row r="48">
      <c r="A48" s="8" t="inlineStr">
        <is>
          <t>1000.0000.2400.56400.030</t>
        </is>
      </c>
      <c r="B48" s="8" t="inlineStr">
        <is>
          <t>Admin Books</t>
        </is>
      </c>
      <c r="C48" s="16" t="n">
        <v>0</v>
      </c>
      <c r="D48" s="16" t="n">
        <v>273.16</v>
      </c>
      <c r="E48" s="16" t="n">
        <v>455.6</v>
      </c>
      <c r="F48" s="16" t="n">
        <v>500</v>
      </c>
      <c r="G48" s="16" t="n">
        <v>500</v>
      </c>
      <c r="H48" s="16">
        <f>G48-F48</f>
        <v/>
      </c>
      <c r="I48" s="14">
        <f>IF(F48=0,0,G48/F48-1)</f>
        <v/>
      </c>
    </row>
    <row r="49">
      <c r="A49" s="8" t="inlineStr">
        <is>
          <t>1000.0000.2400.58100.030</t>
        </is>
      </c>
      <c r="B49" s="8" t="inlineStr">
        <is>
          <t>Dues &amp; Fees</t>
        </is>
      </c>
      <c r="C49" s="16" t="n">
        <v>539</v>
      </c>
      <c r="D49" s="16" t="n">
        <v>259</v>
      </c>
      <c r="E49" s="16" t="n">
        <v>259</v>
      </c>
      <c r="F49" s="16" t="n">
        <v>275</v>
      </c>
      <c r="G49" s="16" t="n">
        <v>275</v>
      </c>
      <c r="H49" s="16">
        <f>G49-F49</f>
        <v/>
      </c>
      <c r="I49" s="14">
        <f>IF(F49=0,0,G49/F49-1)</f>
        <v/>
      </c>
    </row>
    <row r="50">
      <c r="A50" s="9" t="n"/>
      <c r="B50" s="22" t="inlineStr">
        <is>
          <t>Program 0000 Total</t>
        </is>
      </c>
      <c r="C50" s="23">
        <f>SUM(C38:C49)</f>
        <v/>
      </c>
      <c r="D50" s="23">
        <f>SUM(D38:D49)</f>
        <v/>
      </c>
      <c r="E50" s="23">
        <f>SUM(E38:E49)</f>
        <v/>
      </c>
      <c r="F50" s="23">
        <f>SUM(F38:F49)</f>
        <v/>
      </c>
      <c r="G50" s="23">
        <f>SUM(G38:G49)</f>
        <v/>
      </c>
      <c r="H50" s="23">
        <f>SUM(H38:H49)</f>
        <v/>
      </c>
      <c r="I50" s="23">
        <f>SUM(I38:I49)</f>
        <v/>
      </c>
    </row>
    <row r="51">
      <c r="A51" s="9" t="n"/>
      <c r="B51" s="12" t="inlineStr">
        <is>
          <t>Cost Center ('030',) Total</t>
        </is>
      </c>
      <c r="C51" s="26">
        <f>C50</f>
        <v/>
      </c>
      <c r="D51" s="26">
        <f>D50</f>
        <v/>
      </c>
      <c r="E51" s="26">
        <f>E50</f>
        <v/>
      </c>
      <c r="F51" s="26">
        <f>F50</f>
        <v/>
      </c>
      <c r="G51" s="26">
        <f>G50</f>
        <v/>
      </c>
      <c r="H51" s="26">
        <f>H50</f>
        <v/>
      </c>
      <c r="I51" s="26">
        <f>I50</f>
        <v/>
      </c>
    </row>
    <row r="53">
      <c r="A53" s="3" t="inlineStr">
        <is>
          <t>Cost Center: ('040',)</t>
        </is>
      </c>
    </row>
    <row r="54">
      <c r="A54" s="8" t="inlineStr">
        <is>
          <t>1000.0000.2400.51040.040</t>
        </is>
      </c>
      <c r="B54" s="8" t="inlineStr">
        <is>
          <t>Admin Salaries</t>
        </is>
      </c>
      <c r="C54" s="16" t="n">
        <v>120627.11</v>
      </c>
      <c r="D54" s="16" t="n">
        <v>0</v>
      </c>
      <c r="E54" s="16" t="n">
        <v>229266</v>
      </c>
      <c r="F54" s="16" t="n">
        <v>243393</v>
      </c>
      <c r="G54" s="16" t="n">
        <v>256782</v>
      </c>
      <c r="H54" s="16">
        <f>G54-F54</f>
        <v/>
      </c>
      <c r="I54" s="14">
        <f>IF(F54=0,0,G54/F54-1)</f>
        <v/>
      </c>
    </row>
    <row r="55">
      <c r="A55" s="8" t="inlineStr">
        <is>
          <t>1000.0000.2400.51180.040</t>
        </is>
      </c>
      <c r="B55" s="8" t="inlineStr">
        <is>
          <t>Support Wages</t>
        </is>
      </c>
      <c r="C55" s="16" t="n">
        <v>49081.81</v>
      </c>
      <c r="D55" s="16" t="n">
        <v>54617.68</v>
      </c>
      <c r="E55" s="16" t="n">
        <v>60294.73</v>
      </c>
      <c r="F55" s="16" t="n">
        <v>63202</v>
      </c>
      <c r="G55" s="16" t="n">
        <v>64020</v>
      </c>
      <c r="H55" s="16">
        <f>G55-F55</f>
        <v/>
      </c>
      <c r="I55" s="14">
        <f>IF(F55=0,0,G55/F55-1)</f>
        <v/>
      </c>
    </row>
    <row r="56">
      <c r="A56" s="8" t="inlineStr">
        <is>
          <t>1000.0000.2400.52040.040</t>
        </is>
      </c>
      <c r="B56" s="8" t="inlineStr">
        <is>
          <t>Admin Benefits</t>
        </is>
      </c>
      <c r="C56" s="16" t="n">
        <v>19357.11</v>
      </c>
      <c r="D56" s="16" t="n">
        <v>892.36</v>
      </c>
      <c r="E56" s="16" t="n">
        <v>16697.6</v>
      </c>
      <c r="F56" s="16" t="n">
        <v>30440</v>
      </c>
      <c r="G56" s="16" t="n">
        <v>34589</v>
      </c>
      <c r="H56" s="16">
        <f>G56-F56</f>
        <v/>
      </c>
      <c r="I56" s="14">
        <f>IF(F56=0,0,G56/F56-1)</f>
        <v/>
      </c>
    </row>
    <row r="57">
      <c r="A57" s="8" t="inlineStr">
        <is>
          <t>1000.0000.2400.52080.040</t>
        </is>
      </c>
      <c r="B57" s="8" t="inlineStr">
        <is>
          <t>Support Benefits</t>
        </is>
      </c>
      <c r="C57" s="16" t="n">
        <v>12861.19</v>
      </c>
      <c r="D57" s="16" t="n">
        <v>15564.04</v>
      </c>
      <c r="E57" s="16" t="n">
        <v>15204.48</v>
      </c>
      <c r="F57" s="16" t="n">
        <v>20426</v>
      </c>
      <c r="G57" s="16" t="n">
        <v>26910</v>
      </c>
      <c r="H57" s="16">
        <f>G57-F57</f>
        <v/>
      </c>
      <c r="I57" s="14">
        <f>IF(F57=0,0,G57/F57-1)</f>
        <v/>
      </c>
    </row>
    <row r="58">
      <c r="A58" s="8" t="inlineStr">
        <is>
          <t>1000.0000.2400.52340.040</t>
        </is>
      </c>
      <c r="B58" s="8" t="inlineStr">
        <is>
          <t>Retirement</t>
        </is>
      </c>
      <c r="C58" s="16" t="n">
        <v>4602.01</v>
      </c>
      <c r="D58" s="16" t="n">
        <v>0</v>
      </c>
      <c r="E58" s="16" t="n">
        <v>10248.21</v>
      </c>
      <c r="F58" s="16" t="n">
        <v>10880</v>
      </c>
      <c r="G58" s="16" t="n">
        <v>11478</v>
      </c>
      <c r="H58" s="16">
        <f>G58-F58</f>
        <v/>
      </c>
      <c r="I58" s="14">
        <f>IF(F58=0,0,G58/F58-1)</f>
        <v/>
      </c>
    </row>
    <row r="59">
      <c r="A59" s="8" t="inlineStr">
        <is>
          <t>1000.0000.2400.52380.040</t>
        </is>
      </c>
      <c r="B59" s="8" t="inlineStr">
        <is>
          <t>Retirement</t>
        </is>
      </c>
      <c r="C59" s="16" t="n">
        <v>1837.95</v>
      </c>
      <c r="D59" s="16" t="n">
        <v>2057.48</v>
      </c>
      <c r="E59" s="16" t="n">
        <v>2371.95</v>
      </c>
      <c r="F59" s="16" t="n">
        <v>3160</v>
      </c>
      <c r="G59" s="16" t="n">
        <v>3457</v>
      </c>
      <c r="H59" s="16">
        <f>G59-F59</f>
        <v/>
      </c>
      <c r="I59" s="14">
        <f>IF(F59=0,0,G59/F59-1)</f>
        <v/>
      </c>
    </row>
    <row r="60">
      <c r="A60" s="8" t="inlineStr">
        <is>
          <t>1000.0000.2400.53400.040</t>
        </is>
      </c>
      <c r="B60" s="8" t="inlineStr">
        <is>
          <t>Other Professional Services</t>
        </is>
      </c>
      <c r="C60" s="16" t="n">
        <v>0</v>
      </c>
      <c r="D60" s="16" t="n">
        <v>0</v>
      </c>
      <c r="E60" s="16" t="n">
        <v>0</v>
      </c>
      <c r="F60" s="16" t="n">
        <v>240</v>
      </c>
      <c r="G60" s="16" t="n">
        <v>240</v>
      </c>
      <c r="H60" s="16">
        <f>G60-F60</f>
        <v/>
      </c>
      <c r="I60" s="14">
        <f>IF(F60=0,0,G60/F60-1)</f>
        <v/>
      </c>
    </row>
    <row r="61">
      <c r="A61" s="8" t="inlineStr">
        <is>
          <t>1000.0000.2400.55310.040</t>
        </is>
      </c>
      <c r="B61" s="8" t="inlineStr">
        <is>
          <t>Postage</t>
        </is>
      </c>
      <c r="C61" s="16" t="n">
        <v>1820</v>
      </c>
      <c r="D61" s="16" t="n">
        <v>1160.32</v>
      </c>
      <c r="E61" s="16" t="n">
        <v>1491.86</v>
      </c>
      <c r="F61" s="16" t="n">
        <v>1400</v>
      </c>
      <c r="G61" s="16" t="n">
        <v>1400</v>
      </c>
      <c r="H61" s="16">
        <f>G61-F61</f>
        <v/>
      </c>
      <c r="I61" s="14">
        <f>IF(F61=0,0,G61/F61-1)</f>
        <v/>
      </c>
    </row>
    <row r="62">
      <c r="A62" s="8" t="inlineStr">
        <is>
          <t>1000.0000.2400.55800.040</t>
        </is>
      </c>
      <c r="B62" s="8" t="inlineStr">
        <is>
          <t>Travel</t>
        </is>
      </c>
      <c r="C62" s="16" t="n">
        <v>22.5</v>
      </c>
      <c r="D62" s="16" t="n">
        <v>100.5</v>
      </c>
      <c r="E62" s="16" t="n">
        <v>50</v>
      </c>
      <c r="F62" s="16" t="n">
        <v>300</v>
      </c>
      <c r="G62" s="16" t="n">
        <v>300</v>
      </c>
      <c r="H62" s="16">
        <f>G62-F62</f>
        <v/>
      </c>
      <c r="I62" s="14">
        <f>IF(F62=0,0,G62/F62-1)</f>
        <v/>
      </c>
    </row>
    <row r="63">
      <c r="A63" s="8" t="inlineStr">
        <is>
          <t>1000.0000.2400.56000.040</t>
        </is>
      </c>
      <c r="B63" s="8" t="inlineStr">
        <is>
          <t>Supplies</t>
        </is>
      </c>
      <c r="C63" s="16" t="n">
        <v>249.72</v>
      </c>
      <c r="D63" s="16" t="n">
        <v>190</v>
      </c>
      <c r="E63" s="16" t="n">
        <v>16.38</v>
      </c>
      <c r="F63" s="16" t="n">
        <v>250</v>
      </c>
      <c r="G63" s="16" t="n">
        <v>250</v>
      </c>
      <c r="H63" s="16">
        <f>G63-F63</f>
        <v/>
      </c>
      <c r="I63" s="14">
        <f>IF(F63=0,0,G63/F63-1)</f>
        <v/>
      </c>
    </row>
    <row r="64">
      <c r="A64" s="8" t="inlineStr">
        <is>
          <t>1000.0000.2400.56400.040</t>
        </is>
      </c>
      <c r="B64" s="8" t="inlineStr">
        <is>
          <t>Admin Books</t>
        </is>
      </c>
      <c r="C64" s="16" t="n">
        <v>0</v>
      </c>
      <c r="D64" s="16" t="n">
        <v>0</v>
      </c>
      <c r="E64" s="16" t="n">
        <v>97.38</v>
      </c>
      <c r="F64" s="16" t="n">
        <v>100</v>
      </c>
      <c r="G64" s="16" t="n">
        <v>100</v>
      </c>
      <c r="H64" s="16">
        <f>G64-F64</f>
        <v/>
      </c>
      <c r="I64" s="14">
        <f>IF(F64=0,0,G64/F64-1)</f>
        <v/>
      </c>
    </row>
    <row r="65">
      <c r="A65" s="8" t="inlineStr">
        <is>
          <t>1000.0000.2400.58100.040</t>
        </is>
      </c>
      <c r="B65" s="8" t="inlineStr">
        <is>
          <t>Dues &amp; Fees</t>
        </is>
      </c>
      <c r="C65" s="16" t="n">
        <v>340</v>
      </c>
      <c r="D65" s="16" t="n">
        <v>340</v>
      </c>
      <c r="E65" s="16" t="n">
        <v>680</v>
      </c>
      <c r="F65" s="16" t="n">
        <v>1278</v>
      </c>
      <c r="G65" s="16" t="n">
        <v>680</v>
      </c>
      <c r="H65" s="16">
        <f>G65-F65</f>
        <v/>
      </c>
      <c r="I65" s="14">
        <f>IF(F65=0,0,G65/F65-1)</f>
        <v/>
      </c>
    </row>
    <row r="66">
      <c r="A66" s="9" t="n"/>
      <c r="B66" s="22" t="inlineStr">
        <is>
          <t>Program 0000 Total</t>
        </is>
      </c>
      <c r="C66" s="23">
        <f>SUM(C54:C65)</f>
        <v/>
      </c>
      <c r="D66" s="23">
        <f>SUM(D54:D65)</f>
        <v/>
      </c>
      <c r="E66" s="23">
        <f>SUM(E54:E65)</f>
        <v/>
      </c>
      <c r="F66" s="23">
        <f>SUM(F54:F65)</f>
        <v/>
      </c>
      <c r="G66" s="23">
        <f>SUM(G54:G65)</f>
        <v/>
      </c>
      <c r="H66" s="23">
        <f>SUM(H54:H65)</f>
        <v/>
      </c>
      <c r="I66" s="23">
        <f>SUM(I54:I65)</f>
        <v/>
      </c>
    </row>
    <row r="67">
      <c r="A67" s="9" t="n"/>
      <c r="B67" s="12" t="inlineStr">
        <is>
          <t>Cost Center ('040',) Total</t>
        </is>
      </c>
      <c r="C67" s="26">
        <f>C66</f>
        <v/>
      </c>
      <c r="D67" s="26">
        <f>D66</f>
        <v/>
      </c>
      <c r="E67" s="26">
        <f>E66</f>
        <v/>
      </c>
      <c r="F67" s="26">
        <f>F66</f>
        <v/>
      </c>
      <c r="G67" s="26">
        <f>G66</f>
        <v/>
      </c>
      <c r="H67" s="26">
        <f>H66</f>
        <v/>
      </c>
      <c r="I67" s="26">
        <f>I66</f>
        <v/>
      </c>
    </row>
    <row r="69">
      <c r="A69" s="3" t="inlineStr">
        <is>
          <t>Cost Center: ('050',)</t>
        </is>
      </c>
    </row>
    <row r="70">
      <c r="A70" s="8" t="inlineStr">
        <is>
          <t>1000.0000.2400.51040.050</t>
        </is>
      </c>
      <c r="B70" s="8" t="inlineStr">
        <is>
          <t>Admin Salaries</t>
        </is>
      </c>
      <c r="C70" s="16" t="n">
        <v>216645.7</v>
      </c>
      <c r="D70" s="16" t="n">
        <v>242007.19</v>
      </c>
      <c r="E70" s="16" t="n">
        <v>205884.86</v>
      </c>
      <c r="F70" s="16" t="n">
        <v>252681</v>
      </c>
      <c r="G70" s="16" t="n">
        <v>266580</v>
      </c>
      <c r="H70" s="16">
        <f>G70-F70</f>
        <v/>
      </c>
      <c r="I70" s="14">
        <f>IF(F70=0,0,G70/F70-1)</f>
        <v/>
      </c>
    </row>
    <row r="71">
      <c r="A71" s="8" t="inlineStr">
        <is>
          <t>1000.0000.2400.51180.050</t>
        </is>
      </c>
      <c r="B71" s="8" t="inlineStr">
        <is>
          <t>Support Wages</t>
        </is>
      </c>
      <c r="C71" s="16" t="n">
        <v>76650.07000000001</v>
      </c>
      <c r="D71" s="16" t="n">
        <v>119082.22</v>
      </c>
      <c r="E71" s="16" t="n">
        <v>80199.41</v>
      </c>
      <c r="F71" s="16" t="n">
        <v>87484</v>
      </c>
      <c r="G71" s="16" t="n">
        <v>70888</v>
      </c>
      <c r="H71" s="16">
        <f>G71-F71</f>
        <v/>
      </c>
      <c r="I71" s="14">
        <f>IF(F71=0,0,G71/F71-1)</f>
        <v/>
      </c>
    </row>
    <row r="72">
      <c r="A72" s="8" t="inlineStr">
        <is>
          <t>1000.0000.2400.52040.050</t>
        </is>
      </c>
      <c r="B72" s="8" t="inlineStr">
        <is>
          <t>Admin Benefits</t>
        </is>
      </c>
      <c r="C72" s="16" t="n">
        <v>40576.97</v>
      </c>
      <c r="D72" s="16" t="n">
        <v>40205.23</v>
      </c>
      <c r="E72" s="16" t="n">
        <v>52357.77</v>
      </c>
      <c r="F72" s="16" t="n">
        <v>69374</v>
      </c>
      <c r="G72" s="16" t="n">
        <v>79643</v>
      </c>
      <c r="H72" s="16">
        <f>G72-F72</f>
        <v/>
      </c>
      <c r="I72" s="14">
        <f>IF(F72=0,0,G72/F72-1)</f>
        <v/>
      </c>
    </row>
    <row r="73">
      <c r="A73" s="8" t="inlineStr">
        <is>
          <t>1000.0000.2400.52080.050</t>
        </is>
      </c>
      <c r="B73" s="8" t="inlineStr">
        <is>
          <t>Support Benefits</t>
        </is>
      </c>
      <c r="C73" s="16" t="n">
        <v>23272.81</v>
      </c>
      <c r="D73" s="16" t="n">
        <v>26733.52</v>
      </c>
      <c r="E73" s="16" t="n">
        <v>16313.76</v>
      </c>
      <c r="F73" s="16" t="n">
        <v>23294</v>
      </c>
      <c r="G73" s="16" t="n">
        <v>23259</v>
      </c>
      <c r="H73" s="16">
        <f>G73-F73</f>
        <v/>
      </c>
      <c r="I73" s="14">
        <f>IF(F73=0,0,G73/F73-1)</f>
        <v/>
      </c>
    </row>
    <row r="74">
      <c r="A74" s="8" t="inlineStr">
        <is>
          <t>1000.0000.2400.52340.050</t>
        </is>
      </c>
      <c r="B74" s="8" t="inlineStr">
        <is>
          <t>Retirement</t>
        </is>
      </c>
      <c r="C74" s="16" t="n">
        <v>8273.1</v>
      </c>
      <c r="D74" s="16" t="n">
        <v>10764.16</v>
      </c>
      <c r="E74" s="16" t="n">
        <v>9185.879999999999</v>
      </c>
      <c r="F74" s="16" t="n">
        <v>11295</v>
      </c>
      <c r="G74" s="16" t="n">
        <v>11916</v>
      </c>
      <c r="H74" s="16">
        <f>G74-F74</f>
        <v/>
      </c>
      <c r="I74" s="14">
        <f>IF(F74=0,0,G74/F74-1)</f>
        <v/>
      </c>
    </row>
    <row r="75">
      <c r="A75" s="8" t="inlineStr">
        <is>
          <t>1000.0000.2400.52380.050</t>
        </is>
      </c>
      <c r="B75" s="8" t="inlineStr">
        <is>
          <t>Retirement</t>
        </is>
      </c>
      <c r="C75" s="16" t="n">
        <v>3794.39</v>
      </c>
      <c r="D75" s="16" t="n">
        <v>4609.38</v>
      </c>
      <c r="E75" s="16" t="n">
        <v>2330.22</v>
      </c>
      <c r="F75" s="16" t="n">
        <v>4374</v>
      </c>
      <c r="G75" s="16" t="n">
        <v>3802</v>
      </c>
      <c r="H75" s="16">
        <f>G75-F75</f>
        <v/>
      </c>
      <c r="I75" s="14">
        <f>IF(F75=0,0,G75/F75-1)</f>
        <v/>
      </c>
    </row>
    <row r="76">
      <c r="A76" s="8" t="inlineStr">
        <is>
          <t>1000.0000.2400.53400.050</t>
        </is>
      </c>
      <c r="B76" s="8" t="inlineStr">
        <is>
          <t>Other Professional Services</t>
        </is>
      </c>
      <c r="C76" s="16" t="n">
        <v>0</v>
      </c>
      <c r="D76" s="16" t="n">
        <v>0</v>
      </c>
      <c r="E76" s="16" t="n">
        <v>0</v>
      </c>
      <c r="F76" s="16" t="n">
        <v>240</v>
      </c>
      <c r="G76" s="16" t="n">
        <v>240</v>
      </c>
      <c r="H76" s="16">
        <f>G76-F76</f>
        <v/>
      </c>
      <c r="I76" s="14">
        <f>IF(F76=0,0,G76/F76-1)</f>
        <v/>
      </c>
    </row>
    <row r="77">
      <c r="A77" s="8" t="inlineStr">
        <is>
          <t>1000.0000.2400.55310.050</t>
        </is>
      </c>
      <c r="B77" s="8" t="inlineStr">
        <is>
          <t>Postage</t>
        </is>
      </c>
      <c r="C77" s="16" t="n">
        <v>2115.27</v>
      </c>
      <c r="D77" s="16" t="n">
        <v>1947.05</v>
      </c>
      <c r="E77" s="16" t="n">
        <v>1344.86</v>
      </c>
      <c r="F77" s="16" t="n">
        <v>2020</v>
      </c>
      <c r="G77" s="16" t="n">
        <v>2020</v>
      </c>
      <c r="H77" s="16">
        <f>G77-F77</f>
        <v/>
      </c>
      <c r="I77" s="14">
        <f>IF(F77=0,0,G77/F77-1)</f>
        <v/>
      </c>
    </row>
    <row r="78">
      <c r="A78" s="8" t="inlineStr">
        <is>
          <t>1000.0000.2400.55800.050</t>
        </is>
      </c>
      <c r="B78" s="8" t="inlineStr">
        <is>
          <t>Travel</t>
        </is>
      </c>
      <c r="C78" s="16" t="n">
        <v>390.08</v>
      </c>
      <c r="D78" s="16" t="n">
        <v>437.57</v>
      </c>
      <c r="E78" s="16" t="n">
        <v>246.03</v>
      </c>
      <c r="F78" s="16" t="n">
        <v>810</v>
      </c>
      <c r="G78" s="16" t="n">
        <v>810</v>
      </c>
      <c r="H78" s="16">
        <f>G78-F78</f>
        <v/>
      </c>
      <c r="I78" s="14">
        <f>IF(F78=0,0,G78/F78-1)</f>
        <v/>
      </c>
    </row>
    <row r="79">
      <c r="A79" s="8" t="inlineStr">
        <is>
          <t>1000.0000.2400.56000.050</t>
        </is>
      </c>
      <c r="B79" s="8" t="inlineStr">
        <is>
          <t>Supplies</t>
        </is>
      </c>
      <c r="C79" s="16" t="n">
        <v>494.47</v>
      </c>
      <c r="D79" s="16" t="n">
        <v>502.75</v>
      </c>
      <c r="E79" s="16" t="n">
        <v>417.48</v>
      </c>
      <c r="F79" s="16" t="n">
        <v>500</v>
      </c>
      <c r="G79" s="16" t="n">
        <v>500</v>
      </c>
      <c r="H79" s="16">
        <f>G79-F79</f>
        <v/>
      </c>
      <c r="I79" s="14">
        <f>IF(F79=0,0,G79/F79-1)</f>
        <v/>
      </c>
    </row>
    <row r="80">
      <c r="A80" s="8" t="inlineStr">
        <is>
          <t>1000.0000.2400.58100.050</t>
        </is>
      </c>
      <c r="B80" s="8" t="inlineStr">
        <is>
          <t>Dues &amp; Fees</t>
        </is>
      </c>
      <c r="C80" s="16" t="n">
        <v>340</v>
      </c>
      <c r="D80" s="16" t="n">
        <v>928</v>
      </c>
      <c r="E80" s="16" t="n">
        <v>2918</v>
      </c>
      <c r="F80" s="16" t="n">
        <v>2900</v>
      </c>
      <c r="G80" s="16" t="n">
        <v>2900</v>
      </c>
      <c r="H80" s="16">
        <f>G80-F80</f>
        <v/>
      </c>
      <c r="I80" s="14">
        <f>IF(F80=0,0,G80/F80-1)</f>
        <v/>
      </c>
    </row>
    <row r="81">
      <c r="A81" s="9" t="n"/>
      <c r="B81" s="22" t="inlineStr">
        <is>
          <t>Program 0000 Total</t>
        </is>
      </c>
      <c r="C81" s="23">
        <f>SUM(C70:C80)</f>
        <v/>
      </c>
      <c r="D81" s="23">
        <f>SUM(D70:D80)</f>
        <v/>
      </c>
      <c r="E81" s="23">
        <f>SUM(E70:E80)</f>
        <v/>
      </c>
      <c r="F81" s="23">
        <f>SUM(F70:F80)</f>
        <v/>
      </c>
      <c r="G81" s="23">
        <f>SUM(G70:G80)</f>
        <v/>
      </c>
      <c r="H81" s="23">
        <f>SUM(H70:H80)</f>
        <v/>
      </c>
      <c r="I81" s="23">
        <f>SUM(I70:I80)</f>
        <v/>
      </c>
    </row>
    <row r="82">
      <c r="A82" s="9" t="n"/>
      <c r="B82" s="12" t="inlineStr">
        <is>
          <t>Cost Center ('050',) Total</t>
        </is>
      </c>
      <c r="C82" s="26">
        <f>C81</f>
        <v/>
      </c>
      <c r="D82" s="26">
        <f>D81</f>
        <v/>
      </c>
      <c r="E82" s="26">
        <f>E81</f>
        <v/>
      </c>
      <c r="F82" s="26">
        <f>F81</f>
        <v/>
      </c>
      <c r="G82" s="26">
        <f>G81</f>
        <v/>
      </c>
      <c r="H82" s="26">
        <f>H81</f>
        <v/>
      </c>
      <c r="I82" s="26">
        <f>I81</f>
        <v/>
      </c>
    </row>
    <row r="84">
      <c r="A84" s="3" t="inlineStr">
        <is>
          <t>Cost Center: ('300',)</t>
        </is>
      </c>
    </row>
    <row r="85">
      <c r="A85" s="8" t="inlineStr">
        <is>
          <t>1000.0000.2400.51040.300</t>
        </is>
      </c>
      <c r="B85" s="8" t="inlineStr">
        <is>
          <t>Admin Salaries</t>
        </is>
      </c>
      <c r="C85" s="16" t="n">
        <v>239736</v>
      </c>
      <c r="D85" s="16" t="n">
        <v>378416.36</v>
      </c>
      <c r="E85" s="16" t="n">
        <v>270139.95</v>
      </c>
      <c r="F85" s="16" t="n">
        <v>280677</v>
      </c>
      <c r="G85" s="16" t="n">
        <v>280371</v>
      </c>
      <c r="H85" s="16">
        <f>G85-F85</f>
        <v/>
      </c>
      <c r="I85" s="14">
        <f>IF(F85=0,0,G85/F85-1)</f>
        <v/>
      </c>
    </row>
    <row r="86">
      <c r="A86" s="8" t="inlineStr">
        <is>
          <t>1000.0000.2400.51180.300</t>
        </is>
      </c>
      <c r="B86" s="8" t="inlineStr">
        <is>
          <t>Support Wages</t>
        </is>
      </c>
      <c r="C86" s="16" t="n">
        <v>125863.97</v>
      </c>
      <c r="D86" s="16" t="n">
        <v>120072.69</v>
      </c>
      <c r="E86" s="16" t="n">
        <v>133378.69</v>
      </c>
      <c r="F86" s="16" t="n">
        <v>127508</v>
      </c>
      <c r="G86" s="16" t="n">
        <v>127818</v>
      </c>
      <c r="H86" s="16">
        <f>G86-F86</f>
        <v/>
      </c>
      <c r="I86" s="14">
        <f>IF(F86=0,0,G86/F86-1)</f>
        <v/>
      </c>
    </row>
    <row r="87">
      <c r="A87" s="8" t="inlineStr">
        <is>
          <t>1000.0000.2400.52040.300</t>
        </is>
      </c>
      <c r="B87" s="8" t="inlineStr">
        <is>
          <t>Admin Benefits</t>
        </is>
      </c>
      <c r="C87" s="16" t="n">
        <v>50056.72</v>
      </c>
      <c r="D87" s="16" t="n">
        <v>64613.98</v>
      </c>
      <c r="E87" s="16" t="n">
        <v>57554.07</v>
      </c>
      <c r="F87" s="16" t="n">
        <v>72443</v>
      </c>
      <c r="G87" s="16" t="n">
        <v>74858</v>
      </c>
      <c r="H87" s="16">
        <f>G87-F87</f>
        <v/>
      </c>
      <c r="I87" s="14">
        <f>IF(F87=0,0,G87/F87-1)</f>
        <v/>
      </c>
    </row>
    <row r="88">
      <c r="A88" s="8" t="inlineStr">
        <is>
          <t>1000.0000.2400.52080.300</t>
        </is>
      </c>
      <c r="B88" s="8" t="inlineStr">
        <is>
          <t>Support Benefits</t>
        </is>
      </c>
      <c r="C88" s="16" t="n">
        <v>41607.46</v>
      </c>
      <c r="D88" s="16" t="n">
        <v>35734.72</v>
      </c>
      <c r="E88" s="16" t="n">
        <v>33905.94</v>
      </c>
      <c r="F88" s="16" t="n">
        <v>51654</v>
      </c>
      <c r="G88" s="16" t="n">
        <v>65440</v>
      </c>
      <c r="H88" s="16">
        <f>G88-F88</f>
        <v/>
      </c>
      <c r="I88" s="14">
        <f>IF(F88=0,0,G88/F88-1)</f>
        <v/>
      </c>
    </row>
    <row r="89">
      <c r="A89" s="8" t="inlineStr">
        <is>
          <t>1000.0000.2400.52340.300</t>
        </is>
      </c>
      <c r="B89" s="8" t="inlineStr">
        <is>
          <t>Retirement</t>
        </is>
      </c>
      <c r="C89" s="16" t="n">
        <v>9182.700000000001</v>
      </c>
      <c r="D89" s="16" t="n">
        <v>16774.34</v>
      </c>
      <c r="E89" s="16" t="n">
        <v>11836.24</v>
      </c>
      <c r="F89" s="16" t="n">
        <v>12546</v>
      </c>
      <c r="G89" s="16" t="n">
        <v>13236</v>
      </c>
      <c r="H89" s="16">
        <f>G89-F89</f>
        <v/>
      </c>
      <c r="I89" s="14">
        <f>IF(F89=0,0,G89/F89-1)</f>
        <v/>
      </c>
    </row>
    <row r="90">
      <c r="A90" s="8" t="inlineStr">
        <is>
          <t>1000.0000.2400.52380.300</t>
        </is>
      </c>
      <c r="B90" s="8" t="inlineStr">
        <is>
          <t>Retirement</t>
        </is>
      </c>
      <c r="C90" s="16" t="n">
        <v>2474.04</v>
      </c>
      <c r="D90" s="16" t="n">
        <v>2571.56</v>
      </c>
      <c r="E90" s="16" t="n">
        <v>370.04</v>
      </c>
      <c r="F90" s="16" t="n">
        <v>6375</v>
      </c>
      <c r="G90" s="16" t="n">
        <v>6052</v>
      </c>
      <c r="H90" s="16">
        <f>G90-F90</f>
        <v/>
      </c>
      <c r="I90" s="14">
        <f>IF(F90=0,0,G90/F90-1)</f>
        <v/>
      </c>
    </row>
    <row r="91">
      <c r="A91" s="8" t="inlineStr">
        <is>
          <t>1000.0000.2400.53400.300</t>
        </is>
      </c>
      <c r="B91" s="8" t="inlineStr">
        <is>
          <t>Admin Purchased</t>
        </is>
      </c>
      <c r="C91" s="16" t="n">
        <v>0</v>
      </c>
      <c r="D91" s="16" t="n">
        <v>400</v>
      </c>
      <c r="E91" s="16" t="n">
        <v>0</v>
      </c>
      <c r="F91" s="16" t="n">
        <v>1044</v>
      </c>
      <c r="G91" s="16" t="n">
        <v>1059</v>
      </c>
      <c r="H91" s="16">
        <f>G91-F91</f>
        <v/>
      </c>
      <c r="I91" s="14">
        <f>IF(F91=0,0,G91/F91-1)</f>
        <v/>
      </c>
    </row>
    <row r="92">
      <c r="A92" s="8" t="inlineStr">
        <is>
          <t>1000.0000.2400.55310.300</t>
        </is>
      </c>
      <c r="B92" s="8" t="inlineStr">
        <is>
          <t>Postage</t>
        </is>
      </c>
      <c r="C92" s="16" t="n">
        <v>3496.71</v>
      </c>
      <c r="D92" s="16" t="n">
        <v>4170.97</v>
      </c>
      <c r="E92" s="16" t="n">
        <v>720</v>
      </c>
      <c r="F92" s="16" t="n">
        <v>3784</v>
      </c>
      <c r="G92" s="16" t="n">
        <v>3284</v>
      </c>
      <c r="H92" s="16">
        <f>G92-F92</f>
        <v/>
      </c>
      <c r="I92" s="14">
        <f>IF(F92=0,0,G92/F92-1)</f>
        <v/>
      </c>
    </row>
    <row r="93">
      <c r="A93" s="8" t="inlineStr">
        <is>
          <t>1000.0000.2400.55800.300</t>
        </is>
      </c>
      <c r="B93" s="8" t="inlineStr">
        <is>
          <t>Travel</t>
        </is>
      </c>
      <c r="C93" s="16" t="n">
        <v>475.68</v>
      </c>
      <c r="D93" s="16" t="n">
        <v>742</v>
      </c>
      <c r="E93" s="16" t="n">
        <v>1110.29</v>
      </c>
      <c r="F93" s="16" t="n">
        <v>1250</v>
      </c>
      <c r="G93" s="16" t="n">
        <v>1250</v>
      </c>
      <c r="H93" s="16">
        <f>G93-F93</f>
        <v/>
      </c>
      <c r="I93" s="14">
        <f>IF(F93=0,0,G93/F93-1)</f>
        <v/>
      </c>
    </row>
    <row r="94">
      <c r="A94" s="8" t="inlineStr">
        <is>
          <t>1000.0000.2400.56000.300</t>
        </is>
      </c>
      <c r="B94" s="8" t="inlineStr">
        <is>
          <t>Supplies</t>
        </is>
      </c>
      <c r="C94" s="16" t="n">
        <v>1406.81</v>
      </c>
      <c r="D94" s="16" t="n">
        <v>1593.02</v>
      </c>
      <c r="E94" s="16" t="n">
        <v>1369.76</v>
      </c>
      <c r="F94" s="16" t="n">
        <v>400</v>
      </c>
      <c r="G94" s="16" t="n">
        <v>400</v>
      </c>
      <c r="H94" s="16">
        <f>G94-F94</f>
        <v/>
      </c>
      <c r="I94" s="14">
        <f>IF(F94=0,0,G94/F94-1)</f>
        <v/>
      </c>
    </row>
    <row r="95">
      <c r="A95" s="8" t="inlineStr">
        <is>
          <t>1000.0000.2400.56400.300</t>
        </is>
      </c>
      <c r="B95" s="8" t="inlineStr">
        <is>
          <t>Admin Books</t>
        </is>
      </c>
      <c r="C95" s="16" t="n">
        <v>0</v>
      </c>
      <c r="D95" s="16" t="n">
        <v>0</v>
      </c>
      <c r="E95" s="16" t="n">
        <v>0</v>
      </c>
      <c r="F95" s="16" t="n">
        <v>300</v>
      </c>
      <c r="G95" s="16" t="n">
        <v>300</v>
      </c>
      <c r="H95" s="16">
        <f>G95-F95</f>
        <v/>
      </c>
      <c r="I95" s="14">
        <f>IF(F95=0,0,G95/F95-1)</f>
        <v/>
      </c>
    </row>
    <row r="96">
      <c r="A96" s="8" t="inlineStr">
        <is>
          <t>1000.0000.2400.58100.300</t>
        </is>
      </c>
      <c r="B96" s="8" t="inlineStr">
        <is>
          <t>Dues and Fees</t>
        </is>
      </c>
      <c r="C96" s="16" t="n">
        <v>6692.82</v>
      </c>
      <c r="D96" s="16" t="n">
        <v>6625.87</v>
      </c>
      <c r="E96" s="16" t="n">
        <v>6654</v>
      </c>
      <c r="F96" s="16" t="n">
        <v>6962</v>
      </c>
      <c r="G96" s="16" t="n">
        <v>6835</v>
      </c>
      <c r="H96" s="16">
        <f>G96-F96</f>
        <v/>
      </c>
      <c r="I96" s="14">
        <f>IF(F96=0,0,G96/F96-1)</f>
        <v/>
      </c>
    </row>
    <row r="97">
      <c r="A97" s="9" t="n"/>
      <c r="B97" s="22" t="inlineStr">
        <is>
          <t>Program 0000 Total</t>
        </is>
      </c>
      <c r="C97" s="23">
        <f>SUM(C85:C96)</f>
        <v/>
      </c>
      <c r="D97" s="23">
        <f>SUM(D85:D96)</f>
        <v/>
      </c>
      <c r="E97" s="23">
        <f>SUM(E85:E96)</f>
        <v/>
      </c>
      <c r="F97" s="23">
        <f>SUM(F85:F96)</f>
        <v/>
      </c>
      <c r="G97" s="23">
        <f>SUM(G85:G96)</f>
        <v/>
      </c>
      <c r="H97" s="23">
        <f>SUM(H85:H96)</f>
        <v/>
      </c>
      <c r="I97" s="23">
        <f>SUM(I85:I96)</f>
        <v/>
      </c>
    </row>
    <row r="98">
      <c r="A98" s="9" t="n"/>
      <c r="B98" s="12" t="inlineStr">
        <is>
          <t>Cost Center ('300',) Total</t>
        </is>
      </c>
      <c r="C98" s="26">
        <f>C97</f>
        <v/>
      </c>
      <c r="D98" s="26">
        <f>D97</f>
        <v/>
      </c>
      <c r="E98" s="26">
        <f>E97</f>
        <v/>
      </c>
      <c r="F98" s="26">
        <f>F97</f>
        <v/>
      </c>
      <c r="G98" s="26">
        <f>G97</f>
        <v/>
      </c>
      <c r="H98" s="26">
        <f>H97</f>
        <v/>
      </c>
      <c r="I98" s="26">
        <f>I97</f>
        <v/>
      </c>
    </row>
    <row r="100">
      <c r="A100" s="9" t="n"/>
      <c r="B100" s="27" t="inlineStr">
        <is>
          <t>ARTICLE 7 TOTAL</t>
        </is>
      </c>
      <c r="C100" s="28">
        <f>C20+C35+C51+C67+C82+C98</f>
        <v/>
      </c>
      <c r="D100" s="28">
        <f>D20+D35+D51+D67+D82+D98</f>
        <v/>
      </c>
      <c r="E100" s="28">
        <f>E20+E35+E51+E67+E82+E98</f>
        <v/>
      </c>
      <c r="F100" s="28">
        <f>F20+F35+F51+F67+F82+F98</f>
        <v/>
      </c>
      <c r="G100" s="28">
        <f>G20+G35+G51+G67+G82+G98</f>
        <v/>
      </c>
      <c r="H100" s="28">
        <f>H20+H35+H51+H67+H82+H98</f>
        <v/>
      </c>
      <c r="I100" s="28">
        <f>I20+I35+I51+I67+I82+I98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8 - Transportation &amp; Buses</t>
        </is>
      </c>
    </row>
    <row r="2">
      <c r="A2" s="2" t="inlineStr">
        <is>
          <t>Source: FY27 Proposed Budget, RSU 5</t>
        </is>
      </c>
    </row>
    <row r="3">
      <c r="A3" s="2" t="inlineStr">
        <is>
          <t>Verification: UNRECONCILED -- see Summary tab</t>
        </is>
      </c>
    </row>
    <row r="5">
      <c r="A5" s="4" t="inlineStr">
        <is>
          <t>Account</t>
        </is>
      </c>
      <c r="B5" s="4" t="inlineStr">
        <is>
          <t>Description</t>
        </is>
      </c>
      <c r="C5" s="4" t="inlineStr">
        <is>
          <t>FY23 Actual</t>
        </is>
      </c>
      <c r="D5" s="4" t="inlineStr">
        <is>
          <t>FY24 Actual</t>
        </is>
      </c>
      <c r="E5" s="4" t="inlineStr">
        <is>
          <t>FY25 Actual</t>
        </is>
      </c>
      <c r="F5" s="4" t="inlineStr">
        <is>
          <t>FY26 Adopted</t>
        </is>
      </c>
      <c r="G5" s="4" t="inlineStr">
        <is>
          <t>FY27 Proposed</t>
        </is>
      </c>
      <c r="H5" s="4" t="inlineStr">
        <is>
          <t>$ Diff</t>
        </is>
      </c>
      <c r="I5" s="4" t="inlineStr">
        <is>
          <t>% Diff</t>
        </is>
      </c>
    </row>
    <row r="6">
      <c r="A6" s="3" t="inlineStr">
        <is>
          <t>Cost Center: ('900',)</t>
        </is>
      </c>
    </row>
    <row r="7">
      <c r="A7" s="8" t="inlineStr">
        <is>
          <t>1000.0000.2700.51020.900</t>
        </is>
      </c>
      <c r="B7" s="8" t="inlineStr">
        <is>
          <t>Ed Tech Salaries</t>
        </is>
      </c>
      <c r="C7" s="16" t="n">
        <v>6889.84</v>
      </c>
      <c r="D7" s="16" t="n">
        <v>6395.76</v>
      </c>
      <c r="E7" s="16" t="n">
        <v>0</v>
      </c>
      <c r="F7" s="16" t="n">
        <v>0</v>
      </c>
      <c r="G7" s="16" t="n">
        <v>0</v>
      </c>
      <c r="H7" s="16">
        <f>G7-F7</f>
        <v/>
      </c>
      <c r="I7" s="14">
        <f>IF(F7=0,0,G7/F7-1)</f>
        <v/>
      </c>
    </row>
    <row r="8">
      <c r="A8" s="8" t="inlineStr">
        <is>
          <t>1000.0000.2700.51040.900</t>
        </is>
      </c>
      <c r="B8" s="8" t="inlineStr">
        <is>
          <t>Administrator Salary</t>
        </is>
      </c>
      <c r="C8" s="16" t="n">
        <v>126602.99</v>
      </c>
      <c r="D8" s="16" t="n">
        <v>78000</v>
      </c>
      <c r="E8" s="16" t="n">
        <v>121197.7</v>
      </c>
      <c r="F8" s="16" t="n">
        <v>92024</v>
      </c>
      <c r="G8" s="16" t="n">
        <v>105680</v>
      </c>
      <c r="H8" s="16">
        <f>G8-F8</f>
        <v/>
      </c>
      <c r="I8" s="14">
        <f>IF(F8=0,0,G8/F8-1)</f>
        <v/>
      </c>
    </row>
    <row r="9">
      <c r="A9" s="8" t="inlineStr">
        <is>
          <t>1000.0000.2700.51060.900</t>
        </is>
      </c>
      <c r="B9" s="8" t="inlineStr">
        <is>
          <t>Transportation Office</t>
        </is>
      </c>
      <c r="C9" s="16" t="n">
        <v>0</v>
      </c>
      <c r="D9" s="16" t="n">
        <v>0</v>
      </c>
      <c r="E9" s="16" t="n">
        <v>0</v>
      </c>
      <c r="F9" s="16" t="n">
        <v>0</v>
      </c>
      <c r="G9" s="16" t="n">
        <v>40109</v>
      </c>
      <c r="H9" s="16">
        <f>G9-F9</f>
        <v/>
      </c>
      <c r="I9" s="14">
        <f>IF(F9=0,0,G9/F9-1)</f>
        <v/>
      </c>
    </row>
    <row r="10">
      <c r="A10" s="8" t="inlineStr">
        <is>
          <t>1000.0000.2700.51180.900</t>
        </is>
      </c>
      <c r="B10" s="8" t="inlineStr">
        <is>
          <t>Bus Drivers Salaries</t>
        </is>
      </c>
      <c r="C10" s="16" t="n">
        <v>482704.11</v>
      </c>
      <c r="D10" s="16" t="n">
        <v>482613.46</v>
      </c>
      <c r="E10" s="16" t="n">
        <v>476791.92</v>
      </c>
      <c r="F10" s="16" t="n">
        <v>529229</v>
      </c>
      <c r="G10" s="16" t="n">
        <v>609326</v>
      </c>
      <c r="H10" s="16">
        <f>G10-F10</f>
        <v/>
      </c>
      <c r="I10" s="14">
        <f>IF(F10=0,0,G10/F10-1)</f>
        <v/>
      </c>
    </row>
    <row r="11">
      <c r="A11" s="8" t="inlineStr">
        <is>
          <t>1000.0000.2700.51200.900</t>
        </is>
      </c>
      <c r="B11" s="8" t="inlineStr">
        <is>
          <t>Substitute Salaries</t>
        </is>
      </c>
      <c r="C11" s="16" t="n">
        <v>97242.22</v>
      </c>
      <c r="D11" s="16" t="n">
        <v>76594.85000000001</v>
      </c>
      <c r="E11" s="16" t="n">
        <v>147020.56</v>
      </c>
      <c r="F11" s="16" t="n">
        <v>77112</v>
      </c>
      <c r="G11" s="16" t="n">
        <v>77112</v>
      </c>
      <c r="H11" s="16">
        <f>G11-F11</f>
        <v/>
      </c>
      <c r="I11" s="14">
        <f>IF(F11=0,0,G11/F11-1)</f>
        <v/>
      </c>
    </row>
    <row r="12">
      <c r="A12" s="8" t="inlineStr">
        <is>
          <t>1000.0000.2700.52000.900</t>
        </is>
      </c>
      <c r="B12" s="8" t="inlineStr">
        <is>
          <t>Sub Bus Driver Benefits</t>
        </is>
      </c>
      <c r="C12" s="16" t="n">
        <v>22100.98</v>
      </c>
      <c r="D12" s="16" t="n">
        <v>14378.75</v>
      </c>
      <c r="E12" s="16" t="n">
        <v>23294.16</v>
      </c>
      <c r="F12" s="16" t="n">
        <v>11983</v>
      </c>
      <c r="G12" s="16" t="n">
        <v>19111</v>
      </c>
      <c r="H12" s="16">
        <f>G12-F12</f>
        <v/>
      </c>
      <c r="I12" s="14">
        <f>IF(F12=0,0,G12/F12-1)</f>
        <v/>
      </c>
    </row>
    <row r="13">
      <c r="A13" s="8" t="inlineStr">
        <is>
          <t>1000.0000.2700.52020.900</t>
        </is>
      </c>
      <c r="B13" s="8" t="inlineStr">
        <is>
          <t>Ed Tech Benefits</t>
        </is>
      </c>
      <c r="C13" s="16" t="n">
        <v>2126.98</v>
      </c>
      <c r="D13" s="16" t="n">
        <v>1697.63</v>
      </c>
      <c r="E13" s="16" t="n">
        <v>0</v>
      </c>
      <c r="F13" s="16" t="n">
        <v>0</v>
      </c>
      <c r="G13" s="16" t="n">
        <v>0</v>
      </c>
      <c r="H13" s="16">
        <f>G13-F13</f>
        <v/>
      </c>
      <c r="I13" s="14">
        <f>IF(F13=0,0,G13/F13-1)</f>
        <v/>
      </c>
    </row>
    <row r="14">
      <c r="A14" s="8" t="inlineStr">
        <is>
          <t>1000.0000.2700.52040.900</t>
        </is>
      </c>
      <c r="B14" s="8" t="inlineStr">
        <is>
          <t>Administrator Benefits</t>
        </is>
      </c>
      <c r="C14" s="16" t="n">
        <v>32278.66</v>
      </c>
      <c r="D14" s="16" t="n">
        <v>21333.88</v>
      </c>
      <c r="E14" s="16" t="n">
        <v>22868.28</v>
      </c>
      <c r="F14" s="16" t="n">
        <v>20362</v>
      </c>
      <c r="G14" s="16" t="n">
        <v>32898</v>
      </c>
      <c r="H14" s="16">
        <f>G14-F14</f>
        <v/>
      </c>
      <c r="I14" s="14">
        <f>IF(F14=0,0,G14/F14-1)</f>
        <v/>
      </c>
    </row>
    <row r="15">
      <c r="A15" s="8" t="inlineStr">
        <is>
          <t>1000.0000.2700.52060.900</t>
        </is>
      </c>
      <c r="B15" s="8" t="inlineStr">
        <is>
          <t>Transportation Office</t>
        </is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9707</v>
      </c>
      <c r="H15" s="16">
        <f>G15-F15</f>
        <v/>
      </c>
      <c r="I15" s="14">
        <f>IF(F15=0,0,G15/F15-1)</f>
        <v/>
      </c>
    </row>
    <row r="16">
      <c r="A16" s="8" t="inlineStr">
        <is>
          <t>1000.0000.2700.52080.900</t>
        </is>
      </c>
      <c r="B16" s="8" t="inlineStr">
        <is>
          <t>Bus Driver Benefits</t>
        </is>
      </c>
      <c r="C16" s="16" t="n">
        <v>165980.57</v>
      </c>
      <c r="D16" s="16" t="n">
        <v>156815.73</v>
      </c>
      <c r="E16" s="16" t="n">
        <v>198128.15</v>
      </c>
      <c r="F16" s="16" t="n">
        <v>244463</v>
      </c>
      <c r="G16" s="16" t="n">
        <v>342167</v>
      </c>
      <c r="H16" s="16">
        <f>G16-F16</f>
        <v/>
      </c>
      <c r="I16" s="14">
        <f>IF(F16=0,0,G16/F16-1)</f>
        <v/>
      </c>
    </row>
    <row r="17">
      <c r="A17" s="8" t="inlineStr">
        <is>
          <t>1000.0000.2700.52300.900</t>
        </is>
      </c>
      <c r="B17" s="8" t="inlineStr">
        <is>
          <t>Retirement</t>
        </is>
      </c>
      <c r="C17" s="16" t="n">
        <v>825.55</v>
      </c>
      <c r="D17" s="16" t="n">
        <v>144.6</v>
      </c>
      <c r="E17" s="16" t="n">
        <v>514.9</v>
      </c>
      <c r="F17" s="16" t="n">
        <v>0</v>
      </c>
      <c r="G17" s="16" t="n">
        <v>0</v>
      </c>
      <c r="H17" s="16">
        <f>G17-F17</f>
        <v/>
      </c>
      <c r="I17" s="14">
        <f>IF(F17=0,0,G17/F17-1)</f>
        <v/>
      </c>
    </row>
    <row r="18">
      <c r="A18" s="8" t="inlineStr">
        <is>
          <t>1000.0000.2700.52320.900</t>
        </is>
      </c>
      <c r="B18" s="8" t="inlineStr">
        <is>
          <t>Retirement</t>
        </is>
      </c>
      <c r="C18" s="16" t="n">
        <v>739.71</v>
      </c>
      <c r="D18" s="16" t="n">
        <v>786.02</v>
      </c>
      <c r="E18" s="16" t="n">
        <v>0</v>
      </c>
      <c r="F18" s="16" t="n">
        <v>0</v>
      </c>
      <c r="G18" s="16" t="n">
        <v>0</v>
      </c>
      <c r="H18" s="16">
        <f>G18-F18</f>
        <v/>
      </c>
      <c r="I18" s="14">
        <f>IF(F18=0,0,G18/F18-1)</f>
        <v/>
      </c>
    </row>
    <row r="19">
      <c r="A19" s="8" t="inlineStr">
        <is>
          <t>1000.0000.2700.52340.900</t>
        </is>
      </c>
      <c r="B19" s="8" t="inlineStr">
        <is>
          <t>Retirement</t>
        </is>
      </c>
      <c r="C19" s="16" t="n">
        <v>2232.75</v>
      </c>
      <c r="D19" s="16" t="n">
        <v>0</v>
      </c>
      <c r="E19" s="16" t="n">
        <v>0</v>
      </c>
      <c r="F19" s="16" t="n">
        <v>0</v>
      </c>
      <c r="G19" s="16" t="n">
        <v>5284</v>
      </c>
      <c r="H19" s="16">
        <f>G19-F19</f>
        <v/>
      </c>
      <c r="I19" s="14">
        <f>IF(F19=0,0,G19/F19-1)</f>
        <v/>
      </c>
    </row>
    <row r="20">
      <c r="A20" s="8" t="inlineStr">
        <is>
          <t>1000.0000.2700.52360.900</t>
        </is>
      </c>
      <c r="B20" s="8" t="inlineStr">
        <is>
          <t>Transportation Office</t>
        </is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2005</v>
      </c>
      <c r="H20" s="16">
        <f>G20-F20</f>
        <v/>
      </c>
      <c r="I20" s="14">
        <f>IF(F20=0,0,G20/F20-1)</f>
        <v/>
      </c>
    </row>
    <row r="21">
      <c r="A21" s="8" t="inlineStr">
        <is>
          <t>1000.0000.2700.52380.900</t>
        </is>
      </c>
      <c r="B21" s="8" t="inlineStr">
        <is>
          <t>Retirement</t>
        </is>
      </c>
      <c r="C21" s="16" t="n">
        <v>8301.4</v>
      </c>
      <c r="D21" s="16" t="n">
        <v>6232.12</v>
      </c>
      <c r="E21" s="16" t="n">
        <v>2741.3</v>
      </c>
      <c r="F21" s="16" t="n">
        <v>26463</v>
      </c>
      <c r="G21" s="16" t="n">
        <v>32904</v>
      </c>
      <c r="H21" s="16">
        <f>G21-F21</f>
        <v/>
      </c>
      <c r="I21" s="14">
        <f>IF(F21=0,0,G21/F21-1)</f>
        <v/>
      </c>
    </row>
    <row r="22">
      <c r="A22" s="8" t="inlineStr">
        <is>
          <t>1000.0000.2700.53000.900</t>
        </is>
      </c>
      <c r="B22" s="8" t="inlineStr">
        <is>
          <t>Purchased Professional</t>
        </is>
      </c>
      <c r="C22" s="16" t="n">
        <v>12784.29</v>
      </c>
      <c r="D22" s="16" t="n">
        <v>4008.83</v>
      </c>
      <c r="E22" s="16" t="n">
        <v>9644.42</v>
      </c>
      <c r="F22" s="16" t="n">
        <v>13932</v>
      </c>
      <c r="G22" s="16" t="n">
        <v>13665</v>
      </c>
      <c r="H22" s="16">
        <f>G22-F22</f>
        <v/>
      </c>
      <c r="I22" s="14">
        <f>IF(F22=0,0,G22/F22-1)</f>
        <v/>
      </c>
    </row>
    <row r="23">
      <c r="A23" s="8" t="inlineStr">
        <is>
          <t>1000.0000.2700.53300.900</t>
        </is>
      </c>
      <c r="B23" s="8" t="inlineStr">
        <is>
          <t>Employee Training</t>
        </is>
      </c>
      <c r="C23" s="16" t="n">
        <v>0</v>
      </c>
      <c r="D23" s="16" t="n">
        <v>0</v>
      </c>
      <c r="E23" s="16" t="n">
        <v>2306.88</v>
      </c>
      <c r="F23" s="16" t="n">
        <v>2100</v>
      </c>
      <c r="G23" s="16" t="n">
        <v>2800</v>
      </c>
      <c r="H23" s="16">
        <f>G23-F23</f>
        <v/>
      </c>
      <c r="I23" s="14">
        <f>IF(F23=0,0,G23/F23-1)</f>
        <v/>
      </c>
    </row>
    <row r="24">
      <c r="A24" s="8" t="inlineStr">
        <is>
          <t>1000.0000.2700.53400.900</t>
        </is>
      </c>
      <c r="B24" s="8" t="inlineStr">
        <is>
          <t>Contracted Services</t>
        </is>
      </c>
      <c r="C24" s="16" t="n">
        <v>0</v>
      </c>
      <c r="D24" s="16" t="n">
        <v>4237.4</v>
      </c>
      <c r="E24" s="16" t="n">
        <v>11875.73</v>
      </c>
      <c r="F24" s="16" t="n">
        <v>7700</v>
      </c>
      <c r="G24" s="16" t="n">
        <v>6100</v>
      </c>
      <c r="H24" s="16">
        <f>G24-F24</f>
        <v/>
      </c>
      <c r="I24" s="14">
        <f>IF(F24=0,0,G24/F24-1)</f>
        <v/>
      </c>
    </row>
    <row r="25">
      <c r="A25" s="8" t="inlineStr">
        <is>
          <t>1000.0000.2700.54300.900</t>
        </is>
      </c>
      <c r="B25" s="8" t="inlineStr">
        <is>
          <t>Purchased Repair/Maint</t>
        </is>
      </c>
      <c r="C25" s="16" t="n">
        <v>127243.84</v>
      </c>
      <c r="D25" s="16" t="n">
        <v>164681.62</v>
      </c>
      <c r="E25" s="16" t="n">
        <v>216652.39</v>
      </c>
      <c r="F25" s="16" t="n">
        <v>180200</v>
      </c>
      <c r="G25" s="16" t="n">
        <v>259200</v>
      </c>
      <c r="H25" s="16">
        <f>G25-F25</f>
        <v/>
      </c>
      <c r="I25" s="14">
        <f>IF(F25=0,0,G25/F25-1)</f>
        <v/>
      </c>
    </row>
    <row r="26">
      <c r="A26" s="8" t="inlineStr">
        <is>
          <t>1000.0000.2700.54450.900</t>
        </is>
      </c>
      <c r="B26" s="8" t="inlineStr">
        <is>
          <t>Bus Garage Lease</t>
        </is>
      </c>
      <c r="C26" s="16" t="n">
        <v>12500</v>
      </c>
      <c r="D26" s="16" t="n">
        <v>13000</v>
      </c>
      <c r="E26" s="16" t="n">
        <v>13500</v>
      </c>
      <c r="F26" s="16" t="n">
        <v>13000</v>
      </c>
      <c r="G26" s="16" t="n">
        <v>13000</v>
      </c>
      <c r="H26" s="16">
        <f>G26-F26</f>
        <v/>
      </c>
      <c r="I26" s="14">
        <f>IF(F26=0,0,G26/F26-1)</f>
        <v/>
      </c>
    </row>
    <row r="27">
      <c r="A27" s="8" t="inlineStr">
        <is>
          <t>1000.0000.2700.55200.900</t>
        </is>
      </c>
      <c r="B27" s="8" t="inlineStr">
        <is>
          <t>Insurance</t>
        </is>
      </c>
      <c r="C27" s="16" t="n">
        <v>25198.07</v>
      </c>
      <c r="D27" s="16" t="n">
        <v>28998.05</v>
      </c>
      <c r="E27" s="16" t="n">
        <v>29062</v>
      </c>
      <c r="F27" s="16" t="n">
        <v>31968</v>
      </c>
      <c r="G27" s="16" t="n">
        <v>31968</v>
      </c>
      <c r="H27" s="16">
        <f>G27-F27</f>
        <v/>
      </c>
      <c r="I27" s="14">
        <f>IF(F27=0,0,G27/F27-1)</f>
        <v/>
      </c>
    </row>
    <row r="28">
      <c r="A28" s="8" t="inlineStr">
        <is>
          <t>1000.0000.2700.55320.900</t>
        </is>
      </c>
      <c r="B28" s="8" t="inlineStr">
        <is>
          <t>Telephone</t>
        </is>
      </c>
      <c r="C28" s="16" t="n">
        <v>0</v>
      </c>
      <c r="D28" s="16" t="n">
        <v>869.95</v>
      </c>
      <c r="E28" s="16" t="n">
        <v>982.46</v>
      </c>
      <c r="F28" s="16" t="n">
        <v>3000</v>
      </c>
      <c r="G28" s="16" t="n">
        <v>3984</v>
      </c>
      <c r="H28" s="16">
        <f>G28-F28</f>
        <v/>
      </c>
      <c r="I28" s="14">
        <f>IF(F28=0,0,G28/F28-1)</f>
        <v/>
      </c>
    </row>
    <row r="29">
      <c r="A29" s="8" t="inlineStr">
        <is>
          <t>1000.0000.2700.55800.900</t>
        </is>
      </c>
      <c r="B29" s="8" t="inlineStr">
        <is>
          <t>Travel</t>
        </is>
      </c>
      <c r="C29" s="16" t="n">
        <v>0</v>
      </c>
      <c r="D29" s="16" t="n">
        <v>204.34</v>
      </c>
      <c r="E29" s="16" t="n">
        <v>639.36</v>
      </c>
      <c r="F29" s="16" t="n">
        <v>500</v>
      </c>
      <c r="G29" s="16" t="n">
        <v>2000</v>
      </c>
      <c r="H29" s="16">
        <f>G29-F29</f>
        <v/>
      </c>
      <c r="I29" s="14">
        <f>IF(F29=0,0,G29/F29-1)</f>
        <v/>
      </c>
    </row>
    <row r="30">
      <c r="A30" s="8" t="inlineStr">
        <is>
          <t>1000.0000.2700.56220.900</t>
        </is>
      </c>
      <c r="B30" s="8" t="inlineStr">
        <is>
          <t>Electricity</t>
        </is>
      </c>
      <c r="C30" s="16" t="n">
        <v>0</v>
      </c>
      <c r="D30" s="16" t="n">
        <v>158.02</v>
      </c>
      <c r="E30" s="16" t="n">
        <v>0</v>
      </c>
      <c r="F30" s="16" t="n">
        <v>0</v>
      </c>
      <c r="G30" s="16" t="n">
        <v>0</v>
      </c>
      <c r="H30" s="16">
        <f>G30-F30</f>
        <v/>
      </c>
      <c r="I30" s="14">
        <f>IF(F30=0,0,G30/F30-1)</f>
        <v/>
      </c>
    </row>
    <row r="31">
      <c r="A31" s="8" t="inlineStr">
        <is>
          <t>1000.0000.2700.56260.900</t>
        </is>
      </c>
      <c r="B31" s="8" t="inlineStr">
        <is>
          <t>Fleet Fuel</t>
        </is>
      </c>
      <c r="C31" s="16" t="n">
        <v>166812.87</v>
      </c>
      <c r="D31" s="16" t="n">
        <v>138458.18</v>
      </c>
      <c r="E31" s="16" t="n">
        <v>141292.73</v>
      </c>
      <c r="F31" s="16" t="n">
        <v>175200</v>
      </c>
      <c r="G31" s="16" t="n">
        <v>189000</v>
      </c>
      <c r="H31" s="16">
        <f>G31-F31</f>
        <v/>
      </c>
      <c r="I31" s="14">
        <f>IF(F31=0,0,G31/F31-1)</f>
        <v/>
      </c>
    </row>
    <row r="32">
      <c r="A32" s="8" t="inlineStr">
        <is>
          <t>1000.0000.2700.56700.900</t>
        </is>
      </c>
      <c r="B32" s="8" t="inlineStr">
        <is>
          <t>Supplies</t>
        </is>
      </c>
      <c r="C32" s="16" t="n">
        <v>33654.37</v>
      </c>
      <c r="D32" s="16" t="n">
        <v>73839.91</v>
      </c>
      <c r="E32" s="16" t="n">
        <v>32062.85</v>
      </c>
      <c r="F32" s="16" t="n">
        <v>80530</v>
      </c>
      <c r="G32" s="16" t="n">
        <v>71930</v>
      </c>
      <c r="H32" s="16">
        <f>G32-F32</f>
        <v/>
      </c>
      <c r="I32" s="14">
        <f>IF(F32=0,0,G32/F32-1)</f>
        <v/>
      </c>
    </row>
    <row r="33">
      <c r="A33" s="8" t="inlineStr">
        <is>
          <t>1000.0000.2700.58100.900</t>
        </is>
      </c>
      <c r="B33" s="8" t="inlineStr">
        <is>
          <t>Dues and Fees</t>
        </is>
      </c>
      <c r="C33" s="16" t="n">
        <v>4575.5</v>
      </c>
      <c r="D33" s="16" t="n">
        <v>3836</v>
      </c>
      <c r="E33" s="16" t="n">
        <v>525</v>
      </c>
      <c r="F33" s="16" t="n">
        <v>350</v>
      </c>
      <c r="G33" s="16" t="n">
        <v>400</v>
      </c>
      <c r="H33" s="16">
        <f>G33-F33</f>
        <v/>
      </c>
      <c r="I33" s="14">
        <f>IF(F33=0,0,G33/F33-1)</f>
        <v/>
      </c>
    </row>
    <row r="34">
      <c r="A34" s="8" t="inlineStr">
        <is>
          <t>1000.0000.2700.58310.900</t>
        </is>
      </c>
      <c r="B34" s="8" t="inlineStr">
        <is>
          <t>Principal-Bus Lease</t>
        </is>
      </c>
      <c r="C34" s="16" t="n">
        <v>74096.28</v>
      </c>
      <c r="D34" s="16" t="n">
        <v>88555.25999999999</v>
      </c>
      <c r="E34" s="16" t="n">
        <v>136166.57</v>
      </c>
      <c r="F34" s="16" t="n">
        <v>228649</v>
      </c>
      <c r="G34" s="16" t="n">
        <v>309872</v>
      </c>
      <c r="H34" s="16">
        <f>G34-F34</f>
        <v/>
      </c>
      <c r="I34" s="14">
        <f>IF(F34=0,0,G34/F34-1)</f>
        <v/>
      </c>
    </row>
    <row r="35">
      <c r="A35" s="9" t="n"/>
      <c r="B35" s="22" t="inlineStr">
        <is>
          <t>Program 0000 Total</t>
        </is>
      </c>
      <c r="C35" s="23">
        <f>SUM(C7:C34)</f>
        <v/>
      </c>
      <c r="D35" s="23">
        <f>SUM(D7:D34)</f>
        <v/>
      </c>
      <c r="E35" s="23">
        <f>SUM(E7:E34)</f>
        <v/>
      </c>
      <c r="F35" s="23">
        <f>SUM(F7:F34)</f>
        <v/>
      </c>
      <c r="G35" s="23">
        <f>SUM(G7:G34)</f>
        <v/>
      </c>
      <c r="H35" s="23">
        <f>SUM(H7:H34)</f>
        <v/>
      </c>
      <c r="I35" s="23">
        <f>SUM(I7:I34)</f>
        <v/>
      </c>
    </row>
    <row r="36">
      <c r="A36" s="8" t="inlineStr">
        <is>
          <t>1000.0000.2750.51020.900</t>
        </is>
      </c>
      <c r="B36" s="8" t="inlineStr">
        <is>
          <t>Ed Tech Salaries</t>
        </is>
      </c>
      <c r="C36" s="16" t="n">
        <v>740.28</v>
      </c>
      <c r="D36" s="16" t="n">
        <v>11.29</v>
      </c>
      <c r="E36" s="16" t="n">
        <v>1053.32</v>
      </c>
      <c r="F36" s="16" t="n">
        <v>18760</v>
      </c>
      <c r="G36" s="16" t="n">
        <v>18760</v>
      </c>
      <c r="H36" s="16">
        <f>G36-F36</f>
        <v/>
      </c>
      <c r="I36" s="14">
        <f>IF(F36=0,0,G36/F36-1)</f>
        <v/>
      </c>
    </row>
    <row r="37">
      <c r="A37" s="8" t="inlineStr">
        <is>
          <t>1000.0000.2750.51180.900</t>
        </is>
      </c>
      <c r="B37" s="8" t="inlineStr">
        <is>
          <t>Support Wages</t>
        </is>
      </c>
      <c r="C37" s="16" t="n">
        <v>66640.21000000001</v>
      </c>
      <c r="D37" s="16" t="n">
        <v>72046.77</v>
      </c>
      <c r="E37" s="16" t="n">
        <v>99035.31</v>
      </c>
      <c r="F37" s="16" t="n">
        <v>147392</v>
      </c>
      <c r="G37" s="16" t="n">
        <v>147392</v>
      </c>
      <c r="H37" s="16">
        <f>G37-F37</f>
        <v/>
      </c>
      <c r="I37" s="14">
        <f>IF(F37=0,0,G37/F37-1)</f>
        <v/>
      </c>
    </row>
    <row r="38">
      <c r="A38" s="8" t="inlineStr">
        <is>
          <t>1000.0000.2750.52020.900</t>
        </is>
      </c>
      <c r="B38" s="8" t="inlineStr">
        <is>
          <t>Ed Tech Benefits</t>
        </is>
      </c>
      <c r="C38" s="16" t="n">
        <v>422.39</v>
      </c>
      <c r="D38" s="16" t="n">
        <v>5.8</v>
      </c>
      <c r="E38" s="16" t="n">
        <v>242.13</v>
      </c>
      <c r="F38" s="16" t="n">
        <v>2915</v>
      </c>
      <c r="G38" s="16" t="n">
        <v>4649</v>
      </c>
      <c r="H38" s="16">
        <f>G38-F38</f>
        <v/>
      </c>
      <c r="I38" s="14">
        <f>IF(F38=0,0,G38/F38-1)</f>
        <v/>
      </c>
    </row>
    <row r="39">
      <c r="A39" s="8" t="inlineStr">
        <is>
          <t>1000.0000.2750.52080.900</t>
        </is>
      </c>
      <c r="B39" s="8" t="inlineStr">
        <is>
          <t>Support Benefits</t>
        </is>
      </c>
      <c r="C39" s="16" t="n">
        <v>10131.49</v>
      </c>
      <c r="D39" s="16" t="n">
        <v>11911.94</v>
      </c>
      <c r="E39" s="16" t="n">
        <v>15900.31</v>
      </c>
      <c r="F39" s="16" t="n">
        <v>22905</v>
      </c>
      <c r="G39" s="16" t="n">
        <v>36528</v>
      </c>
      <c r="H39" s="16">
        <f>G39-F39</f>
        <v/>
      </c>
      <c r="I39" s="14">
        <f>IF(F39=0,0,G39/F39-1)</f>
        <v/>
      </c>
    </row>
    <row r="40">
      <c r="A40" s="8" t="inlineStr">
        <is>
          <t>1000.0000.2750.52320.900</t>
        </is>
      </c>
      <c r="B40" s="8" t="inlineStr">
        <is>
          <t>Retirement</t>
        </is>
      </c>
      <c r="C40" s="16" t="n">
        <v>159.09</v>
      </c>
      <c r="D40" s="16" t="n">
        <v>0.51</v>
      </c>
      <c r="E40" s="16" t="n">
        <v>47.08</v>
      </c>
      <c r="F40" s="16" t="n">
        <v>839</v>
      </c>
      <c r="G40" s="16" t="n">
        <v>906</v>
      </c>
      <c r="H40" s="16">
        <f>G40-F40</f>
        <v/>
      </c>
      <c r="I40" s="14">
        <f>IF(F40=0,0,G40/F40-1)</f>
        <v/>
      </c>
    </row>
    <row r="41">
      <c r="A41" s="8" t="inlineStr">
        <is>
          <t>1000.0000.2750.52380.900</t>
        </is>
      </c>
      <c r="B41" s="8" t="inlineStr">
        <is>
          <t>Retirement</t>
        </is>
      </c>
      <c r="C41" s="16" t="n">
        <v>28.28</v>
      </c>
      <c r="D41" s="16" t="n">
        <v>184.85</v>
      </c>
      <c r="E41" s="16" t="n">
        <v>73.31999999999999</v>
      </c>
      <c r="F41" s="16" t="n">
        <v>0</v>
      </c>
      <c r="G41" s="16" t="n">
        <v>0</v>
      </c>
      <c r="H41" s="16">
        <f>G41-F41</f>
        <v/>
      </c>
      <c r="I41" s="14">
        <f>IF(F41=0,0,G41/F41-1)</f>
        <v/>
      </c>
    </row>
    <row r="42">
      <c r="A42" s="8" t="inlineStr">
        <is>
          <t>1000.0000.2750.55100.900</t>
        </is>
      </c>
      <c r="B42" s="8" t="inlineStr">
        <is>
          <t>OOD PURCHASED</t>
        </is>
      </c>
      <c r="C42" s="16" t="n">
        <v>0</v>
      </c>
      <c r="D42" s="16" t="n">
        <v>95153.75</v>
      </c>
      <c r="E42" s="16" t="n">
        <v>0</v>
      </c>
      <c r="F42" s="16" t="n">
        <v>0</v>
      </c>
      <c r="G42" s="16" t="n">
        <v>0</v>
      </c>
      <c r="H42" s="16">
        <f>G42-F42</f>
        <v/>
      </c>
      <c r="I42" s="14">
        <f>IF(F42=0,0,G42/F42-1)</f>
        <v/>
      </c>
    </row>
    <row r="43">
      <c r="A43" s="9" t="n"/>
      <c r="B43" s="22" t="inlineStr">
        <is>
          <t>Program 0000 Total</t>
        </is>
      </c>
      <c r="C43" s="23">
        <f>SUM(C36:C42)</f>
        <v/>
      </c>
      <c r="D43" s="23">
        <f>SUM(D36:D42)</f>
        <v/>
      </c>
      <c r="E43" s="23">
        <f>SUM(E36:E42)</f>
        <v/>
      </c>
      <c r="F43" s="23">
        <f>SUM(F36:F42)</f>
        <v/>
      </c>
      <c r="G43" s="23">
        <f>SUM(G36:G42)</f>
        <v/>
      </c>
      <c r="H43" s="23">
        <f>SUM(H36:H42)</f>
        <v/>
      </c>
      <c r="I43" s="23">
        <f>SUM(I36:I42)</f>
        <v/>
      </c>
    </row>
    <row r="44">
      <c r="A44" s="8" t="inlineStr">
        <is>
          <t>1000.0000.2770.55100.900</t>
        </is>
      </c>
      <c r="B44" s="8" t="inlineStr">
        <is>
          <t>HOMELESS PURCHASED</t>
        </is>
      </c>
      <c r="C44" s="16" t="n">
        <v>0</v>
      </c>
      <c r="D44" s="16" t="n">
        <v>44141.52</v>
      </c>
      <c r="E44" s="16" t="n">
        <v>19459.24</v>
      </c>
      <c r="F44" s="16" t="n">
        <v>0</v>
      </c>
      <c r="G44" s="16" t="n">
        <v>0</v>
      </c>
      <c r="H44" s="16">
        <f>G44-F44</f>
        <v/>
      </c>
      <c r="I44" s="14">
        <f>IF(F44=0,0,G44/F44-1)</f>
        <v/>
      </c>
    </row>
    <row r="45">
      <c r="A45" s="9" t="n"/>
      <c r="B45" s="12" t="inlineStr">
        <is>
          <t>Cost Center ('900',) Total</t>
        </is>
      </c>
      <c r="C45" s="26">
        <f>C35+C43</f>
        <v/>
      </c>
      <c r="D45" s="26">
        <f>D35+D43</f>
        <v/>
      </c>
      <c r="E45" s="26">
        <f>E35+E43</f>
        <v/>
      </c>
      <c r="F45" s="26">
        <f>F35+F43</f>
        <v/>
      </c>
      <c r="G45" s="26">
        <f>G35+G43</f>
        <v/>
      </c>
      <c r="H45" s="26">
        <f>H35+H43</f>
        <v/>
      </c>
      <c r="I45" s="26">
        <f>I35+I43</f>
        <v/>
      </c>
    </row>
    <row r="47">
      <c r="A47" s="9" t="n"/>
      <c r="B47" s="27" t="inlineStr">
        <is>
          <t>ARTICLE 8 TOTAL</t>
        </is>
      </c>
      <c r="C47" s="28">
        <f>C45</f>
        <v/>
      </c>
      <c r="D47" s="28">
        <f>D45</f>
        <v/>
      </c>
      <c r="E47" s="28">
        <f>E45</f>
        <v/>
      </c>
      <c r="F47" s="28">
        <f>F45</f>
        <v/>
      </c>
      <c r="G47" s="28">
        <f>G45</f>
        <v/>
      </c>
      <c r="H47" s="28">
        <f>H45</f>
        <v/>
      </c>
      <c r="I47" s="28">
        <f>I45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9 - Facilities &amp; Maintenance</t>
        </is>
      </c>
    </row>
    <row r="2">
      <c r="A2" s="2" t="inlineStr">
        <is>
          <t>Source: FY27 Proposed Budget, RSU 5</t>
        </is>
      </c>
    </row>
    <row r="3">
      <c r="A3" s="2" t="inlineStr">
        <is>
          <t>Verification: UNRECONCILED -- see Summary tab</t>
        </is>
      </c>
    </row>
    <row r="5">
      <c r="A5" s="4" t="inlineStr">
        <is>
          <t>Account</t>
        </is>
      </c>
      <c r="B5" s="4" t="inlineStr">
        <is>
          <t>Description</t>
        </is>
      </c>
      <c r="C5" s="4" t="inlineStr">
        <is>
          <t>FY23 Actual</t>
        </is>
      </c>
      <c r="D5" s="4" t="inlineStr">
        <is>
          <t>FY24 Actual</t>
        </is>
      </c>
      <c r="E5" s="4" t="inlineStr">
        <is>
          <t>FY25 Actual</t>
        </is>
      </c>
      <c r="F5" s="4" t="inlineStr">
        <is>
          <t>FY26 Adopted</t>
        </is>
      </c>
      <c r="G5" s="4" t="inlineStr">
        <is>
          <t>FY27 Proposed</t>
        </is>
      </c>
      <c r="H5" s="4" t="inlineStr">
        <is>
          <t>$ Diff</t>
        </is>
      </c>
      <c r="I5" s="4" t="inlineStr">
        <is>
          <t>% Diff</t>
        </is>
      </c>
    </row>
    <row r="6">
      <c r="A6" s="3" t="inlineStr">
        <is>
          <t>Cost Center: ('010',)</t>
        </is>
      </c>
    </row>
    <row r="7">
      <c r="A7" s="8" t="inlineStr">
        <is>
          <t>1000.0000.2600.51180.010</t>
        </is>
      </c>
      <c r="B7" s="8" t="inlineStr">
        <is>
          <t>Salaries</t>
        </is>
      </c>
      <c r="C7" s="16" t="n">
        <v>194423.2</v>
      </c>
      <c r="D7" s="16" t="n">
        <v>196250.92</v>
      </c>
      <c r="E7" s="16" t="n">
        <v>201009.8</v>
      </c>
      <c r="F7" s="16" t="n">
        <v>208967</v>
      </c>
      <c r="G7" s="16" t="n">
        <v>210241</v>
      </c>
      <c r="H7" s="16">
        <f>G7-F7</f>
        <v/>
      </c>
      <c r="I7" s="14">
        <f>IF(F7=0,0,G7/F7-1)</f>
        <v/>
      </c>
    </row>
    <row r="8">
      <c r="A8" s="8" t="inlineStr">
        <is>
          <t>1000.0000.2600.52080.010</t>
        </is>
      </c>
      <c r="B8" s="8" t="inlineStr">
        <is>
          <t>Custodian Benefits</t>
        </is>
      </c>
      <c r="C8" s="16" t="n">
        <v>53127.43</v>
      </c>
      <c r="D8" s="16" t="n">
        <v>52480.6</v>
      </c>
      <c r="E8" s="16" t="n">
        <v>41596.62</v>
      </c>
      <c r="F8" s="16" t="n">
        <v>57506</v>
      </c>
      <c r="G8" s="16" t="n">
        <v>78332</v>
      </c>
      <c r="H8" s="16">
        <f>G8-F8</f>
        <v/>
      </c>
      <c r="I8" s="14">
        <f>IF(F8=0,0,G8/F8-1)</f>
        <v/>
      </c>
    </row>
    <row r="9">
      <c r="A9" s="8" t="inlineStr">
        <is>
          <t>1000.0000.2600.52380.010</t>
        </is>
      </c>
      <c r="B9" s="8" t="inlineStr">
        <is>
          <t>Retirement</t>
        </is>
      </c>
      <c r="C9" s="16" t="n">
        <v>1677.39</v>
      </c>
      <c r="D9" s="16" t="n">
        <v>1716</v>
      </c>
      <c r="E9" s="16" t="n">
        <v>1415.2</v>
      </c>
      <c r="F9" s="16" t="n">
        <v>10448</v>
      </c>
      <c r="G9" s="16" t="n">
        <v>11353</v>
      </c>
      <c r="H9" s="16">
        <f>G9-F9</f>
        <v/>
      </c>
      <c r="I9" s="14">
        <f>IF(F9=0,0,G9/F9-1)</f>
        <v/>
      </c>
    </row>
    <row r="10">
      <c r="A10" s="8" t="inlineStr">
        <is>
          <t>1000.0000.2600.53000.010</t>
        </is>
      </c>
      <c r="B10" s="8" t="inlineStr">
        <is>
          <t>Purchased Professional</t>
        </is>
      </c>
      <c r="C10" s="16" t="n">
        <v>0</v>
      </c>
      <c r="D10" s="16" t="n">
        <v>0</v>
      </c>
      <c r="E10" s="16" t="n">
        <v>0</v>
      </c>
      <c r="F10" s="16" t="n">
        <v>118</v>
      </c>
      <c r="G10" s="16" t="n">
        <v>118</v>
      </c>
      <c r="H10" s="16">
        <f>G10-F10</f>
        <v/>
      </c>
      <c r="I10" s="14">
        <f>IF(F10=0,0,G10/F10-1)</f>
        <v/>
      </c>
    </row>
    <row r="11">
      <c r="A11" s="8" t="inlineStr">
        <is>
          <t>1000.0000.2600.53300.010</t>
        </is>
      </c>
      <c r="B11" s="8" t="inlineStr">
        <is>
          <t>Employee Training</t>
        </is>
      </c>
      <c r="C11" s="16" t="n">
        <v>0</v>
      </c>
      <c r="D11" s="16" t="n">
        <v>0</v>
      </c>
      <c r="E11" s="16" t="n">
        <v>0</v>
      </c>
      <c r="F11" s="16" t="n">
        <v>125</v>
      </c>
      <c r="G11" s="16" t="n">
        <v>125</v>
      </c>
      <c r="H11" s="16">
        <f>G11-F11</f>
        <v/>
      </c>
      <c r="I11" s="14">
        <f>IF(F11=0,0,G11/F11-1)</f>
        <v/>
      </c>
    </row>
    <row r="12">
      <c r="A12" s="8" t="inlineStr">
        <is>
          <t>1000.0000.2600.54300.010</t>
        </is>
      </c>
      <c r="B12" s="8" t="inlineStr">
        <is>
          <t>Purchased Repairs/Maint</t>
        </is>
      </c>
      <c r="C12" s="16" t="n">
        <v>96340.60000000001</v>
      </c>
      <c r="D12" s="16" t="n">
        <v>128554.36</v>
      </c>
      <c r="E12" s="16" t="n">
        <v>129487.93</v>
      </c>
      <c r="F12" s="16" t="n">
        <v>117387</v>
      </c>
      <c r="G12" s="16" t="n">
        <v>96459</v>
      </c>
      <c r="H12" s="16">
        <f>G12-F12</f>
        <v/>
      </c>
      <c r="I12" s="14">
        <f>IF(F12=0,0,G12/F12-1)</f>
        <v/>
      </c>
    </row>
    <row r="13">
      <c r="A13" s="8" t="inlineStr">
        <is>
          <t>1000.0000.2600.55200.010</t>
        </is>
      </c>
      <c r="B13" s="8" t="inlineStr">
        <is>
          <t>Insurance</t>
        </is>
      </c>
      <c r="C13" s="16" t="n">
        <v>32679.04</v>
      </c>
      <c r="D13" s="16" t="n">
        <v>20520.21</v>
      </c>
      <c r="E13" s="16" t="n">
        <v>43509</v>
      </c>
      <c r="F13" s="16" t="n">
        <v>47860</v>
      </c>
      <c r="G13" s="16" t="n">
        <v>47860</v>
      </c>
      <c r="H13" s="16">
        <f>G13-F13</f>
        <v/>
      </c>
      <c r="I13" s="14">
        <f>IF(F13=0,0,G13/F13-1)</f>
        <v/>
      </c>
    </row>
    <row r="14">
      <c r="A14" s="8" t="inlineStr">
        <is>
          <t>1000.0000.2600.55320.010</t>
        </is>
      </c>
      <c r="B14" s="8" t="inlineStr">
        <is>
          <t>Telephone</t>
        </is>
      </c>
      <c r="C14" s="16" t="n">
        <v>9217.33</v>
      </c>
      <c r="D14" s="16" t="n">
        <v>10135.01</v>
      </c>
      <c r="E14" s="16" t="n">
        <v>11222.4</v>
      </c>
      <c r="F14" s="16" t="n">
        <v>9494</v>
      </c>
      <c r="G14" s="16" t="n">
        <v>11559</v>
      </c>
      <c r="H14" s="16">
        <f>G14-F14</f>
        <v/>
      </c>
      <c r="I14" s="14">
        <f>IF(F14=0,0,G14/F14-1)</f>
        <v/>
      </c>
    </row>
    <row r="15">
      <c r="A15" s="8" t="inlineStr">
        <is>
          <t>1000.0000.2600.55800.010</t>
        </is>
      </c>
      <c r="B15" s="8" t="inlineStr">
        <is>
          <t>Travel</t>
        </is>
      </c>
      <c r="C15" s="16" t="n">
        <v>0</v>
      </c>
      <c r="D15" s="16" t="n">
        <v>45.56</v>
      </c>
      <c r="E15" s="16" t="n">
        <v>0</v>
      </c>
      <c r="F15" s="16" t="n">
        <v>15</v>
      </c>
      <c r="G15" s="16" t="n">
        <v>15</v>
      </c>
      <c r="H15" s="16">
        <f>G15-F15</f>
        <v/>
      </c>
      <c r="I15" s="14">
        <f>IF(F15=0,0,G15/F15-1)</f>
        <v/>
      </c>
    </row>
    <row r="16">
      <c r="A16" s="8" t="inlineStr">
        <is>
          <t>1000.0000.2600.56000.010</t>
        </is>
      </c>
      <c r="B16" s="8" t="inlineStr">
        <is>
          <t>Supplies</t>
        </is>
      </c>
      <c r="C16" s="16" t="n">
        <v>31415.8</v>
      </c>
      <c r="D16" s="16" t="n">
        <v>22761.8</v>
      </c>
      <c r="E16" s="16" t="n">
        <v>19793.53</v>
      </c>
      <c r="F16" s="16" t="n">
        <v>29600</v>
      </c>
      <c r="G16" s="16" t="n">
        <v>31483</v>
      </c>
      <c r="H16" s="16">
        <f>G16-F16</f>
        <v/>
      </c>
      <c r="I16" s="14">
        <f>IF(F16=0,0,G16/F16-1)</f>
        <v/>
      </c>
    </row>
    <row r="17">
      <c r="A17" s="8" t="inlineStr">
        <is>
          <t>1000.0000.2600.56011.010</t>
        </is>
      </c>
      <c r="B17" s="8" t="inlineStr">
        <is>
          <t>Materials for Repair</t>
        </is>
      </c>
      <c r="C17" s="16" t="n">
        <v>2321.61</v>
      </c>
      <c r="D17" s="16" t="n">
        <v>6592.3</v>
      </c>
      <c r="E17" s="16" t="n">
        <v>6362.42</v>
      </c>
      <c r="F17" s="16" t="n">
        <v>10100</v>
      </c>
      <c r="G17" s="16" t="n">
        <v>10100</v>
      </c>
      <c r="H17" s="16">
        <f>G17-F17</f>
        <v/>
      </c>
      <c r="I17" s="14">
        <f>IF(F17=0,0,G17/F17-1)</f>
        <v/>
      </c>
    </row>
    <row r="18">
      <c r="A18" s="8" t="inlineStr">
        <is>
          <t>1000.0000.2600.56013.010</t>
        </is>
      </c>
      <c r="B18" s="8" t="inlineStr">
        <is>
          <t>Major Maintenance</t>
        </is>
      </c>
      <c r="C18" s="16" t="n">
        <v>4980.32</v>
      </c>
      <c r="D18" s="16" t="n">
        <v>2355</v>
      </c>
      <c r="E18" s="16" t="n">
        <v>26047.33</v>
      </c>
      <c r="F18" s="16" t="n">
        <v>16705</v>
      </c>
      <c r="G18" s="16" t="n">
        <v>13820</v>
      </c>
      <c r="H18" s="16">
        <f>G18-F18</f>
        <v/>
      </c>
      <c r="I18" s="14">
        <f>IF(F18=0,0,G18/F18-1)</f>
        <v/>
      </c>
    </row>
    <row r="19">
      <c r="A19" s="8" t="inlineStr">
        <is>
          <t>1000.0000.2600.56220.010</t>
        </is>
      </c>
      <c r="B19" s="8" t="inlineStr">
        <is>
          <t>Electricity - Durham</t>
        </is>
      </c>
      <c r="C19" s="16" t="n">
        <v>86520.41</v>
      </c>
      <c r="D19" s="16" t="n">
        <v>87261.02</v>
      </c>
      <c r="E19" s="16" t="n">
        <v>79413.34</v>
      </c>
      <c r="F19" s="16" t="n">
        <v>144000</v>
      </c>
      <c r="G19" s="16" t="n">
        <v>144000</v>
      </c>
      <c r="H19" s="16">
        <f>G19-F19</f>
        <v/>
      </c>
      <c r="I19" s="14">
        <f>IF(F19=0,0,G19/F19-1)</f>
        <v/>
      </c>
    </row>
    <row r="20">
      <c r="A20" s="8" t="inlineStr">
        <is>
          <t>1000.0000.2600.56240.010</t>
        </is>
      </c>
      <c r="B20" s="8" t="inlineStr">
        <is>
          <t>Heating Fuel</t>
        </is>
      </c>
      <c r="C20" s="16" t="n">
        <v>17413.11</v>
      </c>
      <c r="D20" s="16" t="n">
        <v>20105.35</v>
      </c>
      <c r="E20" s="16" t="n">
        <v>27892.98</v>
      </c>
      <c r="F20" s="16" t="n">
        <v>13000</v>
      </c>
      <c r="G20" s="16" t="n">
        <v>28500</v>
      </c>
      <c r="H20" s="16">
        <f>G20-F20</f>
        <v/>
      </c>
      <c r="I20" s="14">
        <f>IF(F20=0,0,G20/F20-1)</f>
        <v/>
      </c>
    </row>
    <row r="21">
      <c r="A21" s="9" t="n"/>
      <c r="B21" s="22" t="inlineStr">
        <is>
          <t>Program 0000 Total</t>
        </is>
      </c>
      <c r="C21" s="23">
        <f>SUM(C7:C20)</f>
        <v/>
      </c>
      <c r="D21" s="23">
        <f>SUM(D7:D20)</f>
        <v/>
      </c>
      <c r="E21" s="23">
        <f>SUM(E7:E20)</f>
        <v/>
      </c>
      <c r="F21" s="23">
        <f>SUM(F7:F20)</f>
        <v/>
      </c>
      <c r="G21" s="23">
        <f>SUM(G7:G20)</f>
        <v/>
      </c>
      <c r="H21" s="23">
        <f>SUM(H7:H20)</f>
        <v/>
      </c>
      <c r="I21" s="23">
        <f>SUM(I7:I20)</f>
        <v/>
      </c>
    </row>
    <row r="22">
      <c r="A22" s="9" t="n"/>
      <c r="B22" s="12" t="inlineStr">
        <is>
          <t>Cost Center ('010',) Total</t>
        </is>
      </c>
      <c r="C22" s="26">
        <f>C21</f>
        <v/>
      </c>
      <c r="D22" s="26">
        <f>D21</f>
        <v/>
      </c>
      <c r="E22" s="26">
        <f>E21</f>
        <v/>
      </c>
      <c r="F22" s="26">
        <f>F21</f>
        <v/>
      </c>
      <c r="G22" s="26">
        <f>G21</f>
        <v/>
      </c>
      <c r="H22" s="26">
        <f>H21</f>
        <v/>
      </c>
      <c r="I22" s="26">
        <f>I21</f>
        <v/>
      </c>
    </row>
    <row r="24">
      <c r="A24" s="3" t="inlineStr">
        <is>
          <t>Cost Center: ('020',)</t>
        </is>
      </c>
    </row>
    <row r="25">
      <c r="A25" s="8" t="inlineStr">
        <is>
          <t>1000.0000.2600.51180.020</t>
        </is>
      </c>
      <c r="B25" s="8" t="inlineStr">
        <is>
          <t>Custodial Salaries</t>
        </is>
      </c>
      <c r="C25" s="16" t="n">
        <v>144126.69</v>
      </c>
      <c r="D25" s="16" t="n">
        <v>170157.14</v>
      </c>
      <c r="E25" s="16" t="n">
        <v>172513.31</v>
      </c>
      <c r="F25" s="16" t="n">
        <v>257246</v>
      </c>
      <c r="G25" s="16" t="n">
        <v>214884</v>
      </c>
      <c r="H25" s="16">
        <f>G25-F25</f>
        <v/>
      </c>
      <c r="I25" s="14">
        <f>IF(F25=0,0,G25/F25-1)</f>
        <v/>
      </c>
    </row>
    <row r="26">
      <c r="A26" s="8" t="inlineStr">
        <is>
          <t>1000.0000.2600.52080.020</t>
        </is>
      </c>
      <c r="B26" s="8" t="inlineStr">
        <is>
          <t>Custodian Benefits</t>
        </is>
      </c>
      <c r="C26" s="16" t="n">
        <v>43174.79</v>
      </c>
      <c r="D26" s="16" t="n">
        <v>100138.6</v>
      </c>
      <c r="E26" s="16" t="n">
        <v>72298.74000000001</v>
      </c>
      <c r="F26" s="16" t="n">
        <v>122678</v>
      </c>
      <c r="G26" s="16" t="n">
        <v>125451</v>
      </c>
      <c r="H26" s="16">
        <f>G26-F26</f>
        <v/>
      </c>
      <c r="I26" s="14">
        <f>IF(F26=0,0,G26/F26-1)</f>
        <v/>
      </c>
    </row>
    <row r="27">
      <c r="A27" s="8" t="inlineStr">
        <is>
          <t>1000.0000.2600.52380.020</t>
        </is>
      </c>
      <c r="B27" s="8" t="inlineStr">
        <is>
          <t>Retirement</t>
        </is>
      </c>
      <c r="C27" s="16" t="n">
        <v>910.78</v>
      </c>
      <c r="D27" s="16" t="n">
        <v>2640.94</v>
      </c>
      <c r="E27" s="16" t="n">
        <v>1337.71</v>
      </c>
      <c r="F27" s="16" t="n">
        <v>12862</v>
      </c>
      <c r="G27" s="16" t="n">
        <v>11604</v>
      </c>
      <c r="H27" s="16">
        <f>G27-F27</f>
        <v/>
      </c>
      <c r="I27" s="14">
        <f>IF(F27=0,0,G27/F27-1)</f>
        <v/>
      </c>
    </row>
    <row r="28">
      <c r="A28" s="8" t="inlineStr">
        <is>
          <t>1000.0000.2600.53000.020</t>
        </is>
      </c>
      <c r="B28" s="8" t="inlineStr">
        <is>
          <t>Purchased Professional</t>
        </is>
      </c>
      <c r="C28" s="16" t="n">
        <v>0</v>
      </c>
      <c r="D28" s="16" t="n">
        <v>0</v>
      </c>
      <c r="E28" s="16" t="n">
        <v>0</v>
      </c>
      <c r="F28" s="16" t="n">
        <v>118</v>
      </c>
      <c r="G28" s="16" t="n">
        <v>118</v>
      </c>
      <c r="H28" s="16">
        <f>G28-F28</f>
        <v/>
      </c>
      <c r="I28" s="14">
        <f>IF(F28=0,0,G28/F28-1)</f>
        <v/>
      </c>
    </row>
    <row r="29">
      <c r="A29" s="8" t="inlineStr">
        <is>
          <t>1000.0000.2600.53300.020</t>
        </is>
      </c>
      <c r="B29" s="8" t="inlineStr">
        <is>
          <t>Employee Training</t>
        </is>
      </c>
      <c r="C29" s="16" t="n">
        <v>0</v>
      </c>
      <c r="D29" s="16" t="n">
        <v>0</v>
      </c>
      <c r="E29" s="16" t="n">
        <v>0</v>
      </c>
      <c r="F29" s="16" t="n">
        <v>125</v>
      </c>
      <c r="G29" s="16" t="n">
        <v>125</v>
      </c>
      <c r="H29" s="16">
        <f>G29-F29</f>
        <v/>
      </c>
      <c r="I29" s="14">
        <f>IF(F29=0,0,G29/F29-1)</f>
        <v/>
      </c>
    </row>
    <row r="30">
      <c r="A30" s="8" t="inlineStr">
        <is>
          <t>1000.0000.2600.54100.020</t>
        </is>
      </c>
      <c r="B30" s="8" t="inlineStr">
        <is>
          <t>Water/Sewage</t>
        </is>
      </c>
      <c r="C30" s="16" t="n">
        <v>18957.62</v>
      </c>
      <c r="D30" s="16" t="n">
        <v>20892.23</v>
      </c>
      <c r="E30" s="16" t="n">
        <v>34342.68</v>
      </c>
      <c r="F30" s="16" t="n">
        <v>19512</v>
      </c>
      <c r="G30" s="16" t="n">
        <v>19512</v>
      </c>
      <c r="H30" s="16">
        <f>G30-F30</f>
        <v/>
      </c>
      <c r="I30" s="14">
        <f>IF(F30=0,0,G30/F30-1)</f>
        <v/>
      </c>
    </row>
    <row r="31">
      <c r="A31" s="8" t="inlineStr">
        <is>
          <t>1000.0000.2600.54300.020</t>
        </is>
      </c>
      <c r="B31" s="8" t="inlineStr">
        <is>
          <t>Purchased Repairs/Maint</t>
        </is>
      </c>
      <c r="C31" s="16" t="n">
        <v>39256.53</v>
      </c>
      <c r="D31" s="16" t="n">
        <v>66441.2</v>
      </c>
      <c r="E31" s="16" t="n">
        <v>63790.44</v>
      </c>
      <c r="F31" s="16" t="n">
        <v>46239</v>
      </c>
      <c r="G31" s="16" t="n">
        <v>54090</v>
      </c>
      <c r="H31" s="16">
        <f>G31-F31</f>
        <v/>
      </c>
      <c r="I31" s="14">
        <f>IF(F31=0,0,G31/F31-1)</f>
        <v/>
      </c>
    </row>
    <row r="32">
      <c r="A32" s="8" t="inlineStr">
        <is>
          <t>1000.0000.2600.55200.020</t>
        </is>
      </c>
      <c r="B32" s="8" t="inlineStr">
        <is>
          <t>Insurance</t>
        </is>
      </c>
      <c r="C32" s="16" t="n">
        <v>15318.31</v>
      </c>
      <c r="D32" s="16" t="n">
        <v>20520.21</v>
      </c>
      <c r="E32" s="16" t="n">
        <v>19987</v>
      </c>
      <c r="F32" s="16" t="n">
        <v>21986</v>
      </c>
      <c r="G32" s="16" t="n">
        <v>21986</v>
      </c>
      <c r="H32" s="16">
        <f>G32-F32</f>
        <v/>
      </c>
      <c r="I32" s="14">
        <f>IF(F32=0,0,G32/F32-1)</f>
        <v/>
      </c>
    </row>
    <row r="33">
      <c r="A33" s="8" t="inlineStr">
        <is>
          <t>1000.0000.2600.55320.020</t>
        </is>
      </c>
      <c r="B33" s="8" t="inlineStr">
        <is>
          <t>Telephone</t>
        </is>
      </c>
      <c r="C33" s="16" t="n">
        <v>4645.51</v>
      </c>
      <c r="D33" s="16" t="n">
        <v>5653.58</v>
      </c>
      <c r="E33" s="16" t="n">
        <v>9384.23</v>
      </c>
      <c r="F33" s="16" t="n">
        <v>4785</v>
      </c>
      <c r="G33" s="16" t="n">
        <v>9666</v>
      </c>
      <c r="H33" s="16">
        <f>G33-F33</f>
        <v/>
      </c>
      <c r="I33" s="14">
        <f>IF(F33=0,0,G33/F33-1)</f>
        <v/>
      </c>
    </row>
    <row r="34">
      <c r="A34" s="8" t="inlineStr">
        <is>
          <t>1000.0000.2600.55800.020</t>
        </is>
      </c>
      <c r="B34" s="8" t="inlineStr">
        <is>
          <t>Travel</t>
        </is>
      </c>
      <c r="C34" s="16" t="n">
        <v>0</v>
      </c>
      <c r="D34" s="16" t="n">
        <v>44.22</v>
      </c>
      <c r="E34" s="16" t="n">
        <v>99.40000000000001</v>
      </c>
      <c r="F34" s="16" t="n">
        <v>15</v>
      </c>
      <c r="G34" s="16" t="n">
        <v>15</v>
      </c>
      <c r="H34" s="16">
        <f>G34-F34</f>
        <v/>
      </c>
      <c r="I34" s="14">
        <f>IF(F34=0,0,G34/F34-1)</f>
        <v/>
      </c>
    </row>
    <row r="35">
      <c r="A35" s="8" t="inlineStr">
        <is>
          <t>1000.0000.2600.56000.020</t>
        </is>
      </c>
      <c r="B35" s="8" t="inlineStr">
        <is>
          <t>Supplies</t>
        </is>
      </c>
      <c r="C35" s="16" t="n">
        <v>28630.04</v>
      </c>
      <c r="D35" s="16" t="n">
        <v>24140.04</v>
      </c>
      <c r="E35" s="16" t="n">
        <v>12063.44</v>
      </c>
      <c r="F35" s="16" t="n">
        <v>24750</v>
      </c>
      <c r="G35" s="16" t="n">
        <v>26034</v>
      </c>
      <c r="H35" s="16">
        <f>G35-F35</f>
        <v/>
      </c>
      <c r="I35" s="14">
        <f>IF(F35=0,0,G35/F35-1)</f>
        <v/>
      </c>
    </row>
    <row r="36">
      <c r="A36" s="8" t="inlineStr">
        <is>
          <t>1000.0000.2600.56011.020</t>
        </is>
      </c>
      <c r="B36" s="8" t="inlineStr">
        <is>
          <t>Materials for Repair</t>
        </is>
      </c>
      <c r="C36" s="16" t="n">
        <v>4715.14</v>
      </c>
      <c r="D36" s="16" t="n">
        <v>826.6</v>
      </c>
      <c r="E36" s="16" t="n">
        <v>2922.78</v>
      </c>
      <c r="F36" s="16" t="n">
        <v>6400</v>
      </c>
      <c r="G36" s="16" t="n">
        <v>6400</v>
      </c>
      <c r="H36" s="16">
        <f>G36-F36</f>
        <v/>
      </c>
      <c r="I36" s="14">
        <f>IF(F36=0,0,G36/F36-1)</f>
        <v/>
      </c>
    </row>
    <row r="37">
      <c r="A37" s="8" t="inlineStr">
        <is>
          <t>1000.0000.2600.56013.020</t>
        </is>
      </c>
      <c r="B37" s="8" t="inlineStr">
        <is>
          <t>Major Maintenance</t>
        </is>
      </c>
      <c r="C37" s="16" t="n">
        <v>6120.56</v>
      </c>
      <c r="D37" s="16" t="n">
        <v>2339.75</v>
      </c>
      <c r="E37" s="16" t="n">
        <v>18891.52</v>
      </c>
      <c r="F37" s="16" t="n">
        <v>4706</v>
      </c>
      <c r="G37" s="16" t="n">
        <v>29255</v>
      </c>
      <c r="H37" s="16">
        <f>G37-F37</f>
        <v/>
      </c>
      <c r="I37" s="14">
        <f>IF(F37=0,0,G37/F37-1)</f>
        <v/>
      </c>
    </row>
    <row r="38">
      <c r="A38" s="8" t="inlineStr">
        <is>
          <t>1000.0000.2600.56220.020</t>
        </is>
      </c>
      <c r="B38" s="8" t="inlineStr">
        <is>
          <t>Electricity</t>
        </is>
      </c>
      <c r="C38" s="16" t="n">
        <v>21453.41</v>
      </c>
      <c r="D38" s="16" t="n">
        <v>21990.85</v>
      </c>
      <c r="E38" s="16" t="n">
        <v>36148.5</v>
      </c>
      <c r="F38" s="16" t="n">
        <v>10000</v>
      </c>
      <c r="G38" s="16" t="n">
        <v>10000</v>
      </c>
      <c r="H38" s="16">
        <f>G38-F38</f>
        <v/>
      </c>
      <c r="I38" s="14">
        <f>IF(F38=0,0,G38/F38-1)</f>
        <v/>
      </c>
    </row>
    <row r="39">
      <c r="A39" s="8" t="inlineStr">
        <is>
          <t>1000.0000.2600.56240.020</t>
        </is>
      </c>
      <c r="B39" s="8" t="inlineStr">
        <is>
          <t>Heating Fuel</t>
        </is>
      </c>
      <c r="C39" s="16" t="n">
        <v>44779.81</v>
      </c>
      <c r="D39" s="16" t="n">
        <v>27977.85</v>
      </c>
      <c r="E39" s="16" t="n">
        <v>39023.35</v>
      </c>
      <c r="F39" s="16" t="n">
        <v>41000</v>
      </c>
      <c r="G39" s="16" t="n">
        <v>40500</v>
      </c>
      <c r="H39" s="16">
        <f>G39-F39</f>
        <v/>
      </c>
      <c r="I39" s="14">
        <f>IF(F39=0,0,G39/F39-1)</f>
        <v/>
      </c>
    </row>
    <row r="40">
      <c r="A40" s="9" t="n"/>
      <c r="B40" s="22" t="inlineStr">
        <is>
          <t>Program 0000 Total</t>
        </is>
      </c>
      <c r="C40" s="23">
        <f>SUM(C25:C39)</f>
        <v/>
      </c>
      <c r="D40" s="23">
        <f>SUM(D25:D39)</f>
        <v/>
      </c>
      <c r="E40" s="23">
        <f>SUM(E25:E39)</f>
        <v/>
      </c>
      <c r="F40" s="23">
        <f>SUM(F25:F39)</f>
        <v/>
      </c>
      <c r="G40" s="23">
        <f>SUM(G25:G39)</f>
        <v/>
      </c>
      <c r="H40" s="23">
        <f>SUM(H25:H39)</f>
        <v/>
      </c>
      <c r="I40" s="23">
        <f>SUM(I25:I39)</f>
        <v/>
      </c>
    </row>
    <row r="41">
      <c r="A41" s="9" t="n"/>
      <c r="B41" s="12" t="inlineStr">
        <is>
          <t>Cost Center ('020',) Total</t>
        </is>
      </c>
      <c r="C41" s="26">
        <f>C40</f>
        <v/>
      </c>
      <c r="D41" s="26">
        <f>D40</f>
        <v/>
      </c>
      <c r="E41" s="26">
        <f>E40</f>
        <v/>
      </c>
      <c r="F41" s="26">
        <f>F40</f>
        <v/>
      </c>
      <c r="G41" s="26">
        <f>G40</f>
        <v/>
      </c>
      <c r="H41" s="26">
        <f>H40</f>
        <v/>
      </c>
      <c r="I41" s="26">
        <f>I40</f>
        <v/>
      </c>
    </row>
    <row r="43">
      <c r="A43" s="3" t="inlineStr">
        <is>
          <t>Cost Center: ('030',)</t>
        </is>
      </c>
    </row>
    <row r="44">
      <c r="A44" s="8" t="inlineStr">
        <is>
          <t>1000.0000.2600.51180.030</t>
        </is>
      </c>
      <c r="B44" s="8" t="inlineStr">
        <is>
          <t>Custodial Salaries</t>
        </is>
      </c>
      <c r="C44" s="16" t="n">
        <v>65224.21</v>
      </c>
      <c r="D44" s="16" t="n">
        <v>97052.50999999999</v>
      </c>
      <c r="E44" s="16" t="n">
        <v>82112.69</v>
      </c>
      <c r="F44" s="16" t="n">
        <v>100353</v>
      </c>
      <c r="G44" s="16" t="n">
        <v>100729</v>
      </c>
      <c r="H44" s="16">
        <f>G44-F44</f>
        <v/>
      </c>
      <c r="I44" s="14">
        <f>IF(F44=0,0,G44/F44-1)</f>
        <v/>
      </c>
    </row>
    <row r="45">
      <c r="A45" s="8" t="inlineStr">
        <is>
          <t>1000.0000.2600.52080.030</t>
        </is>
      </c>
      <c r="B45" s="8" t="inlineStr">
        <is>
          <t>Custodian Benefits</t>
        </is>
      </c>
      <c r="C45" s="16" t="n">
        <v>11523.07</v>
      </c>
      <c r="D45" s="16" t="n">
        <v>21268.09</v>
      </c>
      <c r="E45" s="16" t="n">
        <v>15219.76</v>
      </c>
      <c r="F45" s="16" t="n">
        <v>26752</v>
      </c>
      <c r="G45" s="16" t="n">
        <v>36655</v>
      </c>
      <c r="H45" s="16">
        <f>G45-F45</f>
        <v/>
      </c>
      <c r="I45" s="14">
        <f>IF(F45=0,0,G45/F45-1)</f>
        <v/>
      </c>
    </row>
    <row r="46">
      <c r="A46" s="8" t="inlineStr">
        <is>
          <t>1000.0000.2600.52380.030</t>
        </is>
      </c>
      <c r="B46" s="8" t="inlineStr">
        <is>
          <t>Retirement</t>
        </is>
      </c>
      <c r="C46" s="16" t="n">
        <v>0</v>
      </c>
      <c r="D46" s="16" t="n">
        <v>0</v>
      </c>
      <c r="E46" s="16" t="n">
        <v>0</v>
      </c>
      <c r="F46" s="16" t="n">
        <v>5018</v>
      </c>
      <c r="G46" s="16" t="n">
        <v>5439</v>
      </c>
      <c r="H46" s="16">
        <f>G46-F46</f>
        <v/>
      </c>
      <c r="I46" s="14">
        <f>IF(F46=0,0,G46/F46-1)</f>
        <v/>
      </c>
    </row>
    <row r="47">
      <c r="A47" s="8" t="inlineStr">
        <is>
          <t>1000.0000.2600.53000.030</t>
        </is>
      </c>
      <c r="B47" s="8" t="inlineStr">
        <is>
          <t>Purchased Professional</t>
        </is>
      </c>
      <c r="C47" s="16" t="n">
        <v>0</v>
      </c>
      <c r="D47" s="16" t="n">
        <v>0</v>
      </c>
      <c r="E47" s="16" t="n">
        <v>0</v>
      </c>
      <c r="F47" s="16" t="n">
        <v>118</v>
      </c>
      <c r="G47" s="16" t="n">
        <v>118</v>
      </c>
      <c r="H47" s="16">
        <f>G47-F47</f>
        <v/>
      </c>
      <c r="I47" s="14">
        <f>IF(F47=0,0,G47/F47-1)</f>
        <v/>
      </c>
    </row>
    <row r="48">
      <c r="A48" s="8" t="inlineStr">
        <is>
          <t>1000.0000.2600.53300.030</t>
        </is>
      </c>
      <c r="B48" s="8" t="inlineStr">
        <is>
          <t>Employee Training</t>
        </is>
      </c>
      <c r="C48" s="16" t="n">
        <v>0</v>
      </c>
      <c r="D48" s="16" t="n">
        <v>0</v>
      </c>
      <c r="E48" s="16" t="n">
        <v>0</v>
      </c>
      <c r="F48" s="16" t="n">
        <v>125</v>
      </c>
      <c r="G48" s="16" t="n">
        <v>125</v>
      </c>
      <c r="H48" s="16">
        <f>G48-F48</f>
        <v/>
      </c>
      <c r="I48" s="14">
        <f>IF(F48=0,0,G48/F48-1)</f>
        <v/>
      </c>
    </row>
    <row r="49">
      <c r="A49" s="8" t="inlineStr">
        <is>
          <t>1000.0000.2600.54300.030</t>
        </is>
      </c>
      <c r="B49" s="8" t="inlineStr">
        <is>
          <t>Purchased Repairs/Maint</t>
        </is>
      </c>
      <c r="C49" s="16" t="n">
        <v>34487.4</v>
      </c>
      <c r="D49" s="16" t="n">
        <v>52590.76</v>
      </c>
      <c r="E49" s="16" t="n">
        <v>62694.89</v>
      </c>
      <c r="F49" s="16" t="n">
        <v>37764</v>
      </c>
      <c r="G49" s="16" t="n">
        <v>40389</v>
      </c>
      <c r="H49" s="16">
        <f>G49-F49</f>
        <v/>
      </c>
      <c r="I49" s="14">
        <f>IF(F49=0,0,G49/F49-1)</f>
        <v/>
      </c>
    </row>
    <row r="50">
      <c r="A50" s="8" t="inlineStr">
        <is>
          <t>1000.0000.2600.55200.030</t>
        </is>
      </c>
      <c r="B50" s="8" t="inlineStr">
        <is>
          <t>Insurance</t>
        </is>
      </c>
      <c r="C50" s="16" t="n">
        <v>9190.98</v>
      </c>
      <c r="D50" s="16" t="n">
        <v>20520.21</v>
      </c>
      <c r="E50" s="16" t="n">
        <v>12750</v>
      </c>
      <c r="F50" s="16" t="n">
        <v>14025</v>
      </c>
      <c r="G50" s="16" t="n">
        <v>14025</v>
      </c>
      <c r="H50" s="16">
        <f>G50-F50</f>
        <v/>
      </c>
      <c r="I50" s="14">
        <f>IF(F50=0,0,G50/F50-1)</f>
        <v/>
      </c>
    </row>
    <row r="51">
      <c r="A51" s="8" t="inlineStr">
        <is>
          <t>1000.0000.2600.55320.030</t>
        </is>
      </c>
      <c r="B51" s="8" t="inlineStr">
        <is>
          <t>Telephone</t>
        </is>
      </c>
      <c r="C51" s="16" t="n">
        <v>2967.72</v>
      </c>
      <c r="D51" s="16" t="n">
        <v>4082.39</v>
      </c>
      <c r="E51" s="16" t="n">
        <v>6347.21</v>
      </c>
      <c r="F51" s="16" t="n">
        <v>3057</v>
      </c>
      <c r="G51" s="16" t="n">
        <v>6537</v>
      </c>
      <c r="H51" s="16">
        <f>G51-F51</f>
        <v/>
      </c>
      <c r="I51" s="14">
        <f>IF(F51=0,0,G51/F51-1)</f>
        <v/>
      </c>
    </row>
    <row r="52">
      <c r="A52" s="8" t="inlineStr">
        <is>
          <t>1000.0000.2600.55800.030</t>
        </is>
      </c>
      <c r="B52" s="8" t="inlineStr">
        <is>
          <t>Travel</t>
        </is>
      </c>
      <c r="C52" s="16" t="n">
        <v>0</v>
      </c>
      <c r="D52" s="16" t="n">
        <v>37.52</v>
      </c>
      <c r="E52" s="16" t="n">
        <v>0</v>
      </c>
      <c r="F52" s="16" t="n">
        <v>15</v>
      </c>
      <c r="G52" s="16" t="n">
        <v>15</v>
      </c>
      <c r="H52" s="16">
        <f>G52-F52</f>
        <v/>
      </c>
      <c r="I52" s="14">
        <f>IF(F52=0,0,G52/F52-1)</f>
        <v/>
      </c>
    </row>
    <row r="53">
      <c r="A53" s="8" t="inlineStr">
        <is>
          <t>1000.0000.2600.56000.030</t>
        </is>
      </c>
      <c r="B53" s="8" t="inlineStr">
        <is>
          <t>Supplies</t>
        </is>
      </c>
      <c r="C53" s="16" t="n">
        <v>18226.32</v>
      </c>
      <c r="D53" s="16" t="n">
        <v>12283.95</v>
      </c>
      <c r="E53" s="16" t="n">
        <v>6713.44</v>
      </c>
      <c r="F53" s="16" t="n">
        <v>12925</v>
      </c>
      <c r="G53" s="16" t="n">
        <v>13652</v>
      </c>
      <c r="H53" s="16">
        <f>G53-F53</f>
        <v/>
      </c>
      <c r="I53" s="14">
        <f>IF(F53=0,0,G53/F53-1)</f>
        <v/>
      </c>
    </row>
    <row r="54">
      <c r="A54" s="8" t="inlineStr">
        <is>
          <t>1000.0000.2600.56011.030</t>
        </is>
      </c>
      <c r="B54" s="8" t="inlineStr">
        <is>
          <t>Materials for Repair</t>
        </is>
      </c>
      <c r="C54" s="16" t="n">
        <v>3264.73</v>
      </c>
      <c r="D54" s="16" t="n">
        <v>2064.97</v>
      </c>
      <c r="E54" s="16" t="n">
        <v>429.09</v>
      </c>
      <c r="F54" s="16" t="n">
        <v>6700</v>
      </c>
      <c r="G54" s="16" t="n">
        <v>6700</v>
      </c>
      <c r="H54" s="16">
        <f>G54-F54</f>
        <v/>
      </c>
      <c r="I54" s="14">
        <f>IF(F54=0,0,G54/F54-1)</f>
        <v/>
      </c>
    </row>
    <row r="55">
      <c r="A55" s="8" t="inlineStr">
        <is>
          <t>1000.0000.2600.56013.030</t>
        </is>
      </c>
      <c r="B55" s="8" t="inlineStr">
        <is>
          <t>Major Maintenance</t>
        </is>
      </c>
      <c r="C55" s="16" t="n">
        <v>0</v>
      </c>
      <c r="D55" s="16" t="n">
        <v>15303.41</v>
      </c>
      <c r="E55" s="16" t="n">
        <v>0</v>
      </c>
      <c r="F55" s="16" t="n">
        <v>0</v>
      </c>
      <c r="G55" s="16" t="n">
        <v>0</v>
      </c>
      <c r="H55" s="16">
        <f>G55-F55</f>
        <v/>
      </c>
      <c r="I55" s="14">
        <f>IF(F55=0,0,G55/F55-1)</f>
        <v/>
      </c>
    </row>
    <row r="56">
      <c r="A56" s="8" t="inlineStr">
        <is>
          <t>1000.0000.2600.56050.030</t>
        </is>
      </c>
      <c r="B56" s="8" t="inlineStr">
        <is>
          <t>Furniture &amp; Equipment -</t>
        </is>
      </c>
      <c r="C56" s="16" t="n">
        <v>2321.35</v>
      </c>
      <c r="D56" s="16" t="n">
        <v>0</v>
      </c>
      <c r="E56" s="16" t="n">
        <v>0</v>
      </c>
      <c r="F56" s="16" t="n">
        <v>0</v>
      </c>
      <c r="G56" s="16" t="n">
        <v>0</v>
      </c>
      <c r="H56" s="16">
        <f>G56-F56</f>
        <v/>
      </c>
      <c r="I56" s="14">
        <f>IF(F56=0,0,G56/F56-1)</f>
        <v/>
      </c>
    </row>
    <row r="57">
      <c r="A57" s="8" t="inlineStr">
        <is>
          <t>1000.0000.2600.56220.030</t>
        </is>
      </c>
      <c r="B57" s="8" t="inlineStr">
        <is>
          <t>Electricity</t>
        </is>
      </c>
      <c r="C57" s="16" t="n">
        <v>11965.22</v>
      </c>
      <c r="D57" s="16" t="n">
        <v>12057.25</v>
      </c>
      <c r="E57" s="16" t="n">
        <v>16163.12</v>
      </c>
      <c r="F57" s="16" t="n">
        <v>8000</v>
      </c>
      <c r="G57" s="16" t="n">
        <v>8000</v>
      </c>
      <c r="H57" s="16">
        <f>G57-F57</f>
        <v/>
      </c>
      <c r="I57" s="14">
        <f>IF(F57=0,0,G57/F57-1)</f>
        <v/>
      </c>
    </row>
    <row r="58">
      <c r="A58" s="8" t="inlineStr">
        <is>
          <t>1000.0000.2600.56240.030</t>
        </is>
      </c>
      <c r="B58" s="8" t="inlineStr">
        <is>
          <t>Heating Fuel</t>
        </is>
      </c>
      <c r="C58" s="16" t="n">
        <v>26368.55</v>
      </c>
      <c r="D58" s="16" t="n">
        <v>27016.12</v>
      </c>
      <c r="E58" s="16" t="n">
        <v>19448.98</v>
      </c>
      <c r="F58" s="16" t="n">
        <v>28000</v>
      </c>
      <c r="G58" s="16" t="n">
        <v>21000</v>
      </c>
      <c r="H58" s="16">
        <f>G58-F58</f>
        <v/>
      </c>
      <c r="I58" s="14">
        <f>IF(F58=0,0,G58/F58-1)</f>
        <v/>
      </c>
    </row>
    <row r="59">
      <c r="A59" s="9" t="n"/>
      <c r="B59" s="22" t="inlineStr">
        <is>
          <t>Program 0000 Total</t>
        </is>
      </c>
      <c r="C59" s="23">
        <f>SUM(C44:C58)</f>
        <v/>
      </c>
      <c r="D59" s="23">
        <f>SUM(D44:D58)</f>
        <v/>
      </c>
      <c r="E59" s="23">
        <f>SUM(E44:E58)</f>
        <v/>
      </c>
      <c r="F59" s="23">
        <f>SUM(F44:F58)</f>
        <v/>
      </c>
      <c r="G59" s="23">
        <f>SUM(G44:G58)</f>
        <v/>
      </c>
      <c r="H59" s="23">
        <f>SUM(H44:H58)</f>
        <v/>
      </c>
      <c r="I59" s="23">
        <f>SUM(I44:I58)</f>
        <v/>
      </c>
    </row>
    <row r="60">
      <c r="A60" s="9" t="n"/>
      <c r="B60" s="12" t="inlineStr">
        <is>
          <t>Cost Center ('030',) Total</t>
        </is>
      </c>
      <c r="C60" s="26">
        <f>C59</f>
        <v/>
      </c>
      <c r="D60" s="26">
        <f>D59</f>
        <v/>
      </c>
      <c r="E60" s="26">
        <f>E59</f>
        <v/>
      </c>
      <c r="F60" s="26">
        <f>F59</f>
        <v/>
      </c>
      <c r="G60" s="26">
        <f>G59</f>
        <v/>
      </c>
      <c r="H60" s="26">
        <f>H59</f>
        <v/>
      </c>
      <c r="I60" s="26">
        <f>I59</f>
        <v/>
      </c>
    </row>
    <row r="62">
      <c r="A62" s="3" t="inlineStr">
        <is>
          <t>Cost Center: ('040',)</t>
        </is>
      </c>
    </row>
    <row r="63">
      <c r="A63" s="8" t="inlineStr">
        <is>
          <t>1000.0000.2600.51180.040</t>
        </is>
      </c>
      <c r="B63" s="8" t="inlineStr">
        <is>
          <t>Custodian Salaries</t>
        </is>
      </c>
      <c r="C63" s="16" t="n">
        <v>130629.88</v>
      </c>
      <c r="D63" s="16" t="n">
        <v>114676.96</v>
      </c>
      <c r="E63" s="16" t="n">
        <v>109637.35</v>
      </c>
      <c r="F63" s="16" t="n">
        <v>146409</v>
      </c>
      <c r="G63" s="16" t="n">
        <v>174158</v>
      </c>
      <c r="H63" s="16">
        <f>G63-F63</f>
        <v/>
      </c>
      <c r="I63" s="14">
        <f>IF(F63=0,0,G63/F63-1)</f>
        <v/>
      </c>
    </row>
    <row r="64">
      <c r="A64" s="8" t="inlineStr">
        <is>
          <t>1000.0000.2600.52080.040</t>
        </is>
      </c>
      <c r="B64" s="8" t="inlineStr">
        <is>
          <t>Custodian Benefits</t>
        </is>
      </c>
      <c r="C64" s="16" t="n">
        <v>58148.61</v>
      </c>
      <c r="D64" s="16" t="n">
        <v>96671.60000000001</v>
      </c>
      <c r="E64" s="16" t="n">
        <v>43089.99</v>
      </c>
      <c r="F64" s="16" t="n">
        <v>84153</v>
      </c>
      <c r="G64" s="16" t="n">
        <v>121717</v>
      </c>
      <c r="H64" s="16">
        <f>G64-F64</f>
        <v/>
      </c>
      <c r="I64" s="14">
        <f>IF(F64=0,0,G64/F64-1)</f>
        <v/>
      </c>
    </row>
    <row r="65">
      <c r="A65" s="8" t="inlineStr">
        <is>
          <t>1000.0000.2600.52380.040</t>
        </is>
      </c>
      <c r="B65" s="8" t="inlineStr">
        <is>
          <t>Retirement</t>
        </is>
      </c>
      <c r="C65" s="16" t="n">
        <v>7045.25</v>
      </c>
      <c r="D65" s="16" t="n">
        <v>5574.49</v>
      </c>
      <c r="E65" s="16" t="n">
        <v>5554.06</v>
      </c>
      <c r="F65" s="16" t="n">
        <v>7320</v>
      </c>
      <c r="G65" s="16" t="n">
        <v>9405</v>
      </c>
      <c r="H65" s="16">
        <f>G65-F65</f>
        <v/>
      </c>
      <c r="I65" s="14">
        <f>IF(F65=0,0,G65/F65-1)</f>
        <v/>
      </c>
    </row>
    <row r="66">
      <c r="A66" s="8" t="inlineStr">
        <is>
          <t>1000.0000.2600.53000.040</t>
        </is>
      </c>
      <c r="B66" s="8" t="inlineStr">
        <is>
          <t>Purchased Professional</t>
        </is>
      </c>
      <c r="C66" s="16" t="n">
        <v>0</v>
      </c>
      <c r="D66" s="16" t="n">
        <v>0</v>
      </c>
      <c r="E66" s="16" t="n">
        <v>0</v>
      </c>
      <c r="F66" s="16" t="n">
        <v>118</v>
      </c>
      <c r="G66" s="16" t="n">
        <v>118</v>
      </c>
      <c r="H66" s="16">
        <f>G66-F66</f>
        <v/>
      </c>
      <c r="I66" s="14">
        <f>IF(F66=0,0,G66/F66-1)</f>
        <v/>
      </c>
    </row>
    <row r="67">
      <c r="A67" s="8" t="inlineStr">
        <is>
          <t>1000.0000.2600.53300.040</t>
        </is>
      </c>
      <c r="B67" s="8" t="inlineStr">
        <is>
          <t>Employee Training</t>
        </is>
      </c>
      <c r="C67" s="16" t="n">
        <v>0</v>
      </c>
      <c r="D67" s="16" t="n">
        <v>0</v>
      </c>
      <c r="E67" s="16" t="n">
        <v>0</v>
      </c>
      <c r="F67" s="16" t="n">
        <v>125</v>
      </c>
      <c r="G67" s="16" t="n">
        <v>125</v>
      </c>
      <c r="H67" s="16">
        <f>G67-F67</f>
        <v/>
      </c>
      <c r="I67" s="14">
        <f>IF(F67=0,0,G67/F67-1)</f>
        <v/>
      </c>
    </row>
    <row r="68">
      <c r="A68" s="8" t="inlineStr">
        <is>
          <t>1000.0000.2600.54100.040</t>
        </is>
      </c>
      <c r="B68" s="8" t="inlineStr">
        <is>
          <t>Water/Sewage</t>
        </is>
      </c>
      <c r="C68" s="16" t="n">
        <v>9758.309999999999</v>
      </c>
      <c r="D68" s="16" t="n">
        <v>9658.49</v>
      </c>
      <c r="E68" s="16" t="n">
        <v>12916.25</v>
      </c>
      <c r="F68" s="16" t="n">
        <v>10958</v>
      </c>
      <c r="G68" s="16" t="n">
        <v>10958</v>
      </c>
      <c r="H68" s="16">
        <f>G68-F68</f>
        <v/>
      </c>
      <c r="I68" s="14">
        <f>IF(F68=0,0,G68/F68-1)</f>
        <v/>
      </c>
    </row>
    <row r="69">
      <c r="A69" s="8" t="inlineStr">
        <is>
          <t>1000.0000.2600.54300.040</t>
        </is>
      </c>
      <c r="B69" s="8" t="inlineStr">
        <is>
          <t>Purchased Repairs/Maint</t>
        </is>
      </c>
      <c r="C69" s="16" t="n">
        <v>46562.42</v>
      </c>
      <c r="D69" s="16" t="n">
        <v>83999.02</v>
      </c>
      <c r="E69" s="16" t="n">
        <v>66641.2</v>
      </c>
      <c r="F69" s="16" t="n">
        <v>53057</v>
      </c>
      <c r="G69" s="16" t="n">
        <v>57824</v>
      </c>
      <c r="H69" s="16">
        <f>G69-F69</f>
        <v/>
      </c>
      <c r="I69" s="14">
        <f>IF(F69=0,0,G69/F69-1)</f>
        <v/>
      </c>
    </row>
    <row r="70">
      <c r="A70" s="8" t="inlineStr">
        <is>
          <t>1000.0000.2600.55200.040</t>
        </is>
      </c>
      <c r="B70" s="8" t="inlineStr">
        <is>
          <t>Insurance</t>
        </is>
      </c>
      <c r="C70" s="16" t="n">
        <v>15318.31</v>
      </c>
      <c r="D70" s="16" t="n">
        <v>20520.21</v>
      </c>
      <c r="E70" s="16" t="n">
        <v>19987</v>
      </c>
      <c r="F70" s="16" t="n">
        <v>21986</v>
      </c>
      <c r="G70" s="16" t="n">
        <v>21986</v>
      </c>
      <c r="H70" s="16">
        <f>G70-F70</f>
        <v/>
      </c>
      <c r="I70" s="14">
        <f>IF(F70=0,0,G70/F70-1)</f>
        <v/>
      </c>
    </row>
    <row r="71">
      <c r="A71" s="8" t="inlineStr">
        <is>
          <t>1000.0000.2600.55320.040</t>
        </is>
      </c>
      <c r="B71" s="8" t="inlineStr">
        <is>
          <t>Telephone</t>
        </is>
      </c>
      <c r="C71" s="16" t="n">
        <v>4211.45</v>
      </c>
      <c r="D71" s="16" t="n">
        <v>4313.92</v>
      </c>
      <c r="E71" s="16" t="n">
        <v>4533.04</v>
      </c>
      <c r="F71" s="16" t="n">
        <v>4337</v>
      </c>
      <c r="G71" s="16" t="n">
        <v>4669</v>
      </c>
      <c r="H71" s="16">
        <f>G71-F71</f>
        <v/>
      </c>
      <c r="I71" s="14">
        <f>IF(F71=0,0,G71/F71-1)</f>
        <v/>
      </c>
    </row>
    <row r="72">
      <c r="A72" s="8" t="inlineStr">
        <is>
          <t>1000.0000.2600.55800.040</t>
        </is>
      </c>
      <c r="B72" s="8" t="inlineStr">
        <is>
          <t>Travel</t>
        </is>
      </c>
      <c r="C72" s="16" t="n">
        <v>0</v>
      </c>
      <c r="D72" s="16" t="n">
        <v>152.76</v>
      </c>
      <c r="E72" s="16" t="n">
        <v>84</v>
      </c>
      <c r="F72" s="16" t="n">
        <v>15</v>
      </c>
      <c r="G72" s="16" t="n">
        <v>15</v>
      </c>
      <c r="H72" s="16">
        <f>G72-F72</f>
        <v/>
      </c>
      <c r="I72" s="14">
        <f>IF(F72=0,0,G72/F72-1)</f>
        <v/>
      </c>
    </row>
    <row r="73">
      <c r="A73" s="8" t="inlineStr">
        <is>
          <t>1000.0000.2600.56000.040</t>
        </is>
      </c>
      <c r="B73" s="8" t="inlineStr">
        <is>
          <t>Supplies</t>
        </is>
      </c>
      <c r="C73" s="16" t="n">
        <v>22365.8</v>
      </c>
      <c r="D73" s="16" t="n">
        <v>23654.88</v>
      </c>
      <c r="E73" s="16" t="n">
        <v>15084.91</v>
      </c>
      <c r="F73" s="16" t="n">
        <v>22700</v>
      </c>
      <c r="G73" s="16" t="n">
        <v>23898</v>
      </c>
      <c r="H73" s="16">
        <f>G73-F73</f>
        <v/>
      </c>
      <c r="I73" s="14">
        <f>IF(F73=0,0,G73/F73-1)</f>
        <v/>
      </c>
    </row>
    <row r="74">
      <c r="A74" s="8" t="inlineStr">
        <is>
          <t>1000.0000.2600.56011.040</t>
        </is>
      </c>
      <c r="B74" s="8" t="inlineStr">
        <is>
          <t>Material Repair</t>
        </is>
      </c>
      <c r="C74" s="16" t="n">
        <v>5281.83</v>
      </c>
      <c r="D74" s="16" t="n">
        <v>2858.62</v>
      </c>
      <c r="E74" s="16" t="n">
        <v>1804.29</v>
      </c>
      <c r="F74" s="16" t="n">
        <v>6500</v>
      </c>
      <c r="G74" s="16" t="n">
        <v>6500</v>
      </c>
      <c r="H74" s="16">
        <f>G74-F74</f>
        <v/>
      </c>
      <c r="I74" s="14">
        <f>IF(F74=0,0,G74/F74-1)</f>
        <v/>
      </c>
    </row>
    <row r="75">
      <c r="A75" s="8" t="inlineStr">
        <is>
          <t>1000.0000.2600.56013.040</t>
        </is>
      </c>
      <c r="B75" s="8" t="inlineStr">
        <is>
          <t>Major Maintenance</t>
        </is>
      </c>
      <c r="C75" s="16" t="n">
        <v>4751.94</v>
      </c>
      <c r="D75" s="16" t="n">
        <v>14004</v>
      </c>
      <c r="E75" s="16" t="n">
        <v>24485.65</v>
      </c>
      <c r="F75" s="16" t="n">
        <v>5930</v>
      </c>
      <c r="G75" s="16" t="n">
        <v>17500</v>
      </c>
      <c r="H75" s="16">
        <f>G75-F75</f>
        <v/>
      </c>
      <c r="I75" s="14">
        <f>IF(F75=0,0,G75/F75-1)</f>
        <v/>
      </c>
    </row>
    <row r="76">
      <c r="A76" s="8" t="inlineStr">
        <is>
          <t>1000.0000.2600.56220.040</t>
        </is>
      </c>
      <c r="B76" s="8" t="inlineStr">
        <is>
          <t>Electricity</t>
        </is>
      </c>
      <c r="C76" s="16" t="n">
        <v>24324.85</v>
      </c>
      <c r="D76" s="16" t="n">
        <v>25829.82</v>
      </c>
      <c r="E76" s="16" t="n">
        <v>37249.17</v>
      </c>
      <c r="F76" s="16" t="n">
        <v>10000</v>
      </c>
      <c r="G76" s="16" t="n">
        <v>10000</v>
      </c>
      <c r="H76" s="16">
        <f>G76-F76</f>
        <v/>
      </c>
      <c r="I76" s="14">
        <f>IF(F76=0,0,G76/F76-1)</f>
        <v/>
      </c>
    </row>
    <row r="77">
      <c r="A77" s="8" t="inlineStr">
        <is>
          <t>1000.0000.2600.56240.040</t>
        </is>
      </c>
      <c r="B77" s="8" t="inlineStr">
        <is>
          <t>Heating Fuel</t>
        </is>
      </c>
      <c r="C77" s="16" t="n">
        <v>34062.19</v>
      </c>
      <c r="D77" s="16" t="n">
        <v>27809.11</v>
      </c>
      <c r="E77" s="16" t="n">
        <v>21087.43</v>
      </c>
      <c r="F77" s="16" t="n">
        <v>39000</v>
      </c>
      <c r="G77" s="16" t="n">
        <v>23500</v>
      </c>
      <c r="H77" s="16">
        <f>G77-F77</f>
        <v/>
      </c>
      <c r="I77" s="14">
        <f>IF(F77=0,0,G77/F77-1)</f>
        <v/>
      </c>
    </row>
    <row r="78">
      <c r="A78" s="9" t="n"/>
      <c r="B78" s="22" t="inlineStr">
        <is>
          <t>Program 0000 Total</t>
        </is>
      </c>
      <c r="C78" s="23">
        <f>SUM(C63:C77)</f>
        <v/>
      </c>
      <c r="D78" s="23">
        <f>SUM(D63:D77)</f>
        <v/>
      </c>
      <c r="E78" s="23">
        <f>SUM(E63:E77)</f>
        <v/>
      </c>
      <c r="F78" s="23">
        <f>SUM(F63:F77)</f>
        <v/>
      </c>
      <c r="G78" s="23">
        <f>SUM(G63:G77)</f>
        <v/>
      </c>
      <c r="H78" s="23">
        <f>SUM(H63:H77)</f>
        <v/>
      </c>
      <c r="I78" s="23">
        <f>SUM(I63:I77)</f>
        <v/>
      </c>
    </row>
    <row r="79">
      <c r="A79" s="9" t="n"/>
      <c r="B79" s="12" t="inlineStr">
        <is>
          <t>Cost Center ('040',) Total</t>
        </is>
      </c>
      <c r="C79" s="26">
        <f>C78</f>
        <v/>
      </c>
      <c r="D79" s="26">
        <f>D78</f>
        <v/>
      </c>
      <c r="E79" s="26">
        <f>E78</f>
        <v/>
      </c>
      <c r="F79" s="26">
        <f>F78</f>
        <v/>
      </c>
      <c r="G79" s="26">
        <f>G78</f>
        <v/>
      </c>
      <c r="H79" s="26">
        <f>H78</f>
        <v/>
      </c>
      <c r="I79" s="26">
        <f>I78</f>
        <v/>
      </c>
    </row>
    <row r="81">
      <c r="A81" s="3" t="inlineStr">
        <is>
          <t>Cost Center: ('050',)</t>
        </is>
      </c>
    </row>
    <row r="82">
      <c r="A82" s="8" t="inlineStr">
        <is>
          <t>1000.0000.2600.51180.050</t>
        </is>
      </c>
      <c r="B82" s="8" t="inlineStr">
        <is>
          <t>Custodian Salaries</t>
        </is>
      </c>
      <c r="C82" s="16" t="n">
        <v>159607.98</v>
      </c>
      <c r="D82" s="16" t="n">
        <v>218450.42</v>
      </c>
      <c r="E82" s="16" t="n">
        <v>175400.21</v>
      </c>
      <c r="F82" s="16" t="n">
        <v>245456</v>
      </c>
      <c r="G82" s="16" t="n">
        <v>246731</v>
      </c>
      <c r="H82" s="16">
        <f>G82-F82</f>
        <v/>
      </c>
      <c r="I82" s="14">
        <f>IF(F82=0,0,G82/F82-1)</f>
        <v/>
      </c>
    </row>
    <row r="83">
      <c r="A83" s="8" t="inlineStr">
        <is>
          <t>1000.0000.2600.52080.050</t>
        </is>
      </c>
      <c r="B83" s="8" t="inlineStr">
        <is>
          <t>Custodian Benefits</t>
        </is>
      </c>
      <c r="C83" s="16" t="n">
        <v>60531.88</v>
      </c>
      <c r="D83" s="16" t="n">
        <v>141292.6</v>
      </c>
      <c r="E83" s="16" t="n">
        <v>56452.9</v>
      </c>
      <c r="F83" s="16" t="n">
        <v>106699</v>
      </c>
      <c r="G83" s="16" t="n">
        <v>134482</v>
      </c>
      <c r="H83" s="16">
        <f>G83-F83</f>
        <v/>
      </c>
      <c r="I83" s="14">
        <f>IF(F83=0,0,G83/F83-1)</f>
        <v/>
      </c>
    </row>
    <row r="84">
      <c r="A84" s="8" t="inlineStr">
        <is>
          <t>1000.0000.2600.52380.050</t>
        </is>
      </c>
      <c r="B84" s="8" t="inlineStr">
        <is>
          <t>Retirement</t>
        </is>
      </c>
      <c r="C84" s="16" t="n">
        <v>3107.4</v>
      </c>
      <c r="D84" s="16" t="n">
        <v>2623.77</v>
      </c>
      <c r="E84" s="16" t="n">
        <v>2909.91</v>
      </c>
      <c r="F84" s="16" t="n">
        <v>12273</v>
      </c>
      <c r="G84" s="16" t="n">
        <v>13323</v>
      </c>
      <c r="H84" s="16">
        <f>G84-F84</f>
        <v/>
      </c>
      <c r="I84" s="14">
        <f>IF(F84=0,0,G84/F84-1)</f>
        <v/>
      </c>
    </row>
    <row r="85">
      <c r="A85" s="8" t="inlineStr">
        <is>
          <t>1000.0000.2600.53000.050</t>
        </is>
      </c>
      <c r="B85" s="8" t="inlineStr">
        <is>
          <t>Purchased Professional</t>
        </is>
      </c>
      <c r="C85" s="16" t="n">
        <v>0</v>
      </c>
      <c r="D85" s="16" t="n">
        <v>0</v>
      </c>
      <c r="E85" s="16" t="n">
        <v>0</v>
      </c>
      <c r="F85" s="16" t="n">
        <v>118</v>
      </c>
      <c r="G85" s="16" t="n">
        <v>118</v>
      </c>
      <c r="H85" s="16">
        <f>G85-F85</f>
        <v/>
      </c>
      <c r="I85" s="14">
        <f>IF(F85=0,0,G85/F85-1)</f>
        <v/>
      </c>
    </row>
    <row r="86">
      <c r="A86" s="8" t="inlineStr">
        <is>
          <t>1000.0000.2600.53300.050</t>
        </is>
      </c>
      <c r="B86" s="8" t="inlineStr">
        <is>
          <t>Employee Training</t>
        </is>
      </c>
      <c r="C86" s="16" t="n">
        <v>0</v>
      </c>
      <c r="D86" s="16" t="n">
        <v>0</v>
      </c>
      <c r="E86" s="16" t="n">
        <v>0</v>
      </c>
      <c r="F86" s="16" t="n">
        <v>125</v>
      </c>
      <c r="G86" s="16" t="n">
        <v>125</v>
      </c>
      <c r="H86" s="16">
        <f>G86-F86</f>
        <v/>
      </c>
      <c r="I86" s="14">
        <f>IF(F86=0,0,G86/F86-1)</f>
        <v/>
      </c>
    </row>
    <row r="87">
      <c r="A87" s="8" t="inlineStr">
        <is>
          <t>1000.0000.2600.54100.050</t>
        </is>
      </c>
      <c r="B87" s="8" t="inlineStr">
        <is>
          <t>Water/Sewage</t>
        </is>
      </c>
      <c r="C87" s="16" t="n">
        <v>12551.51</v>
      </c>
      <c r="D87" s="16" t="n">
        <v>11488.82</v>
      </c>
      <c r="E87" s="16" t="n">
        <v>13481.94</v>
      </c>
      <c r="F87" s="16" t="n">
        <v>13167</v>
      </c>
      <c r="G87" s="16" t="n">
        <v>13167</v>
      </c>
      <c r="H87" s="16">
        <f>G87-F87</f>
        <v/>
      </c>
      <c r="I87" s="14">
        <f>IF(F87=0,0,G87/F87-1)</f>
        <v/>
      </c>
    </row>
    <row r="88">
      <c r="A88" s="8" t="inlineStr">
        <is>
          <t>1000.0000.2600.54300.050</t>
        </is>
      </c>
      <c r="B88" s="8" t="inlineStr">
        <is>
          <t>Purchased Repair</t>
        </is>
      </c>
      <c r="C88" s="16" t="n">
        <v>61691.9</v>
      </c>
      <c r="D88" s="16" t="n">
        <v>81041.98</v>
      </c>
      <c r="E88" s="16" t="n">
        <v>52319.6</v>
      </c>
      <c r="F88" s="16" t="n">
        <v>57081</v>
      </c>
      <c r="G88" s="16" t="n">
        <v>67118</v>
      </c>
      <c r="H88" s="16">
        <f>G88-F88</f>
        <v/>
      </c>
      <c r="I88" s="14">
        <f>IF(F88=0,0,G88/F88-1)</f>
        <v/>
      </c>
    </row>
    <row r="89">
      <c r="A89" s="8" t="inlineStr">
        <is>
          <t>1000.0000.2600.55200.050</t>
        </is>
      </c>
      <c r="B89" s="8" t="inlineStr">
        <is>
          <t>Insurance</t>
        </is>
      </c>
      <c r="C89" s="16" t="n">
        <v>14297.09</v>
      </c>
      <c r="D89" s="16" t="n">
        <v>20520.21</v>
      </c>
      <c r="E89" s="16" t="n">
        <v>18897</v>
      </c>
      <c r="F89" s="16" t="n">
        <v>20787</v>
      </c>
      <c r="G89" s="16" t="n">
        <v>20787</v>
      </c>
      <c r="H89" s="16">
        <f>G89-F89</f>
        <v/>
      </c>
      <c r="I89" s="14">
        <f>IF(F89=0,0,G89/F89-1)</f>
        <v/>
      </c>
    </row>
    <row r="90">
      <c r="A90" s="8" t="inlineStr">
        <is>
          <t>1000.0000.2600.55320.050</t>
        </is>
      </c>
      <c r="B90" s="8" t="inlineStr">
        <is>
          <t>Telephone</t>
        </is>
      </c>
      <c r="C90" s="16" t="n">
        <v>8916.280000000001</v>
      </c>
      <c r="D90" s="16" t="n">
        <v>10914.77</v>
      </c>
      <c r="E90" s="16" t="n">
        <v>9123.879999999999</v>
      </c>
      <c r="F90" s="16" t="n">
        <v>9183</v>
      </c>
      <c r="G90" s="16" t="n">
        <v>9398</v>
      </c>
      <c r="H90" s="16">
        <f>G90-F90</f>
        <v/>
      </c>
      <c r="I90" s="14">
        <f>IF(F90=0,0,G90/F90-1)</f>
        <v/>
      </c>
    </row>
    <row r="91">
      <c r="A91" s="8" t="inlineStr">
        <is>
          <t>1000.0000.2600.55800.050</t>
        </is>
      </c>
      <c r="B91" s="8" t="inlineStr">
        <is>
          <t>Travel</t>
        </is>
      </c>
      <c r="C91" s="16" t="n">
        <v>0</v>
      </c>
      <c r="D91" s="16" t="n">
        <v>45.56</v>
      </c>
      <c r="E91" s="16" t="n">
        <v>35.5</v>
      </c>
      <c r="F91" s="16" t="n">
        <v>15</v>
      </c>
      <c r="G91" s="16" t="n">
        <v>15</v>
      </c>
      <c r="H91" s="16">
        <f>G91-F91</f>
        <v/>
      </c>
      <c r="I91" s="14">
        <f>IF(F91=0,0,G91/F91-1)</f>
        <v/>
      </c>
    </row>
    <row r="92">
      <c r="A92" s="8" t="inlineStr">
        <is>
          <t>1000.0000.2600.56000.050</t>
        </is>
      </c>
      <c r="B92" s="8" t="inlineStr">
        <is>
          <t>Supplies</t>
        </is>
      </c>
      <c r="C92" s="16" t="n">
        <v>25762.34</v>
      </c>
      <c r="D92" s="16" t="n">
        <v>25078.44</v>
      </c>
      <c r="E92" s="16" t="n">
        <v>14746.4</v>
      </c>
      <c r="F92" s="16" t="n">
        <v>22525</v>
      </c>
      <c r="G92" s="16" t="n">
        <v>23766</v>
      </c>
      <c r="H92" s="16">
        <f>G92-F92</f>
        <v/>
      </c>
      <c r="I92" s="14">
        <f>IF(F92=0,0,G92/F92-1)</f>
        <v/>
      </c>
    </row>
    <row r="93">
      <c r="A93" s="8" t="inlineStr">
        <is>
          <t>1000.0000.2600.56011.050</t>
        </is>
      </c>
      <c r="B93" s="8" t="inlineStr">
        <is>
          <t>Materials for Repair</t>
        </is>
      </c>
      <c r="C93" s="16" t="n">
        <v>4258.57</v>
      </c>
      <c r="D93" s="16" t="n">
        <v>1946.18</v>
      </c>
      <c r="E93" s="16" t="n">
        <v>4167.99</v>
      </c>
      <c r="F93" s="16" t="n">
        <v>6950</v>
      </c>
      <c r="G93" s="16" t="n">
        <v>6950</v>
      </c>
      <c r="H93" s="16">
        <f>G93-F93</f>
        <v/>
      </c>
      <c r="I93" s="14">
        <f>IF(F93=0,0,G93/F93-1)</f>
        <v/>
      </c>
    </row>
    <row r="94">
      <c r="A94" s="8" t="inlineStr">
        <is>
          <t>1000.0000.2600.56013.050</t>
        </is>
      </c>
      <c r="B94" s="8" t="inlineStr">
        <is>
          <t>Major Maintenance</t>
        </is>
      </c>
      <c r="C94" s="16" t="n">
        <v>118</v>
      </c>
      <c r="D94" s="16" t="n">
        <v>4602.4</v>
      </c>
      <c r="E94" s="16" t="n">
        <v>35314.99</v>
      </c>
      <c r="F94" s="16" t="n">
        <v>24329</v>
      </c>
      <c r="G94" s="16" t="n">
        <v>24800</v>
      </c>
      <c r="H94" s="16">
        <f>G94-F94</f>
        <v/>
      </c>
      <c r="I94" s="14">
        <f>IF(F94=0,0,G94/F94-1)</f>
        <v/>
      </c>
    </row>
    <row r="95">
      <c r="A95" s="8" t="inlineStr">
        <is>
          <t>1000.0000.2600.56050.050</t>
        </is>
      </c>
      <c r="B95" s="8" t="inlineStr">
        <is>
          <t>Furniture &amp; Equipment -</t>
        </is>
      </c>
      <c r="C95" s="16" t="n">
        <v>1513.85</v>
      </c>
      <c r="D95" s="16" t="n">
        <v>0</v>
      </c>
      <c r="E95" s="16" t="n">
        <v>0</v>
      </c>
      <c r="F95" s="16" t="n">
        <v>0</v>
      </c>
      <c r="G95" s="16" t="n">
        <v>0</v>
      </c>
      <c r="H95" s="16">
        <f>G95-F95</f>
        <v/>
      </c>
      <c r="I95" s="14">
        <f>IF(F95=0,0,G95/F95-1)</f>
        <v/>
      </c>
    </row>
    <row r="96">
      <c r="A96" s="8" t="inlineStr">
        <is>
          <t>1000.0000.2600.56220.050</t>
        </is>
      </c>
      <c r="B96" s="8" t="inlineStr">
        <is>
          <t>Electricity</t>
        </is>
      </c>
      <c r="C96" s="16" t="n">
        <v>25924.67</v>
      </c>
      <c r="D96" s="16" t="n">
        <v>26124.1</v>
      </c>
      <c r="E96" s="16" t="n">
        <v>31113.6</v>
      </c>
      <c r="F96" s="16" t="n">
        <v>14000</v>
      </c>
      <c r="G96" s="16" t="n">
        <v>14000</v>
      </c>
      <c r="H96" s="16">
        <f>G96-F96</f>
        <v/>
      </c>
      <c r="I96" s="14">
        <f>IF(F96=0,0,G96/F96-1)</f>
        <v/>
      </c>
    </row>
    <row r="97">
      <c r="A97" s="8" t="inlineStr">
        <is>
          <t>1000.0000.2600.56240.050</t>
        </is>
      </c>
      <c r="B97" s="8" t="inlineStr">
        <is>
          <t>Heating Fuel</t>
        </is>
      </c>
      <c r="C97" s="16" t="n">
        <v>47859.21</v>
      </c>
      <c r="D97" s="16" t="n">
        <v>53610.39</v>
      </c>
      <c r="E97" s="16" t="n">
        <v>65791.60000000001</v>
      </c>
      <c r="F97" s="16" t="n">
        <v>50000</v>
      </c>
      <c r="G97" s="16" t="n">
        <v>67000</v>
      </c>
      <c r="H97" s="16">
        <f>G97-F97</f>
        <v/>
      </c>
      <c r="I97" s="14">
        <f>IF(F97=0,0,G97/F97-1)</f>
        <v/>
      </c>
    </row>
    <row r="98">
      <c r="A98" s="9" t="n"/>
      <c r="B98" s="22" t="inlineStr">
        <is>
          <t>Program 0000 Total</t>
        </is>
      </c>
      <c r="C98" s="23">
        <f>SUM(C82:C97)</f>
        <v/>
      </c>
      <c r="D98" s="23">
        <f>SUM(D82:D97)</f>
        <v/>
      </c>
      <c r="E98" s="23">
        <f>SUM(E82:E97)</f>
        <v/>
      </c>
      <c r="F98" s="23">
        <f>SUM(F82:F97)</f>
        <v/>
      </c>
      <c r="G98" s="23">
        <f>SUM(G82:G97)</f>
        <v/>
      </c>
      <c r="H98" s="23">
        <f>SUM(H82:H97)</f>
        <v/>
      </c>
      <c r="I98" s="23">
        <f>SUM(I82:I97)</f>
        <v/>
      </c>
    </row>
    <row r="99">
      <c r="A99" s="9" t="n"/>
      <c r="B99" s="12" t="inlineStr">
        <is>
          <t>Cost Center ('050',) Total</t>
        </is>
      </c>
      <c r="C99" s="26">
        <f>C98</f>
        <v/>
      </c>
      <c r="D99" s="26">
        <f>D98</f>
        <v/>
      </c>
      <c r="E99" s="26">
        <f>E98</f>
        <v/>
      </c>
      <c r="F99" s="26">
        <f>F98</f>
        <v/>
      </c>
      <c r="G99" s="26">
        <f>G98</f>
        <v/>
      </c>
      <c r="H99" s="26">
        <f>H98</f>
        <v/>
      </c>
      <c r="I99" s="26">
        <f>I98</f>
        <v/>
      </c>
    </row>
    <row r="101">
      <c r="A101" s="3" t="inlineStr">
        <is>
          <t>Cost Center: ('300',)</t>
        </is>
      </c>
    </row>
    <row r="102">
      <c r="A102" s="8" t="inlineStr">
        <is>
          <t>1000.0000.2600.51180.300</t>
        </is>
      </c>
      <c r="B102" s="8" t="inlineStr">
        <is>
          <t>Custodian Salaries</t>
        </is>
      </c>
      <c r="C102" s="16" t="n">
        <v>197633.91</v>
      </c>
      <c r="D102" s="16" t="n">
        <v>184711.6</v>
      </c>
      <c r="E102" s="16" t="n">
        <v>157315.64</v>
      </c>
      <c r="F102" s="16" t="n">
        <v>253639</v>
      </c>
      <c r="G102" s="16" t="n">
        <v>245727</v>
      </c>
      <c r="H102" s="16">
        <f>G102-F102</f>
        <v/>
      </c>
      <c r="I102" s="14">
        <f>IF(F102=0,0,G102/F102-1)</f>
        <v/>
      </c>
    </row>
    <row r="103">
      <c r="A103" s="8" t="inlineStr">
        <is>
          <t>1000.0000.2600.51200.300</t>
        </is>
      </c>
      <c r="B103" s="8" t="inlineStr">
        <is>
          <t>Salaries of Temporary</t>
        </is>
      </c>
      <c r="C103" s="16" t="n">
        <v>5577.5</v>
      </c>
      <c r="D103" s="16" t="n">
        <v>2662.5</v>
      </c>
      <c r="E103" s="16" t="n">
        <v>57980.74</v>
      </c>
      <c r="F103" s="16" t="n">
        <v>37212</v>
      </c>
      <c r="G103" s="16" t="n">
        <v>74424</v>
      </c>
      <c r="H103" s="16">
        <f>G103-F103</f>
        <v/>
      </c>
      <c r="I103" s="14">
        <f>IF(F103=0,0,G103/F103-1)</f>
        <v/>
      </c>
    </row>
    <row r="104">
      <c r="A104" s="8" t="inlineStr">
        <is>
          <t>1000.0000.2600.52000.300</t>
        </is>
      </c>
      <c r="B104" s="8" t="inlineStr">
        <is>
          <t>Employee Benefits</t>
        </is>
      </c>
      <c r="C104" s="16" t="n">
        <v>669.65</v>
      </c>
      <c r="D104" s="16" t="n">
        <v>0</v>
      </c>
      <c r="E104" s="16" t="n">
        <v>6079.39</v>
      </c>
      <c r="F104" s="16" t="n">
        <v>5782</v>
      </c>
      <c r="G104" s="16" t="n">
        <v>18445</v>
      </c>
      <c r="H104" s="16">
        <f>G104-F104</f>
        <v/>
      </c>
      <c r="I104" s="14">
        <f>IF(F104=0,0,G104/F104-1)</f>
        <v/>
      </c>
    </row>
    <row r="105">
      <c r="A105" s="8" t="inlineStr">
        <is>
          <t>1000.0000.2600.52080.300</t>
        </is>
      </c>
      <c r="B105" s="8" t="inlineStr">
        <is>
          <t>Custodian Benefits</t>
        </is>
      </c>
      <c r="C105" s="16" t="n">
        <v>66695.09</v>
      </c>
      <c r="D105" s="16" t="n">
        <v>65673.60000000001</v>
      </c>
      <c r="E105" s="16" t="n">
        <v>40819.92</v>
      </c>
      <c r="F105" s="16" t="n">
        <v>109434</v>
      </c>
      <c r="G105" s="16" t="n">
        <v>134810</v>
      </c>
      <c r="H105" s="16">
        <f>G105-F105</f>
        <v/>
      </c>
      <c r="I105" s="14">
        <f>IF(F105=0,0,G105/F105-1)</f>
        <v/>
      </c>
    </row>
    <row r="106">
      <c r="A106" s="8" t="inlineStr">
        <is>
          <t>1000.0000.2600.52380.300</t>
        </is>
      </c>
      <c r="B106" s="8" t="inlineStr">
        <is>
          <t>Retirement</t>
        </is>
      </c>
      <c r="C106" s="16" t="n">
        <v>2768.08</v>
      </c>
      <c r="D106" s="16" t="n">
        <v>1950.75</v>
      </c>
      <c r="E106" s="16" t="n">
        <v>0</v>
      </c>
      <c r="F106" s="16" t="n">
        <v>12682</v>
      </c>
      <c r="G106" s="16" t="n">
        <v>13269</v>
      </c>
      <c r="H106" s="16">
        <f>G106-F106</f>
        <v/>
      </c>
      <c r="I106" s="14">
        <f>IF(F106=0,0,G106/F106-1)</f>
        <v/>
      </c>
    </row>
    <row r="107">
      <c r="A107" s="8" t="inlineStr">
        <is>
          <t>1000.0000.2600.53000.300</t>
        </is>
      </c>
      <c r="B107" s="8" t="inlineStr">
        <is>
          <t>Purchased Professional</t>
        </is>
      </c>
      <c r="C107" s="16" t="n">
        <v>0</v>
      </c>
      <c r="D107" s="16" t="n">
        <v>0</v>
      </c>
      <c r="E107" s="16" t="n">
        <v>0</v>
      </c>
      <c r="F107" s="16" t="n">
        <v>118</v>
      </c>
      <c r="G107" s="16" t="n">
        <v>118</v>
      </c>
      <c r="H107" s="16">
        <f>G107-F107</f>
        <v/>
      </c>
      <c r="I107" s="14">
        <f>IF(F107=0,0,G107/F107-1)</f>
        <v/>
      </c>
    </row>
    <row r="108">
      <c r="A108" s="8" t="inlineStr">
        <is>
          <t>1000.0000.2600.53300.300</t>
        </is>
      </c>
      <c r="B108" s="8" t="inlineStr">
        <is>
          <t>Employee Training</t>
        </is>
      </c>
      <c r="C108" s="16" t="n">
        <v>0</v>
      </c>
      <c r="D108" s="16" t="n">
        <v>0</v>
      </c>
      <c r="E108" s="16" t="n">
        <v>0</v>
      </c>
      <c r="F108" s="16" t="n">
        <v>125</v>
      </c>
      <c r="G108" s="16" t="n">
        <v>125</v>
      </c>
      <c r="H108" s="16">
        <f>G108-F108</f>
        <v/>
      </c>
      <c r="I108" s="14">
        <f>IF(F108=0,0,G108/F108-1)</f>
        <v/>
      </c>
    </row>
    <row r="109">
      <c r="A109" s="8" t="inlineStr">
        <is>
          <t>1000.0000.2600.54100.300</t>
        </is>
      </c>
      <c r="B109" s="8" t="inlineStr">
        <is>
          <t>Water/Sewage</t>
        </is>
      </c>
      <c r="C109" s="16" t="n">
        <v>28692.52</v>
      </c>
      <c r="D109" s="16" t="n">
        <v>17333.75</v>
      </c>
      <c r="E109" s="16" t="n">
        <v>15338.2</v>
      </c>
      <c r="F109" s="16" t="n">
        <v>28960</v>
      </c>
      <c r="G109" s="16" t="n">
        <v>28960</v>
      </c>
      <c r="H109" s="16">
        <f>G109-F109</f>
        <v/>
      </c>
      <c r="I109" s="14">
        <f>IF(F109=0,0,G109/F109-1)</f>
        <v/>
      </c>
    </row>
    <row r="110">
      <c r="A110" s="8" t="inlineStr">
        <is>
          <t>1000.0000.2600.54300.300</t>
        </is>
      </c>
      <c r="B110" s="8" t="inlineStr">
        <is>
          <t>Purchased Repair</t>
        </is>
      </c>
      <c r="C110" s="16" t="n">
        <v>67516.39</v>
      </c>
      <c r="D110" s="16" t="n">
        <v>112987.94</v>
      </c>
      <c r="E110" s="16" t="n">
        <v>104628.69</v>
      </c>
      <c r="F110" s="16" t="n">
        <v>93376</v>
      </c>
      <c r="G110" s="16" t="n">
        <v>106897</v>
      </c>
      <c r="H110" s="16">
        <f>G110-F110</f>
        <v/>
      </c>
      <c r="I110" s="14">
        <f>IF(F110=0,0,G110/F110-1)</f>
        <v/>
      </c>
    </row>
    <row r="111">
      <c r="A111" s="8" t="inlineStr">
        <is>
          <t>1000.0000.2600.55200.300</t>
        </is>
      </c>
      <c r="B111" s="8" t="inlineStr">
        <is>
          <t>Insurance</t>
        </is>
      </c>
      <c r="C111" s="16" t="n">
        <v>15318.31</v>
      </c>
      <c r="D111" s="16" t="n">
        <v>20520.21</v>
      </c>
      <c r="E111" s="16" t="n">
        <v>21796</v>
      </c>
      <c r="F111" s="16" t="n">
        <v>23976</v>
      </c>
      <c r="G111" s="16" t="n">
        <v>23976</v>
      </c>
      <c r="H111" s="16">
        <f>G111-F111</f>
        <v/>
      </c>
      <c r="I111" s="14">
        <f>IF(F111=0,0,G111/F111-1)</f>
        <v/>
      </c>
    </row>
    <row r="112">
      <c r="A112" s="8" t="inlineStr">
        <is>
          <t>1000.0000.2600.55320.300</t>
        </is>
      </c>
      <c r="B112" s="8" t="inlineStr">
        <is>
          <t>Telephone</t>
        </is>
      </c>
      <c r="C112" s="16" t="n">
        <v>10071.37</v>
      </c>
      <c r="D112" s="16" t="n">
        <v>8985.129999999999</v>
      </c>
      <c r="E112" s="16" t="n">
        <v>11644.91</v>
      </c>
      <c r="F112" s="16" t="n">
        <v>10373</v>
      </c>
      <c r="G112" s="16" t="n">
        <v>11994</v>
      </c>
      <c r="H112" s="16">
        <f>G112-F112</f>
        <v/>
      </c>
      <c r="I112" s="14">
        <f>IF(F112=0,0,G112/F112-1)</f>
        <v/>
      </c>
    </row>
    <row r="113">
      <c r="A113" s="8" t="inlineStr">
        <is>
          <t>1000.0000.2600.55800.300</t>
        </is>
      </c>
      <c r="B113" s="8" t="inlineStr">
        <is>
          <t>Travel</t>
        </is>
      </c>
      <c r="C113" s="16" t="n">
        <v>0</v>
      </c>
      <c r="D113" s="16" t="n">
        <v>0</v>
      </c>
      <c r="E113" s="16" t="n">
        <v>0</v>
      </c>
      <c r="F113" s="16" t="n">
        <v>15</v>
      </c>
      <c r="G113" s="16" t="n">
        <v>15</v>
      </c>
      <c r="H113" s="16">
        <f>G113-F113</f>
        <v/>
      </c>
      <c r="I113" s="14">
        <f>IF(F113=0,0,G113/F113-1)</f>
        <v/>
      </c>
    </row>
    <row r="114">
      <c r="A114" s="8" t="inlineStr">
        <is>
          <t>1000.0000.2600.56000.300</t>
        </is>
      </c>
      <c r="B114" s="8" t="inlineStr">
        <is>
          <t>Supplies</t>
        </is>
      </c>
      <c r="C114" s="16" t="n">
        <v>46921.43</v>
      </c>
      <c r="D114" s="16" t="n">
        <v>31002.79</v>
      </c>
      <c r="E114" s="16" t="n">
        <v>28594.41</v>
      </c>
      <c r="F114" s="16" t="n">
        <v>37200</v>
      </c>
      <c r="G114" s="16" t="n">
        <v>39254</v>
      </c>
      <c r="H114" s="16">
        <f>G114-F114</f>
        <v/>
      </c>
      <c r="I114" s="14">
        <f>IF(F114=0,0,G114/F114-1)</f>
        <v/>
      </c>
    </row>
    <row r="115">
      <c r="A115" s="8" t="inlineStr">
        <is>
          <t>1000.0000.2600.56011.300</t>
        </is>
      </c>
      <c r="B115" s="8" t="inlineStr">
        <is>
          <t>Materials for Repair</t>
        </is>
      </c>
      <c r="C115" s="16" t="n">
        <v>8634.370000000001</v>
      </c>
      <c r="D115" s="16" t="n">
        <v>2302.8</v>
      </c>
      <c r="E115" s="16" t="n">
        <v>997.53</v>
      </c>
      <c r="F115" s="16" t="n">
        <v>6168</v>
      </c>
      <c r="G115" s="16" t="n">
        <v>7600</v>
      </c>
      <c r="H115" s="16">
        <f>G115-F115</f>
        <v/>
      </c>
      <c r="I115" s="14">
        <f>IF(F115=0,0,G115/F115-1)</f>
        <v/>
      </c>
    </row>
    <row r="116">
      <c r="A116" s="8" t="inlineStr">
        <is>
          <t>1000.0000.2600.56013.300</t>
        </is>
      </c>
      <c r="B116" s="8" t="inlineStr">
        <is>
          <t>Major Maintenance</t>
        </is>
      </c>
      <c r="C116" s="16" t="n">
        <v>2355.19</v>
      </c>
      <c r="D116" s="16" t="n">
        <v>10380.72</v>
      </c>
      <c r="E116" s="16" t="n">
        <v>0</v>
      </c>
      <c r="F116" s="16" t="n">
        <v>25045</v>
      </c>
      <c r="G116" s="16" t="n">
        <v>40495</v>
      </c>
      <c r="H116" s="16">
        <f>G116-F116</f>
        <v/>
      </c>
      <c r="I116" s="14">
        <f>IF(F116=0,0,G116/F116-1)</f>
        <v/>
      </c>
    </row>
    <row r="117">
      <c r="A117" s="8" t="inlineStr">
        <is>
          <t>1000.0000.2600.56220.300</t>
        </is>
      </c>
      <c r="B117" s="8" t="inlineStr">
        <is>
          <t>Electricity</t>
        </is>
      </c>
      <c r="C117" s="16" t="n">
        <v>46100.46</v>
      </c>
      <c r="D117" s="16" t="n">
        <v>48384.14</v>
      </c>
      <c r="E117" s="16" t="n">
        <v>74550.37</v>
      </c>
      <c r="F117" s="16" t="n">
        <v>42000</v>
      </c>
      <c r="G117" s="16" t="n">
        <v>42000</v>
      </c>
      <c r="H117" s="16">
        <f>G117-F117</f>
        <v/>
      </c>
      <c r="I117" s="14">
        <f>IF(F117=0,0,G117/F117-1)</f>
        <v/>
      </c>
    </row>
    <row r="118">
      <c r="A118" s="8" t="inlineStr">
        <is>
          <t>1000.0000.2600.56240.300</t>
        </is>
      </c>
      <c r="B118" s="8" t="inlineStr">
        <is>
          <t>Heating Fuel</t>
        </is>
      </c>
      <c r="C118" s="16" t="n">
        <v>97169.45</v>
      </c>
      <c r="D118" s="16" t="n">
        <v>77846.12</v>
      </c>
      <c r="E118" s="16" t="n">
        <v>80732.48</v>
      </c>
      <c r="F118" s="16" t="n">
        <v>91000</v>
      </c>
      <c r="G118" s="16" t="n">
        <v>82000</v>
      </c>
      <c r="H118" s="16">
        <f>G118-F118</f>
        <v/>
      </c>
      <c r="I118" s="14">
        <f>IF(F118=0,0,G118/F118-1)</f>
        <v/>
      </c>
    </row>
    <row r="119">
      <c r="A119" s="9" t="n"/>
      <c r="B119" s="22" t="inlineStr">
        <is>
          <t>Program 0000 Total</t>
        </is>
      </c>
      <c r="C119" s="23">
        <f>SUM(C102:C118)</f>
        <v/>
      </c>
      <c r="D119" s="23">
        <f>SUM(D102:D118)</f>
        <v/>
      </c>
      <c r="E119" s="23">
        <f>SUM(E102:E118)</f>
        <v/>
      </c>
      <c r="F119" s="23">
        <f>SUM(F102:F118)</f>
        <v/>
      </c>
      <c r="G119" s="23">
        <f>SUM(G102:G118)</f>
        <v/>
      </c>
      <c r="H119" s="23">
        <f>SUM(H102:H118)</f>
        <v/>
      </c>
      <c r="I119" s="23">
        <f>SUM(I102:I118)</f>
        <v/>
      </c>
    </row>
    <row r="120">
      <c r="A120" s="8" t="inlineStr">
        <is>
          <t>1000.0000.2680.58310.300</t>
        </is>
      </c>
      <c r="B120" s="8" t="inlineStr">
        <is>
          <t>Principal-High School</t>
        </is>
      </c>
      <c r="C120" s="16" t="n">
        <v>900000</v>
      </c>
      <c r="D120" s="16" t="n">
        <v>680000</v>
      </c>
      <c r="E120" s="16" t="n">
        <v>680000</v>
      </c>
      <c r="F120" s="16" t="n">
        <v>680000</v>
      </c>
      <c r="G120" s="16" t="n">
        <v>680000</v>
      </c>
      <c r="H120" s="16">
        <f>G120-F120</f>
        <v/>
      </c>
      <c r="I120" s="14">
        <f>IF(F120=0,0,G120/F120-1)</f>
        <v/>
      </c>
    </row>
    <row r="121">
      <c r="A121" s="8" t="inlineStr">
        <is>
          <t>1000.0000.2680.58320.300</t>
        </is>
      </c>
      <c r="B121" s="8" t="inlineStr">
        <is>
          <t>Interest-High School</t>
        </is>
      </c>
      <c r="C121" s="16" t="n">
        <v>327425</v>
      </c>
      <c r="D121" s="16" t="n">
        <v>289000</v>
      </c>
      <c r="E121" s="16" t="n">
        <v>255000</v>
      </c>
      <c r="F121" s="16" t="n">
        <v>221000</v>
      </c>
      <c r="G121" s="16" t="n">
        <v>195500</v>
      </c>
      <c r="H121" s="16">
        <f>G121-F121</f>
        <v/>
      </c>
      <c r="I121" s="14">
        <f>IF(F121=0,0,G121/F121-1)</f>
        <v/>
      </c>
    </row>
    <row r="122">
      <c r="A122" s="9" t="n"/>
      <c r="B122" s="22" t="inlineStr">
        <is>
          <t>Program 0000 Total</t>
        </is>
      </c>
      <c r="C122" s="23">
        <f>SUM(C120:C121)</f>
        <v/>
      </c>
      <c r="D122" s="23">
        <f>SUM(D120:D121)</f>
        <v/>
      </c>
      <c r="E122" s="23">
        <f>SUM(E120:E121)</f>
        <v/>
      </c>
      <c r="F122" s="23">
        <f>SUM(F120:F121)</f>
        <v/>
      </c>
      <c r="G122" s="23">
        <f>SUM(G120:G121)</f>
        <v/>
      </c>
      <c r="H122" s="23">
        <f>SUM(H120:H121)</f>
        <v/>
      </c>
      <c r="I122" s="23">
        <f>SUM(I120:I121)</f>
        <v/>
      </c>
    </row>
    <row r="123">
      <c r="A123" s="9" t="n"/>
      <c r="B123" s="12" t="inlineStr">
        <is>
          <t>Cost Center ('300',) Total</t>
        </is>
      </c>
      <c r="C123" s="26">
        <f>C119+C122</f>
        <v/>
      </c>
      <c r="D123" s="26">
        <f>D119+D122</f>
        <v/>
      </c>
      <c r="E123" s="26">
        <f>E119+E122</f>
        <v/>
      </c>
      <c r="F123" s="26">
        <f>F119+F122</f>
        <v/>
      </c>
      <c r="G123" s="26">
        <f>G119+G122</f>
        <v/>
      </c>
      <c r="H123" s="26">
        <f>H119+H122</f>
        <v/>
      </c>
      <c r="I123" s="26">
        <f>I119+I122</f>
        <v/>
      </c>
    </row>
    <row r="125">
      <c r="A125" s="3" t="inlineStr">
        <is>
          <t>Cost Center: ('900',)</t>
        </is>
      </c>
    </row>
    <row r="126">
      <c r="A126" s="8" t="inlineStr">
        <is>
          <t>1000.0000.2600.54300.900</t>
        </is>
      </c>
      <c r="B126" s="8" t="inlineStr">
        <is>
          <t>Purchaed Repairs</t>
        </is>
      </c>
      <c r="C126" s="16" t="n">
        <v>5273.03</v>
      </c>
      <c r="D126" s="16" t="n">
        <v>2004.5</v>
      </c>
      <c r="E126" s="16" t="n">
        <v>1230</v>
      </c>
      <c r="F126" s="16" t="n">
        <v>0</v>
      </c>
      <c r="G126" s="16" t="n">
        <v>0</v>
      </c>
      <c r="H126" s="16">
        <f>G126-F126</f>
        <v/>
      </c>
      <c r="I126" s="14">
        <f>IF(F126=0,0,G126/F126-1)</f>
        <v/>
      </c>
    </row>
    <row r="127">
      <c r="A127" s="8" t="inlineStr">
        <is>
          <t>1000.0000.2600.55800.900</t>
        </is>
      </c>
      <c r="B127" s="8" t="inlineStr">
        <is>
          <t>Travel</t>
        </is>
      </c>
      <c r="C127" s="16" t="n">
        <v>137.35</v>
      </c>
      <c r="D127" s="16" t="n">
        <v>0</v>
      </c>
      <c r="E127" s="16" t="n">
        <v>138.18</v>
      </c>
      <c r="F127" s="16" t="n">
        <v>0</v>
      </c>
      <c r="G127" s="16" t="n">
        <v>0</v>
      </c>
      <c r="H127" s="16">
        <f>G127-F127</f>
        <v/>
      </c>
      <c r="I127" s="14">
        <f>IF(F127=0,0,G127/F127-1)</f>
        <v/>
      </c>
    </row>
    <row r="128">
      <c r="A128" s="8" t="inlineStr">
        <is>
          <t>1000.0000.2600.56000.900</t>
        </is>
      </c>
      <c r="B128" s="8" t="inlineStr">
        <is>
          <t>Supplies</t>
        </is>
      </c>
      <c r="C128" s="16" t="n">
        <v>4993.18</v>
      </c>
      <c r="D128" s="16" t="n">
        <v>886.62</v>
      </c>
      <c r="E128" s="16" t="n">
        <v>166.68</v>
      </c>
      <c r="F128" s="16" t="n">
        <v>0</v>
      </c>
      <c r="G128" s="16" t="n">
        <v>0</v>
      </c>
      <c r="H128" s="16">
        <f>G128-F128</f>
        <v/>
      </c>
      <c r="I128" s="14">
        <f>IF(F128=0,0,G128/F128-1)</f>
        <v/>
      </c>
    </row>
    <row r="129">
      <c r="A129" s="8" t="inlineStr">
        <is>
          <t>1000.0000.2600.56011.900</t>
        </is>
      </c>
      <c r="B129" s="8" t="inlineStr">
        <is>
          <t>Materials for Repair</t>
        </is>
      </c>
      <c r="C129" s="16" t="n">
        <v>337.63</v>
      </c>
      <c r="D129" s="16" t="n">
        <v>904.25</v>
      </c>
      <c r="E129" s="16" t="n">
        <v>0</v>
      </c>
      <c r="F129" s="16" t="n">
        <v>0</v>
      </c>
      <c r="G129" s="16" t="n">
        <v>0</v>
      </c>
      <c r="H129" s="16">
        <f>G129-F129</f>
        <v/>
      </c>
      <c r="I129" s="14">
        <f>IF(F129=0,0,G129/F129-1)</f>
        <v/>
      </c>
    </row>
    <row r="130">
      <c r="A130" s="9" t="n"/>
      <c r="B130" s="22" t="inlineStr">
        <is>
          <t>Program 0000 Total</t>
        </is>
      </c>
      <c r="C130" s="23">
        <f>SUM(C126:C129)</f>
        <v/>
      </c>
      <c r="D130" s="23">
        <f>SUM(D126:D129)</f>
        <v/>
      </c>
      <c r="E130" s="23">
        <f>SUM(E126:E129)</f>
        <v/>
      </c>
      <c r="F130" s="23">
        <f>SUM(F126:F129)</f>
        <v/>
      </c>
      <c r="G130" s="23">
        <f>SUM(G126:G129)</f>
        <v/>
      </c>
      <c r="H130" s="23">
        <f>SUM(H126:H129)</f>
        <v/>
      </c>
      <c r="I130" s="23">
        <f>SUM(I126:I129)</f>
        <v/>
      </c>
    </row>
    <row r="131">
      <c r="A131" s="8" t="inlineStr">
        <is>
          <t>1000.0000.2620.51040.900</t>
        </is>
      </c>
      <c r="B131" s="8" t="inlineStr">
        <is>
          <t>Administrator Salary</t>
        </is>
      </c>
      <c r="C131" s="16" t="n">
        <v>2284.3</v>
      </c>
      <c r="D131" s="16" t="n">
        <v>90460.38</v>
      </c>
      <c r="E131" s="16" t="n">
        <v>94500</v>
      </c>
      <c r="F131" s="16" t="n">
        <v>100170</v>
      </c>
      <c r="G131" s="16" t="n">
        <v>105680</v>
      </c>
      <c r="H131" s="16">
        <f>G131-F131</f>
        <v/>
      </c>
      <c r="I131" s="14">
        <f>IF(F131=0,0,G131/F131-1)</f>
        <v/>
      </c>
    </row>
    <row r="132">
      <c r="A132" s="8" t="inlineStr">
        <is>
          <t>1000.0000.2620.51180.900</t>
        </is>
      </c>
      <c r="B132" s="8" t="inlineStr">
        <is>
          <t>Salaries</t>
        </is>
      </c>
      <c r="C132" s="16" t="n">
        <v>286471.93</v>
      </c>
      <c r="D132" s="16" t="n">
        <v>209839.13</v>
      </c>
      <c r="E132" s="16" t="n">
        <v>236640.37</v>
      </c>
      <c r="F132" s="16" t="n">
        <v>366326</v>
      </c>
      <c r="G132" s="16" t="n">
        <v>318456</v>
      </c>
      <c r="H132" s="16">
        <f>G132-F132</f>
        <v/>
      </c>
      <c r="I132" s="14">
        <f>IF(F132=0,0,G132/F132-1)</f>
        <v/>
      </c>
    </row>
    <row r="133">
      <c r="A133" s="8" t="inlineStr">
        <is>
          <t>1000.0000.2620.51200.900</t>
        </is>
      </c>
      <c r="B133" s="8" t="inlineStr">
        <is>
          <t>Other Wages</t>
        </is>
      </c>
      <c r="C133" s="16" t="n">
        <v>0</v>
      </c>
      <c r="D133" s="16" t="n">
        <v>0</v>
      </c>
      <c r="E133" s="16" t="n">
        <v>2551.68</v>
      </c>
      <c r="F133" s="16" t="n">
        <v>0</v>
      </c>
      <c r="G133" s="16" t="n">
        <v>0</v>
      </c>
      <c r="H133" s="16">
        <f>G133-F133</f>
        <v/>
      </c>
      <c r="I133" s="14">
        <f>IF(F133=0,0,G133/F133-1)</f>
        <v/>
      </c>
    </row>
    <row r="134">
      <c r="A134" s="8" t="inlineStr">
        <is>
          <t>1000.0000.2620.52000.900</t>
        </is>
      </c>
      <c r="B134" s="8" t="inlineStr">
        <is>
          <t>Maintenance Benefits</t>
        </is>
      </c>
      <c r="C134" s="16" t="n">
        <v>0</v>
      </c>
      <c r="D134" s="16" t="n">
        <v>73922.60000000001</v>
      </c>
      <c r="E134" s="16" t="n">
        <v>0</v>
      </c>
      <c r="F134" s="16" t="n">
        <v>0</v>
      </c>
      <c r="G134" s="16" t="n">
        <v>0</v>
      </c>
      <c r="H134" s="16">
        <f>G134-F134</f>
        <v/>
      </c>
      <c r="I134" s="14">
        <f>IF(F134=0,0,G134/F134-1)</f>
        <v/>
      </c>
    </row>
    <row r="135">
      <c r="A135" s="8" t="inlineStr">
        <is>
          <t>1000.0000.2620.52040.900</t>
        </is>
      </c>
      <c r="B135" s="8" t="inlineStr">
        <is>
          <t>Administrator Benefits</t>
        </is>
      </c>
      <c r="C135" s="16" t="n">
        <v>482.56</v>
      </c>
      <c r="D135" s="16" t="n">
        <v>15733.99</v>
      </c>
      <c r="E135" s="16" t="n">
        <v>17718.55</v>
      </c>
      <c r="F135" s="16" t="n">
        <v>26151</v>
      </c>
      <c r="G135" s="16" t="n">
        <v>32898</v>
      </c>
      <c r="H135" s="16">
        <f>G135-F135</f>
        <v/>
      </c>
      <c r="I135" s="14">
        <f>IF(F135=0,0,G135/F135-1)</f>
        <v/>
      </c>
    </row>
    <row r="136">
      <c r="A136" s="8" t="inlineStr">
        <is>
          <t>1000.0000.2620.52080.900</t>
        </is>
      </c>
      <c r="B136" s="8" t="inlineStr">
        <is>
          <t>Benefits</t>
        </is>
      </c>
      <c r="C136" s="16" t="n">
        <v>84981.28999999999</v>
      </c>
      <c r="D136" s="16" t="n">
        <v>64100.89</v>
      </c>
      <c r="E136" s="16" t="n">
        <v>70859.05</v>
      </c>
      <c r="F136" s="16" t="n">
        <v>145542</v>
      </c>
      <c r="G136" s="16" t="n">
        <v>138749</v>
      </c>
      <c r="H136" s="16">
        <f>G136-F136</f>
        <v/>
      </c>
      <c r="I136" s="14">
        <f>IF(F136=0,0,G136/F136-1)</f>
        <v/>
      </c>
    </row>
    <row r="137">
      <c r="A137" s="8" t="inlineStr">
        <is>
          <t>1000.0000.2620.52340.900</t>
        </is>
      </c>
      <c r="B137" s="8" t="inlineStr">
        <is>
          <t>Administrator Retirement</t>
        </is>
      </c>
      <c r="C137" s="16" t="n">
        <v>0</v>
      </c>
      <c r="D137" s="16" t="n">
        <v>3461.6</v>
      </c>
      <c r="E137" s="16" t="n">
        <v>4724.98</v>
      </c>
      <c r="F137" s="16" t="n">
        <v>0</v>
      </c>
      <c r="G137" s="16" t="n">
        <v>5284</v>
      </c>
      <c r="H137" s="16">
        <f>G137-F137</f>
        <v/>
      </c>
      <c r="I137" s="14">
        <f>IF(F137=0,0,G137/F137-1)</f>
        <v/>
      </c>
    </row>
    <row r="138">
      <c r="A138" s="8" t="inlineStr">
        <is>
          <t>1000.0000.2620.52380.900</t>
        </is>
      </c>
      <c r="B138" s="8" t="inlineStr">
        <is>
          <t>Retirement</t>
        </is>
      </c>
      <c r="C138" s="16" t="n">
        <v>10891.75</v>
      </c>
      <c r="D138" s="16" t="n">
        <v>8333.08</v>
      </c>
      <c r="E138" s="16" t="n">
        <v>8507.68</v>
      </c>
      <c r="F138" s="16" t="n">
        <v>18316</v>
      </c>
      <c r="G138" s="16" t="n">
        <v>17197</v>
      </c>
      <c r="H138" s="16">
        <f>G138-F138</f>
        <v/>
      </c>
      <c r="I138" s="14">
        <f>IF(F138=0,0,G138/F138-1)</f>
        <v/>
      </c>
    </row>
    <row r="139">
      <c r="A139" s="8" t="inlineStr">
        <is>
          <t>1000.0000.2620.53000.900</t>
        </is>
      </c>
      <c r="B139" s="8" t="inlineStr">
        <is>
          <t>Purchased Professional</t>
        </is>
      </c>
      <c r="C139" s="16" t="n">
        <v>-3060.35</v>
      </c>
      <c r="D139" s="16" t="n">
        <v>632.1</v>
      </c>
      <c r="E139" s="16" t="n">
        <v>3355.54</v>
      </c>
      <c r="F139" s="16" t="n">
        <v>5396</v>
      </c>
      <c r="G139" s="16" t="n">
        <v>6066</v>
      </c>
      <c r="H139" s="16">
        <f>G139-F139</f>
        <v/>
      </c>
      <c r="I139" s="14">
        <f>IF(F139=0,0,G139/F139-1)</f>
        <v/>
      </c>
    </row>
    <row r="140">
      <c r="A140" s="8" t="inlineStr">
        <is>
          <t>1000.0000.2620.53300.900</t>
        </is>
      </c>
      <c r="B140" s="8" t="inlineStr">
        <is>
          <t>Training &amp; Development</t>
        </is>
      </c>
      <c r="C140" s="16" t="n">
        <v>0</v>
      </c>
      <c r="D140" s="16" t="n">
        <v>175</v>
      </c>
      <c r="E140" s="16" t="n">
        <v>0</v>
      </c>
      <c r="F140" s="16" t="n">
        <v>350</v>
      </c>
      <c r="G140" s="16" t="n">
        <v>350</v>
      </c>
      <c r="H140" s="16">
        <f>G140-F140</f>
        <v/>
      </c>
      <c r="I140" s="14">
        <f>IF(F140=0,0,G140/F140-1)</f>
        <v/>
      </c>
    </row>
    <row r="141">
      <c r="A141" s="8" t="inlineStr">
        <is>
          <t>1000.0000.2620.54300.900</t>
        </is>
      </c>
      <c r="B141" s="8" t="inlineStr">
        <is>
          <t>Purchased Repair</t>
        </is>
      </c>
      <c r="C141" s="16" t="n">
        <v>32399.53</v>
      </c>
      <c r="D141" s="16" t="n">
        <v>39697.33</v>
      </c>
      <c r="E141" s="16" t="n">
        <v>35624.11</v>
      </c>
      <c r="F141" s="16" t="n">
        <v>40431</v>
      </c>
      <c r="G141" s="16" t="n">
        <v>44666</v>
      </c>
      <c r="H141" s="16">
        <f>G141-F141</f>
        <v/>
      </c>
      <c r="I141" s="14">
        <f>IF(F141=0,0,G141/F141-1)</f>
        <v/>
      </c>
    </row>
    <row r="142">
      <c r="A142" s="8" t="inlineStr">
        <is>
          <t>1000.0000.2620.55800.900</t>
        </is>
      </c>
      <c r="B142" s="8" t="inlineStr">
        <is>
          <t>Travel</t>
        </is>
      </c>
      <c r="C142" s="16" t="n">
        <v>2622.2</v>
      </c>
      <c r="D142" s="16" t="n">
        <v>3403.18</v>
      </c>
      <c r="E142" s="16" t="n">
        <v>2566.86</v>
      </c>
      <c r="F142" s="16" t="n">
        <v>3382</v>
      </c>
      <c r="G142" s="16" t="n">
        <v>3382</v>
      </c>
      <c r="H142" s="16">
        <f>G142-F142</f>
        <v/>
      </c>
      <c r="I142" s="14">
        <f>IF(F142=0,0,G142/F142-1)</f>
        <v/>
      </c>
    </row>
    <row r="143">
      <c r="A143" s="8" t="inlineStr">
        <is>
          <t>1000.0000.2620.56000.900</t>
        </is>
      </c>
      <c r="B143" s="8" t="inlineStr">
        <is>
          <t>Supplies</t>
        </is>
      </c>
      <c r="C143" s="16" t="n">
        <v>46267.89</v>
      </c>
      <c r="D143" s="16" t="n">
        <v>37609.26</v>
      </c>
      <c r="E143" s="16" t="n">
        <v>41228.57</v>
      </c>
      <c r="F143" s="16" t="n">
        <v>62341</v>
      </c>
      <c r="G143" s="16" t="n">
        <v>60841</v>
      </c>
      <c r="H143" s="16">
        <f>G143-F143</f>
        <v/>
      </c>
      <c r="I143" s="14">
        <f>IF(F143=0,0,G143/F143-1)</f>
        <v/>
      </c>
    </row>
    <row r="144">
      <c r="A144" s="8" t="inlineStr">
        <is>
          <t>1000.0000.2620.56260.900</t>
        </is>
      </c>
      <c r="B144" s="8" t="inlineStr">
        <is>
          <t>Fleet Fuel</t>
        </is>
      </c>
      <c r="C144" s="16" t="n">
        <v>0</v>
      </c>
      <c r="D144" s="16" t="n">
        <v>0</v>
      </c>
      <c r="E144" s="16" t="n">
        <v>0</v>
      </c>
      <c r="F144" s="16" t="n">
        <v>11342</v>
      </c>
      <c r="G144" s="16" t="n">
        <v>11342</v>
      </c>
      <c r="H144" s="16">
        <f>G144-F144</f>
        <v/>
      </c>
      <c r="I144" s="14">
        <f>IF(F144=0,0,G144/F144-1)</f>
        <v/>
      </c>
    </row>
    <row r="145">
      <c r="A145" s="8" t="inlineStr">
        <is>
          <t>1000.0000.2620.57300.900</t>
        </is>
      </c>
      <c r="B145" s="8" t="inlineStr">
        <is>
          <t>Equipment</t>
        </is>
      </c>
      <c r="C145" s="16" t="n">
        <v>8944.98</v>
      </c>
      <c r="D145" s="16" t="n">
        <v>1193.17</v>
      </c>
      <c r="E145" s="16" t="n">
        <v>54691</v>
      </c>
      <c r="F145" s="16" t="n">
        <v>0</v>
      </c>
      <c r="G145" s="16" t="n">
        <v>0</v>
      </c>
      <c r="H145" s="16">
        <f>G145-F145</f>
        <v/>
      </c>
      <c r="I145" s="14">
        <f>IF(F145=0,0,G145/F145-1)</f>
        <v/>
      </c>
    </row>
    <row r="146">
      <c r="A146" s="8" t="inlineStr">
        <is>
          <t>1000.0000.2620.58100.900</t>
        </is>
      </c>
      <c r="B146" s="8" t="inlineStr">
        <is>
          <t>Dues &amp; Fees</t>
        </is>
      </c>
      <c r="C146" s="16" t="n">
        <v>170</v>
      </c>
      <c r="D146" s="16" t="n">
        <v>0</v>
      </c>
      <c r="E146" s="16" t="n">
        <v>225</v>
      </c>
      <c r="F146" s="16" t="n">
        <v>350</v>
      </c>
      <c r="G146" s="16" t="n">
        <v>350</v>
      </c>
      <c r="H146" s="16">
        <f>G146-F146</f>
        <v/>
      </c>
      <c r="I146" s="14">
        <f>IF(F146=0,0,G146/F146-1)</f>
        <v/>
      </c>
    </row>
    <row r="147">
      <c r="A147" s="9" t="n"/>
      <c r="B147" s="22" t="inlineStr">
        <is>
          <t>Program 0000 Total</t>
        </is>
      </c>
      <c r="C147" s="23">
        <f>SUM(C131:C146)</f>
        <v/>
      </c>
      <c r="D147" s="23">
        <f>SUM(D131:D146)</f>
        <v/>
      </c>
      <c r="E147" s="23">
        <f>SUM(E131:E146)</f>
        <v/>
      </c>
      <c r="F147" s="23">
        <f>SUM(F131:F146)</f>
        <v/>
      </c>
      <c r="G147" s="23">
        <f>SUM(G131:G146)</f>
        <v/>
      </c>
      <c r="H147" s="23">
        <f>SUM(H131:H146)</f>
        <v/>
      </c>
      <c r="I147" s="23">
        <f>SUM(I131:I146)</f>
        <v/>
      </c>
    </row>
    <row r="148">
      <c r="A148" s="8" t="inlineStr">
        <is>
          <t>1000.0000.2650.54300.900</t>
        </is>
      </c>
      <c r="B148" s="8" t="inlineStr">
        <is>
          <t>Repair &amp; Maintenance</t>
        </is>
      </c>
      <c r="C148" s="16" t="n">
        <v>0</v>
      </c>
      <c r="D148" s="16" t="n">
        <v>0</v>
      </c>
      <c r="E148" s="16" t="n">
        <v>0</v>
      </c>
      <c r="F148" s="16" t="n">
        <v>11100</v>
      </c>
      <c r="G148" s="16" t="n">
        <v>12000</v>
      </c>
      <c r="H148" s="16">
        <f>G148-F148</f>
        <v/>
      </c>
      <c r="I148" s="14">
        <f>IF(F148=0,0,G148/F148-1)</f>
        <v/>
      </c>
    </row>
    <row r="149">
      <c r="A149" s="8" t="inlineStr">
        <is>
          <t>1000.0000.2650.54449.900</t>
        </is>
      </c>
      <c r="B149" s="8" t="inlineStr">
        <is>
          <t>Lease Purchase of</t>
        </is>
      </c>
      <c r="C149" s="16" t="n">
        <v>0</v>
      </c>
      <c r="D149" s="16" t="n">
        <v>0</v>
      </c>
      <c r="E149" s="16" t="n">
        <v>0</v>
      </c>
      <c r="F149" s="16" t="n">
        <v>33600</v>
      </c>
      <c r="G149" s="16" t="n">
        <v>70886</v>
      </c>
      <c r="H149" s="16">
        <f>G149-F149</f>
        <v/>
      </c>
      <c r="I149" s="14">
        <f>IF(F149=0,0,G149/F149-1)</f>
        <v/>
      </c>
    </row>
    <row r="150">
      <c r="A150" s="9" t="n"/>
      <c r="B150" s="22" t="inlineStr">
        <is>
          <t>Program 0000 Total</t>
        </is>
      </c>
      <c r="C150" s="23">
        <f>SUM(C148:C149)</f>
        <v/>
      </c>
      <c r="D150" s="23">
        <f>SUM(D148:D149)</f>
        <v/>
      </c>
      <c r="E150" s="23">
        <f>SUM(E148:E149)</f>
        <v/>
      </c>
      <c r="F150" s="23">
        <f>SUM(F148:F149)</f>
        <v/>
      </c>
      <c r="G150" s="23">
        <f>SUM(G148:G149)</f>
        <v/>
      </c>
      <c r="H150" s="23">
        <f>SUM(H148:H149)</f>
        <v/>
      </c>
      <c r="I150" s="23">
        <f>SUM(I148:I149)</f>
        <v/>
      </c>
    </row>
    <row r="151">
      <c r="A151" s="8" t="inlineStr">
        <is>
          <t>1000.0000.2670.55900.900</t>
        </is>
      </c>
      <c r="B151" s="8" t="inlineStr">
        <is>
          <t>Crossing Guards</t>
        </is>
      </c>
      <c r="C151" s="16" t="n">
        <v>4165.32</v>
      </c>
      <c r="D151" s="16" t="n">
        <v>4403.19</v>
      </c>
      <c r="E151" s="16" t="n">
        <v>4528.31</v>
      </c>
      <c r="F151" s="16" t="n">
        <v>0</v>
      </c>
      <c r="G151" s="16" t="n">
        <v>0</v>
      </c>
      <c r="H151" s="16">
        <f>G151-F151</f>
        <v/>
      </c>
      <c r="I151" s="14">
        <f>IF(F151=0,0,G151/F151-1)</f>
        <v/>
      </c>
    </row>
    <row r="152">
      <c r="A152" s="8" t="inlineStr">
        <is>
          <t>1000.0000.2680.54449.900</t>
        </is>
      </c>
      <c r="B152" s="8" t="inlineStr">
        <is>
          <t>Lease Purchase of</t>
        </is>
      </c>
      <c r="C152" s="16" t="n">
        <v>0</v>
      </c>
      <c r="D152" s="16" t="n">
        <v>0</v>
      </c>
      <c r="E152" s="16" t="n">
        <v>0</v>
      </c>
      <c r="F152" s="16" t="n">
        <v>0</v>
      </c>
      <c r="G152" s="16" t="n">
        <v>254455</v>
      </c>
      <c r="H152" s="16">
        <f>G152-F152</f>
        <v/>
      </c>
      <c r="I152" s="14">
        <f>IF(F152=0,0,G152/F152-1)</f>
        <v/>
      </c>
    </row>
    <row r="153">
      <c r="A153" s="8" t="inlineStr">
        <is>
          <t>1000.0000.2690.54300.900</t>
        </is>
      </c>
      <c r="B153" s="8" t="inlineStr">
        <is>
          <t>Capital Renewal/Track</t>
        </is>
      </c>
      <c r="C153" s="16" t="n">
        <v>35000</v>
      </c>
      <c r="D153" s="16" t="n">
        <v>0</v>
      </c>
      <c r="E153" s="16" t="n">
        <v>0</v>
      </c>
      <c r="F153" s="16" t="n">
        <v>0</v>
      </c>
      <c r="G153" s="16" t="n">
        <v>0</v>
      </c>
      <c r="H153" s="16">
        <f>G153-F153</f>
        <v/>
      </c>
      <c r="I153" s="14">
        <f>IF(F153=0,0,G153/F153-1)</f>
        <v/>
      </c>
    </row>
    <row r="154">
      <c r="A154" s="8" t="inlineStr">
        <is>
          <t>1000.0000.2690.54500.900</t>
        </is>
      </c>
      <c r="B154" s="8" t="inlineStr">
        <is>
          <t>Capital Renewal/Tennis</t>
        </is>
      </c>
      <c r="C154" s="16" t="n">
        <v>40000</v>
      </c>
      <c r="D154" s="16" t="n">
        <v>0</v>
      </c>
      <c r="E154" s="16" t="n">
        <v>0</v>
      </c>
      <c r="F154" s="16" t="n">
        <v>0</v>
      </c>
      <c r="G154" s="16" t="n">
        <v>0</v>
      </c>
      <c r="H154" s="16">
        <f>G154-F154</f>
        <v/>
      </c>
      <c r="I154" s="14">
        <f>IF(F154=0,0,G154/F154-1)</f>
        <v/>
      </c>
    </row>
    <row r="155">
      <c r="A155" s="8" t="inlineStr">
        <is>
          <t>1000.0000.2690.58310.900</t>
        </is>
      </c>
      <c r="B155" s="8" t="inlineStr">
        <is>
          <t>Capital Improvements</t>
        </is>
      </c>
      <c r="C155" s="16" t="n">
        <v>329137.27</v>
      </c>
      <c r="D155" s="16" t="n">
        <v>364136.27</v>
      </c>
      <c r="E155" s="16" t="n">
        <v>472229.38</v>
      </c>
      <c r="F155" s="16" t="n">
        <v>481000</v>
      </c>
      <c r="G155" s="16" t="n">
        <v>482000</v>
      </c>
      <c r="H155" s="16">
        <f>G155-F155</f>
        <v/>
      </c>
      <c r="I155" s="14">
        <f>IF(F155=0,0,G155/F155-1)</f>
        <v/>
      </c>
    </row>
    <row r="156">
      <c r="A156" s="9" t="n"/>
      <c r="B156" s="22" t="inlineStr">
        <is>
          <t>Program 0000 Total</t>
        </is>
      </c>
      <c r="C156" s="23">
        <f>SUM(C153:C155)</f>
        <v/>
      </c>
      <c r="D156" s="23">
        <f>SUM(D153:D155)</f>
        <v/>
      </c>
      <c r="E156" s="23">
        <f>SUM(E153:E155)</f>
        <v/>
      </c>
      <c r="F156" s="23">
        <f>SUM(F153:F155)</f>
        <v/>
      </c>
      <c r="G156" s="23">
        <f>SUM(G153:G155)</f>
        <v/>
      </c>
      <c r="H156" s="23">
        <f>SUM(H153:H155)</f>
        <v/>
      </c>
      <c r="I156" s="23">
        <f>SUM(I153:I155)</f>
        <v/>
      </c>
    </row>
    <row r="157">
      <c r="A157" s="9" t="n"/>
      <c r="B157" s="12" t="inlineStr">
        <is>
          <t>Cost Center ('900',) Total</t>
        </is>
      </c>
      <c r="C157" s="26">
        <f>C130+C147+C150+C156</f>
        <v/>
      </c>
      <c r="D157" s="26">
        <f>D130+D147+D150+D156</f>
        <v/>
      </c>
      <c r="E157" s="26">
        <f>E130+E147+E150+E156</f>
        <v/>
      </c>
      <c r="F157" s="26">
        <f>F130+F147+F150+F156</f>
        <v/>
      </c>
      <c r="G157" s="26">
        <f>G130+G147+G150+G156</f>
        <v/>
      </c>
      <c r="H157" s="26">
        <f>H130+H147+H150+H156</f>
        <v/>
      </c>
      <c r="I157" s="26">
        <f>I130+I147+I150+I156</f>
        <v/>
      </c>
    </row>
    <row r="159">
      <c r="A159" s="3" t="inlineStr">
        <is>
          <t>Cost Center: ('941',)</t>
        </is>
      </c>
    </row>
    <row r="160">
      <c r="A160" s="8" t="inlineStr">
        <is>
          <t>1000.0000.2600.51180.941</t>
        </is>
      </c>
      <c r="B160" s="8" t="inlineStr">
        <is>
          <t>Support Salary</t>
        </is>
      </c>
      <c r="C160" s="16" t="n">
        <v>2750.02</v>
      </c>
      <c r="D160" s="16" t="n">
        <v>2036.5</v>
      </c>
      <c r="E160" s="16" t="n">
        <v>0</v>
      </c>
      <c r="F160" s="16" t="n">
        <v>0</v>
      </c>
      <c r="G160" s="16" t="n">
        <v>0</v>
      </c>
      <c r="H160" s="16">
        <f>G160-F160</f>
        <v/>
      </c>
      <c r="I160" s="14">
        <f>IF(F160=0,0,G160/F160-1)</f>
        <v/>
      </c>
    </row>
    <row r="161">
      <c r="A161" s="8" t="inlineStr">
        <is>
          <t>1000.0000.2600.52080.941</t>
        </is>
      </c>
      <c r="B161" s="8" t="inlineStr">
        <is>
          <t>Support Benefits</t>
        </is>
      </c>
      <c r="C161" s="16" t="n">
        <v>906.5700000000001</v>
      </c>
      <c r="D161" s="16" t="n">
        <v>735.4400000000001</v>
      </c>
      <c r="E161" s="16" t="n">
        <v>0</v>
      </c>
      <c r="F161" s="16" t="n">
        <v>0</v>
      </c>
      <c r="G161" s="16" t="n">
        <v>0</v>
      </c>
      <c r="H161" s="16">
        <f>G161-F161</f>
        <v/>
      </c>
      <c r="I161" s="14">
        <f>IF(F161=0,0,G161/F161-1)</f>
        <v/>
      </c>
    </row>
    <row r="162">
      <c r="A162" s="8" t="inlineStr">
        <is>
          <t>1000.0000.2600.52380.941</t>
        </is>
      </c>
      <c r="B162" s="8" t="inlineStr">
        <is>
          <t>Custodian Retirement</t>
        </is>
      </c>
      <c r="C162" s="16" t="n">
        <v>38.28</v>
      </c>
      <c r="D162" s="16" t="n">
        <v>91.62</v>
      </c>
      <c r="E162" s="16" t="n">
        <v>0</v>
      </c>
      <c r="F162" s="16" t="n">
        <v>0</v>
      </c>
      <c r="G162" s="16" t="n">
        <v>0</v>
      </c>
      <c r="H162" s="16">
        <f>G162-F162</f>
        <v/>
      </c>
      <c r="I162" s="14">
        <f>IF(F162=0,0,G162/F162-1)</f>
        <v/>
      </c>
    </row>
    <row r="163">
      <c r="A163" s="8" t="inlineStr">
        <is>
          <t>1000.0000.2600.53300.941</t>
        </is>
      </c>
      <c r="B163" s="8" t="inlineStr">
        <is>
          <t>Employee Training</t>
        </is>
      </c>
      <c r="C163" s="16" t="n">
        <v>0</v>
      </c>
      <c r="D163" s="16" t="n">
        <v>1175.17</v>
      </c>
      <c r="E163" s="16" t="n">
        <v>0</v>
      </c>
      <c r="F163" s="16" t="n">
        <v>0</v>
      </c>
      <c r="G163" s="16" t="n">
        <v>0</v>
      </c>
      <c r="H163" s="16">
        <f>G163-F163</f>
        <v/>
      </c>
      <c r="I163" s="14">
        <f>IF(F163=0,0,G163/F163-1)</f>
        <v/>
      </c>
    </row>
    <row r="164">
      <c r="A164" s="8" t="inlineStr">
        <is>
          <t>1000.0000.2600.54100.941</t>
        </is>
      </c>
      <c r="B164" s="8" t="inlineStr">
        <is>
          <t>Water/Sewage</t>
        </is>
      </c>
      <c r="C164" s="16" t="n">
        <v>1270.9</v>
      </c>
      <c r="D164" s="16" t="n">
        <v>1283.91</v>
      </c>
      <c r="E164" s="16" t="n">
        <v>1310.7</v>
      </c>
      <c r="F164" s="16" t="n">
        <v>1271</v>
      </c>
      <c r="G164" s="16" t="n">
        <v>1271</v>
      </c>
      <c r="H164" s="16">
        <f>G164-F164</f>
        <v/>
      </c>
      <c r="I164" s="14">
        <f>IF(F164=0,0,G164/F164-1)</f>
        <v/>
      </c>
    </row>
    <row r="165">
      <c r="A165" s="8" t="inlineStr">
        <is>
          <t>1000.0000.2600.54300.941</t>
        </is>
      </c>
      <c r="B165" s="8" t="inlineStr">
        <is>
          <t>Purchaed Repairs</t>
        </is>
      </c>
      <c r="C165" s="16" t="n">
        <v>11377.89</v>
      </c>
      <c r="D165" s="16" t="n">
        <v>12790.39</v>
      </c>
      <c r="E165" s="16" t="n">
        <v>6372.13</v>
      </c>
      <c r="F165" s="16" t="n">
        <v>6120</v>
      </c>
      <c r="G165" s="16" t="n">
        <v>16348</v>
      </c>
      <c r="H165" s="16">
        <f>G165-F165</f>
        <v/>
      </c>
      <c r="I165" s="14">
        <f>IF(F165=0,0,G165/F165-1)</f>
        <v/>
      </c>
    </row>
    <row r="166">
      <c r="A166" s="8" t="inlineStr">
        <is>
          <t>1000.0000.2600.55320.941</t>
        </is>
      </c>
      <c r="B166" s="8" t="inlineStr">
        <is>
          <t>Telephone</t>
        </is>
      </c>
      <c r="C166" s="16" t="n">
        <v>5804.02</v>
      </c>
      <c r="D166" s="16" t="n">
        <v>5899.85</v>
      </c>
      <c r="E166" s="16" t="n">
        <v>6604.97</v>
      </c>
      <c r="F166" s="16" t="n">
        <v>5978</v>
      </c>
      <c r="G166" s="16" t="n">
        <v>6803</v>
      </c>
      <c r="H166" s="16">
        <f>G166-F166</f>
        <v/>
      </c>
      <c r="I166" s="14">
        <f>IF(F166=0,0,G166/F166-1)</f>
        <v/>
      </c>
    </row>
    <row r="167">
      <c r="A167" s="8" t="inlineStr">
        <is>
          <t>1000.0000.2600.55800.941</t>
        </is>
      </c>
      <c r="B167" s="8" t="inlineStr">
        <is>
          <t>Travel</t>
        </is>
      </c>
      <c r="C167" s="16" t="n">
        <v>0</v>
      </c>
      <c r="D167" s="16" t="n">
        <v>0</v>
      </c>
      <c r="E167" s="16" t="n">
        <v>119.42</v>
      </c>
      <c r="F167" s="16" t="n">
        <v>0</v>
      </c>
      <c r="G167" s="16" t="n">
        <v>0</v>
      </c>
      <c r="H167" s="16">
        <f>G167-F167</f>
        <v/>
      </c>
      <c r="I167" s="14">
        <f>IF(F167=0,0,G167/F167-1)</f>
        <v/>
      </c>
    </row>
    <row r="168">
      <c r="A168" s="8" t="inlineStr">
        <is>
          <t>1000.0000.2600.56000.941</t>
        </is>
      </c>
      <c r="B168" s="8" t="inlineStr">
        <is>
          <t>Supplies</t>
        </is>
      </c>
      <c r="C168" s="16" t="n">
        <v>2272.92</v>
      </c>
      <c r="D168" s="16" t="n">
        <v>2690.71</v>
      </c>
      <c r="E168" s="16" t="n">
        <v>3609.36</v>
      </c>
      <c r="F168" s="16" t="n">
        <v>1550</v>
      </c>
      <c r="G168" s="16" t="n">
        <v>1782</v>
      </c>
      <c r="H168" s="16">
        <f>G168-F168</f>
        <v/>
      </c>
      <c r="I168" s="14">
        <f>IF(F168=0,0,G168/F168-1)</f>
        <v/>
      </c>
    </row>
    <row r="169">
      <c r="A169" s="8" t="inlineStr">
        <is>
          <t>1000.0000.2600.56011.941</t>
        </is>
      </c>
      <c r="B169" s="8" t="inlineStr">
        <is>
          <t>Materials for Repair</t>
        </is>
      </c>
      <c r="C169" s="16" t="n">
        <v>2803.96</v>
      </c>
      <c r="D169" s="16" t="n">
        <v>2353.25</v>
      </c>
      <c r="E169" s="16" t="n">
        <v>1788.87</v>
      </c>
      <c r="F169" s="16" t="n">
        <v>1275</v>
      </c>
      <c r="G169" s="16" t="n">
        <v>2700</v>
      </c>
      <c r="H169" s="16">
        <f>G169-F169</f>
        <v/>
      </c>
      <c r="I169" s="14">
        <f>IF(F169=0,0,G169/F169-1)</f>
        <v/>
      </c>
    </row>
    <row r="170">
      <c r="A170" s="8" t="inlineStr">
        <is>
          <t>1000.0000.2600.56013.941</t>
        </is>
      </c>
      <c r="B170" s="8" t="inlineStr">
        <is>
          <t>Major Maintenance</t>
        </is>
      </c>
      <c r="C170" s="16" t="n">
        <v>159.31</v>
      </c>
      <c r="D170" s="16" t="n">
        <v>92.33</v>
      </c>
      <c r="E170" s="16" t="n">
        <v>3995.29</v>
      </c>
      <c r="F170" s="16" t="n">
        <v>5500</v>
      </c>
      <c r="G170" s="16" t="n">
        <v>15020</v>
      </c>
      <c r="H170" s="16">
        <f>G170-F170</f>
        <v/>
      </c>
      <c r="I170" s="14">
        <f>IF(F170=0,0,G170/F170-1)</f>
        <v/>
      </c>
    </row>
    <row r="171">
      <c r="A171" s="8" t="inlineStr">
        <is>
          <t>1000.0000.2600.56220.941</t>
        </is>
      </c>
      <c r="B171" s="8" t="inlineStr">
        <is>
          <t>Electricity</t>
        </is>
      </c>
      <c r="C171" s="16" t="n">
        <v>4380.76</v>
      </c>
      <c r="D171" s="16" t="n">
        <v>4678.96</v>
      </c>
      <c r="E171" s="16" t="n">
        <v>5245.87</v>
      </c>
      <c r="F171" s="16" t="n">
        <v>4000</v>
      </c>
      <c r="G171" s="16" t="n">
        <v>4000</v>
      </c>
      <c r="H171" s="16">
        <f>G171-F171</f>
        <v/>
      </c>
      <c r="I171" s="14">
        <f>IF(F171=0,0,G171/F171-1)</f>
        <v/>
      </c>
    </row>
    <row r="172">
      <c r="A172" s="8" t="inlineStr">
        <is>
          <t>1000.0000.2600.56240.941</t>
        </is>
      </c>
      <c r="B172" s="8" t="inlineStr">
        <is>
          <t>Heating Fuel</t>
        </is>
      </c>
      <c r="C172" s="16" t="n">
        <v>4605.82</v>
      </c>
      <c r="D172" s="16" t="n">
        <v>3741.27</v>
      </c>
      <c r="E172" s="16" t="n">
        <v>3933.93</v>
      </c>
      <c r="F172" s="16" t="n">
        <v>5000</v>
      </c>
      <c r="G172" s="16" t="n">
        <v>4500</v>
      </c>
      <c r="H172" s="16">
        <f>G172-F172</f>
        <v/>
      </c>
      <c r="I172" s="14">
        <f>IF(F172=0,0,G172/F172-1)</f>
        <v/>
      </c>
    </row>
    <row r="173">
      <c r="A173" s="9" t="n"/>
      <c r="B173" s="22" t="inlineStr">
        <is>
          <t>Program 0000 Total</t>
        </is>
      </c>
      <c r="C173" s="23">
        <f>SUM(C160:C172)</f>
        <v/>
      </c>
      <c r="D173" s="23">
        <f>SUM(D160:D172)</f>
        <v/>
      </c>
      <c r="E173" s="23">
        <f>SUM(E160:E172)</f>
        <v/>
      </c>
      <c r="F173" s="23">
        <f>SUM(F160:F172)</f>
        <v/>
      </c>
      <c r="G173" s="23">
        <f>SUM(G160:G172)</f>
        <v/>
      </c>
      <c r="H173" s="23">
        <f>SUM(H160:H172)</f>
        <v/>
      </c>
      <c r="I173" s="23">
        <f>SUM(I160:I172)</f>
        <v/>
      </c>
    </row>
    <row r="174">
      <c r="A174" s="9" t="n"/>
      <c r="B174" s="12" t="inlineStr">
        <is>
          <t>Cost Center ('941',) Total</t>
        </is>
      </c>
      <c r="C174" s="26">
        <f>C173</f>
        <v/>
      </c>
      <c r="D174" s="26">
        <f>D173</f>
        <v/>
      </c>
      <c r="E174" s="26">
        <f>E173</f>
        <v/>
      </c>
      <c r="F174" s="26">
        <f>F173</f>
        <v/>
      </c>
      <c r="G174" s="26">
        <f>G173</f>
        <v/>
      </c>
      <c r="H174" s="26">
        <f>H173</f>
        <v/>
      </c>
      <c r="I174" s="26">
        <f>I173</f>
        <v/>
      </c>
    </row>
    <row r="176">
      <c r="A176" s="9" t="n"/>
      <c r="B176" s="27" t="inlineStr">
        <is>
          <t>ARTICLE 9 TOTAL</t>
        </is>
      </c>
      <c r="C176" s="28">
        <f>C22+C41+C60+C79+C99+C123+C157+C174</f>
        <v/>
      </c>
      <c r="D176" s="28">
        <f>D22+D41+D60+D79+D99+D123+D157+D174</f>
        <v/>
      </c>
      <c r="E176" s="28">
        <f>E22+E41+E60+E79+E99+E123+E157+E174</f>
        <v/>
      </c>
      <c r="F176" s="28">
        <f>F22+F41+F60+F79+F99+F123+F157+F174</f>
        <v/>
      </c>
      <c r="G176" s="28">
        <f>G22+G41+G60+G79+G99+G123+G157+G174</f>
        <v/>
      </c>
      <c r="H176" s="28">
        <f>H22+H41+H60+H79+H99+H123+H157+H174</f>
        <v/>
      </c>
      <c r="I176" s="28">
        <f>I22+I41+I60+I79+I99+I123+I157+I174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10 - Debt Service</t>
        </is>
      </c>
    </row>
    <row r="2">
      <c r="A2" s="2" t="inlineStr">
        <is>
          <t>Source: FY27 Proposed Budget, RSU 5</t>
        </is>
      </c>
    </row>
    <row r="3">
      <c r="A3" s="2" t="inlineStr">
        <is>
          <t>Verification: UNRECONCILED -- see Summary tab</t>
        </is>
      </c>
    </row>
    <row r="5">
      <c r="A5" s="4" t="inlineStr">
        <is>
          <t>Account</t>
        </is>
      </c>
      <c r="B5" s="4" t="inlineStr">
        <is>
          <t>Description</t>
        </is>
      </c>
      <c r="C5" s="4" t="inlineStr">
        <is>
          <t>FY23 Actual</t>
        </is>
      </c>
      <c r="D5" s="4" t="inlineStr">
        <is>
          <t>FY24 Actual</t>
        </is>
      </c>
      <c r="E5" s="4" t="inlineStr">
        <is>
          <t>FY25 Actual</t>
        </is>
      </c>
      <c r="F5" s="4" t="inlineStr">
        <is>
          <t>FY26 Adopted</t>
        </is>
      </c>
      <c r="G5" s="4" t="inlineStr">
        <is>
          <t>FY27 Proposed</t>
        </is>
      </c>
      <c r="H5" s="4" t="inlineStr">
        <is>
          <t>$ Diff</t>
        </is>
      </c>
      <c r="I5" s="4" t="inlineStr">
        <is>
          <t>% Diff</t>
        </is>
      </c>
    </row>
    <row r="6">
      <c r="A6" s="3" t="inlineStr">
        <is>
          <t>Cost Center: ('900',)</t>
        </is>
      </c>
    </row>
    <row r="7">
      <c r="A7" s="8" t="inlineStr">
        <is>
          <t>1000.0000.5100.58310.900</t>
        </is>
      </c>
      <c r="B7" s="8" t="inlineStr">
        <is>
          <t>Principal Payments-State</t>
        </is>
      </c>
      <c r="C7" s="16" t="n">
        <v>995302</v>
      </c>
      <c r="D7" s="16" t="n">
        <v>995302</v>
      </c>
      <c r="E7" s="16" t="n">
        <v>995302</v>
      </c>
      <c r="F7" s="16" t="n">
        <v>995302</v>
      </c>
      <c r="G7" s="16" t="n">
        <v>995302</v>
      </c>
      <c r="H7" s="16">
        <f>G7-F7</f>
        <v/>
      </c>
      <c r="I7" s="14">
        <f>IF(F7=0,0,G7/F7-1)</f>
        <v/>
      </c>
    </row>
    <row r="8">
      <c r="A8" s="8" t="inlineStr">
        <is>
          <t>1000.0000.5100.58320.900</t>
        </is>
      </c>
      <c r="B8" s="8" t="inlineStr">
        <is>
          <t>Interest Payments-State</t>
        </is>
      </c>
      <c r="C8" s="16" t="n">
        <v>186302.54</v>
      </c>
      <c r="D8" s="16" t="n">
        <v>144092.97</v>
      </c>
      <c r="E8" s="16" t="n">
        <v>115761.52</v>
      </c>
      <c r="F8" s="16" t="n">
        <v>92126</v>
      </c>
      <c r="G8" s="16" t="n">
        <v>76275</v>
      </c>
      <c r="H8" s="16">
        <f>G8-F8</f>
        <v/>
      </c>
      <c r="I8" s="14">
        <f>IF(F8=0,0,G8/F8-1)</f>
        <v/>
      </c>
    </row>
    <row r="9">
      <c r="A9" s="9" t="n"/>
      <c r="B9" s="22" t="inlineStr">
        <is>
          <t>Program 0000 Total</t>
        </is>
      </c>
      <c r="C9" s="23">
        <f>SUM(C7:C8)</f>
        <v/>
      </c>
      <c r="D9" s="23">
        <f>SUM(D7:D8)</f>
        <v/>
      </c>
      <c r="E9" s="23">
        <f>SUM(E7:E8)</f>
        <v/>
      </c>
      <c r="F9" s="23">
        <f>SUM(F7:F8)</f>
        <v/>
      </c>
      <c r="G9" s="23">
        <f>SUM(G7:G8)</f>
        <v/>
      </c>
      <c r="H9" s="23">
        <f>SUM(H7:H8)</f>
        <v/>
      </c>
      <c r="I9" s="23">
        <f>SUM(I7:I8)</f>
        <v/>
      </c>
    </row>
    <row r="10">
      <c r="A10" s="9" t="n"/>
      <c r="B10" s="12" t="inlineStr">
        <is>
          <t>Cost Center ('900',) Total</t>
        </is>
      </c>
      <c r="C10" s="26">
        <f>C9</f>
        <v/>
      </c>
      <c r="D10" s="26">
        <f>D9</f>
        <v/>
      </c>
      <c r="E10" s="26">
        <f>E9</f>
        <v/>
      </c>
      <c r="F10" s="26">
        <f>F9</f>
        <v/>
      </c>
      <c r="G10" s="26">
        <f>G9</f>
        <v/>
      </c>
      <c r="H10" s="26">
        <f>H9</f>
        <v/>
      </c>
      <c r="I10" s="26">
        <f>I9</f>
        <v/>
      </c>
    </row>
    <row r="12">
      <c r="A12" s="9" t="n"/>
      <c r="B12" s="27" t="inlineStr">
        <is>
          <t>ARTICLE 10 TOTAL</t>
        </is>
      </c>
      <c r="C12" s="28">
        <f>C10</f>
        <v/>
      </c>
      <c r="D12" s="28">
        <f>D10</f>
        <v/>
      </c>
      <c r="E12" s="28">
        <f>E10</f>
        <v/>
      </c>
      <c r="F12" s="28">
        <f>F10</f>
        <v/>
      </c>
      <c r="G12" s="28">
        <f>G10</f>
        <v/>
      </c>
      <c r="H12" s="28">
        <f>H10</f>
        <v/>
      </c>
      <c r="I12" s="28">
        <f>I10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472C4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11 - All Other Expenses</t>
        </is>
      </c>
    </row>
    <row r="2">
      <c r="A2" s="2" t="inlineStr">
        <is>
          <t>Source: FY27 Proposed Budget, RSU 5</t>
        </is>
      </c>
    </row>
    <row r="3">
      <c r="A3" s="2" t="inlineStr">
        <is>
          <t>Verification: UNRECONCILED -- see Summary tab</t>
        </is>
      </c>
    </row>
    <row r="5">
      <c r="A5" s="4" t="inlineStr">
        <is>
          <t>Account</t>
        </is>
      </c>
      <c r="B5" s="4" t="inlineStr">
        <is>
          <t>Description</t>
        </is>
      </c>
      <c r="C5" s="4" t="inlineStr">
        <is>
          <t>FY23 Actual</t>
        </is>
      </c>
      <c r="D5" s="4" t="inlineStr">
        <is>
          <t>FY24 Actual</t>
        </is>
      </c>
      <c r="E5" s="4" t="inlineStr">
        <is>
          <t>FY25 Actual</t>
        </is>
      </c>
      <c r="F5" s="4" t="inlineStr">
        <is>
          <t>FY26 Adopted</t>
        </is>
      </c>
      <c r="G5" s="4" t="inlineStr">
        <is>
          <t>FY27 Proposed</t>
        </is>
      </c>
      <c r="H5" s="4" t="inlineStr">
        <is>
          <t>$ Diff</t>
        </is>
      </c>
      <c r="I5" s="4" t="inlineStr">
        <is>
          <t>% Diff</t>
        </is>
      </c>
    </row>
    <row r="6">
      <c r="A6" s="3" t="inlineStr">
        <is>
          <t>Cost Center: ('900',)</t>
        </is>
      </c>
    </row>
    <row r="7">
      <c r="A7" s="8" t="inlineStr">
        <is>
          <t>1000.0000.3100.59100.900</t>
        </is>
      </c>
      <c r="B7" s="8" t="inlineStr">
        <is>
          <t>Nutrition Assessment</t>
        </is>
      </c>
      <c r="C7" s="16" t="n">
        <v>0</v>
      </c>
      <c r="D7" s="16" t="n">
        <v>293245</v>
      </c>
      <c r="E7" s="16" t="n">
        <v>185334</v>
      </c>
      <c r="F7" s="16" t="n">
        <v>139591</v>
      </c>
      <c r="G7" s="16" t="n">
        <v>69796</v>
      </c>
      <c r="H7" s="16">
        <f>G7-F7</f>
        <v/>
      </c>
      <c r="I7" s="14">
        <f>IF(F7=0,0,G7/F7-1)</f>
        <v/>
      </c>
    </row>
  </sheetData>
  <mergeCells count="2">
    <mergeCell ref="A3:F3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2026-03-13T01:24:28Z</dcterms:created>
  <dcterms:modified xsi:type="dcterms:W3CDTF">2026-03-13T01:24:28Z</dcterms:modified>
</cp:coreProperties>
</file>
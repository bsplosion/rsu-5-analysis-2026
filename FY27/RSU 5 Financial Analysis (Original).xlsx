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Summary" sheetId="1" state="visible" r:id="rId1"/>
    <sheet xmlns:r="http://schemas.openxmlformats.org/officeDocument/2006/relationships" name="C-DOEStaffing" sheetId="2" state="visible" r:id="rId2"/>
    <sheet xmlns:r="http://schemas.openxmlformats.org/officeDocument/2006/relationships" name="C-Equity" sheetId="3" state="visible" r:id="rId3"/>
    <sheet xmlns:r="http://schemas.openxmlformats.org/officeDocument/2006/relationships" name="C-Independence" sheetId="4" state="visible" r:id="rId4"/>
    <sheet xmlns:r="http://schemas.openxmlformats.org/officeDocument/2006/relationships" name="C-LegalAnalysis" sheetId="5" state="visible" r:id="rId5"/>
    <sheet xmlns:r="http://schemas.openxmlformats.org/officeDocument/2006/relationships" name="C-RiskModel" sheetId="6" state="visible" r:id="rId6"/>
    <sheet xmlns:r="http://schemas.openxmlformats.org/officeDocument/2006/relationships" name="C-FY28Projection" sheetId="7" state="visible" r:id="rId7"/>
    <sheet xmlns:r="http://schemas.openxmlformats.org/officeDocument/2006/relationships" name="C-FY27Scenarios" sheetId="8" state="visible" r:id="rId8"/>
    <sheet xmlns:r="http://schemas.openxmlformats.org/officeDocument/2006/relationships" name="C-FY28Paths" sheetId="9" state="visible" r:id="rId9"/>
    <sheet xmlns:r="http://schemas.openxmlformats.org/officeDocument/2006/relationships" name="C-Enrollment" sheetId="10" state="visible" r:id="rId10"/>
    <sheet xmlns:r="http://schemas.openxmlformats.org/officeDocument/2006/relationships" name="C-Budget" sheetId="11" state="visible" r:id="rId11"/>
    <sheet xmlns:r="http://schemas.openxmlformats.org/officeDocument/2006/relationships" name="C-Consumption" sheetId="12" state="visible" r:id="rId12"/>
    <sheet xmlns:r="http://schemas.openxmlformats.org/officeDocument/2006/relationships" name="C-Revenue" sheetId="13" state="visible" r:id="rId13"/>
    <sheet xmlns:r="http://schemas.openxmlformats.org/officeDocument/2006/relationships" name="C-Tax" sheetId="14" state="visible" r:id="rId14"/>
    <sheet xmlns:r="http://schemas.openxmlformats.org/officeDocument/2006/relationships" name="C-CostPremium" sheetId="15" state="visible" r:id="rId15"/>
    <sheet xmlns:r="http://schemas.openxmlformats.org/officeDocument/2006/relationships" name="C-MSConsol" sheetId="16" state="visible" r:id="rId16"/>
    <sheet xmlns:r="http://schemas.openxmlformats.org/officeDocument/2006/relationships" name="C-ECAnalysis" sheetId="17" state="visible" r:id="rId17"/>
    <sheet xmlns:r="http://schemas.openxmlformats.org/officeDocument/2006/relationships" name="I-Equity" sheetId="18" state="visible" r:id="rId18"/>
    <sheet xmlns:r="http://schemas.openxmlformats.org/officeDocument/2006/relationships" name="I-Withdrawal" sheetId="19" state="visible" r:id="rId19"/>
    <sheet xmlns:r="http://schemas.openxmlformats.org/officeDocument/2006/relationships" name="I-DOEStaffing" sheetId="20" state="visible" r:id="rId20"/>
    <sheet xmlns:r="http://schemas.openxmlformats.org/officeDocument/2006/relationships" name="I-Enrollment" sheetId="21" state="visible" r:id="rId21"/>
    <sheet xmlns:r="http://schemas.openxmlformats.org/officeDocument/2006/relationships" name="I-Budget" sheetId="22" state="visible" r:id="rId22"/>
    <sheet xmlns:r="http://schemas.openxmlformats.org/officeDocument/2006/relationships" name="I-Revenue" sheetId="23" state="visible" r:id="rId23"/>
    <sheet xmlns:r="http://schemas.openxmlformats.org/officeDocument/2006/relationships" name="I-Tax" sheetId="24" state="visible" r:id="rId24"/>
    <sheet xmlns:r="http://schemas.openxmlformats.org/officeDocument/2006/relationships" name="I-ECCosts" sheetId="25" state="visible" r:id="rId25"/>
    <sheet xmlns:r="http://schemas.openxmlformats.org/officeDocument/2006/relationships" name="I-Assumptions" sheetId="26" state="visible" r:id="rId26"/>
    <sheet xmlns:r="http://schemas.openxmlformats.org/officeDocument/2006/relationships" name="I-FY27Reductions" sheetId="27" state="visible" r:id="rId27"/>
    <sheet xmlns:r="http://schemas.openxmlformats.org/officeDocument/2006/relationships" name="I-CostGrowth" sheetId="28" state="visible" r:id="rId28"/>
    <sheet xmlns:r="http://schemas.openxmlformats.org/officeDocument/2006/relationships" name="I-FTE" sheetId="29" state="visible" r:id="rId29"/>
    <sheet xmlns:r="http://schemas.openxmlformats.org/officeDocument/2006/relationships" name="Source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0.000"/>
    <numFmt numFmtId="166" formatCode="0.0%"/>
    <numFmt numFmtId="167" formatCode="+#,##0;-#,##0;0"/>
    <numFmt numFmtId="168" formatCode="+0.0;-0.0;0.0"/>
    <numFmt numFmtId="169" formatCode="+0.000;-0.000;0.000"/>
    <numFmt numFmtId="170" formatCode="+0.0%;-0.0%;0.0%"/>
    <numFmt numFmtId="171" formatCode="0.0 &quot;years&quot;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0070C0"/>
      <sz val="10"/>
    </font>
    <font>
      <b val="1"/>
      <color rgb="001F4E79"/>
      <sz val="12"/>
    </font>
    <font>
      <b val="1"/>
      <sz val="11"/>
    </font>
    <font>
      <i val="1"/>
      <color rgb="00666666"/>
      <sz val="10"/>
    </font>
    <font>
      <b val="1"/>
      <color rgb="00C00000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wrapText="1"/>
    </xf>
    <xf numFmtId="0" fontId="0" fillId="5" borderId="1" pivotButton="0" quotePrefix="0" xfId="0"/>
    <xf numFmtId="3" fontId="0" fillId="5" borderId="1" pivotButton="0" quotePrefix="0" xfId="0"/>
    <xf numFmtId="10" fontId="0" fillId="5" borderId="1" pivotButton="0" quotePrefix="0" xfId="0"/>
    <xf numFmtId="0" fontId="4" fillId="6" borderId="1" pivotButton="0" quotePrefix="0" xfId="0"/>
    <xf numFmtId="3" fontId="6" fillId="6" borderId="1" pivotButton="0" quotePrefix="0" xfId="0"/>
    <xf numFmtId="167" fontId="0" fillId="5" borderId="1" pivotButton="0" quotePrefix="0" xfId="0"/>
    <xf numFmtId="3" fontId="0" fillId="6" borderId="1" pivotButton="0" quotePrefix="0" xfId="0"/>
    <xf numFmtId="0" fontId="0" fillId="6" borderId="1" pivotButton="0" quotePrefix="0" xfId="0"/>
    <xf numFmtId="10" fontId="6" fillId="6" borderId="1" pivotButton="0" quotePrefix="0" xfId="0"/>
    <xf numFmtId="167" fontId="6" fillId="6" borderId="1" pivotButton="0" quotePrefix="0" xfId="0"/>
    <xf numFmtId="168" fontId="0" fillId="5" borderId="1" pivotButton="0" quotePrefix="0" xfId="0"/>
    <xf numFmtId="164" fontId="0" fillId="5" borderId="1" pivotButton="0" quotePrefix="0" xfId="0"/>
    <xf numFmtId="1" fontId="0" fillId="5" borderId="1" pivotButton="0" quotePrefix="0" xfId="0"/>
    <xf numFmtId="166" fontId="0" fillId="5" borderId="1" pivotButton="0" quotePrefix="0" xfId="0"/>
    <xf numFmtId="171" fontId="6" fillId="6" borderId="1" pivotButton="0" quotePrefix="0" xfId="0"/>
    <xf numFmtId="2" fontId="6" fillId="6" borderId="1" pivotButton="0" quotePrefix="0" xfId="0"/>
    <xf numFmtId="170" fontId="6" fillId="6" borderId="1" pivotButton="0" quotePrefix="0" xfId="0"/>
    <xf numFmtId="170" fontId="0" fillId="5" borderId="1" pivotButton="0" quotePrefix="0" xfId="0"/>
    <xf numFmtId="166" fontId="6" fillId="6" borderId="1" pivotButton="0" quotePrefix="0" xfId="0"/>
    <xf numFmtId="168" fontId="6" fillId="6" borderId="1" pivotButton="0" quotePrefix="0" xfId="0"/>
    <xf numFmtId="164" fontId="0" fillId="6" borderId="1" pivotButton="0" quotePrefix="0" xfId="0"/>
    <xf numFmtId="168" fontId="0" fillId="6" borderId="1" pivotButton="0" quotePrefix="0" xfId="0"/>
    <xf numFmtId="170" fontId="0" fillId="6" borderId="1" pivotButton="0" quotePrefix="0" xfId="0"/>
    <xf numFmtId="1" fontId="0" fillId="6" borderId="1" pivotButton="0" quotePrefix="0" xfId="0"/>
    <xf numFmtId="0" fontId="0" fillId="4" borderId="1" pivotButton="0" quotePrefix="0" xfId="0"/>
    <xf numFmtId="0" fontId="2" fillId="2" borderId="1" pivotButton="0" quotePrefix="0" xfId="0"/>
    <xf numFmtId="166" fontId="0" fillId="6" borderId="1" pivotButton="0" quotePrefix="0" xfId="0"/>
    <xf numFmtId="165" fontId="6" fillId="6" borderId="1" pivotButton="0" quotePrefix="0" xfId="0"/>
    <xf numFmtId="165" fontId="0" fillId="5" borderId="1" pivotButton="0" quotePrefix="0" xfId="0"/>
    <xf numFmtId="169" fontId="0" fillId="6" borderId="1" pivotButton="0" quotePrefix="0" xfId="0"/>
    <xf numFmtId="165" fontId="0" fillId="6" borderId="1" pivotButton="0" quotePrefix="0" xfId="0"/>
    <xf numFmtId="0" fontId="0" fillId="7" borderId="1" pivotButton="0" quotePrefix="0" xfId="0"/>
    <xf numFmtId="166" fontId="0" fillId="4" borderId="1" pivotButton="0" quotePrefix="0" xfId="0"/>
    <xf numFmtId="167" fontId="0" fillId="6" borderId="1" pivotButton="0" quotePrefix="0" xfId="0"/>
    <xf numFmtId="0" fontId="4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2" borderId="1" pivotButton="0" quotePrefix="0" xfId="0"/>
    <xf numFmtId="0" fontId="0" fillId="5" borderId="1" applyAlignment="1" pivotButton="0" quotePrefix="0" xfId="0">
      <alignment wrapText="1"/>
    </xf>
    <xf numFmtId="0" fontId="6" fillId="6" borderId="1" pivotButton="0" quotePrefix="0" xfId="0"/>
    <xf numFmtId="0" fontId="0" fillId="6" borderId="1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4" fillId="0" borderId="0" pivotButton="0" quotePrefix="0" xfId="0"/>
    <xf numFmtId="3" fontId="0" fillId="4" borderId="1" pivotButton="0" quotePrefix="0" xfId="0"/>
    <xf numFmtId="1" fontId="0" fillId="4" borderId="1" pivotButton="0" quotePrefix="0" xfId="0"/>
    <xf numFmtId="164" fontId="6" fillId="6" borderId="1" pivotButton="0" quotePrefix="0" xfId="0"/>
    <xf numFmtId="0" fontId="4" fillId="7" borderId="1" pivotButton="0" quotePrefix="0" xfId="0"/>
    <xf numFmtId="3" fontId="4" fillId="7" borderId="1" pivotButton="0" quotePrefix="0" xfId="0"/>
    <xf numFmtId="10" fontId="4" fillId="7" borderId="1" pivotButton="0" quotePrefix="0" xfId="0"/>
    <xf numFmtId="3" fontId="4" fillId="6" borderId="1" pivotButton="0" quotePrefix="0" xfId="0"/>
    <xf numFmtId="0" fontId="4" fillId="5" borderId="1" pivotButton="0" quotePrefix="0" xfId="0"/>
    <xf numFmtId="2" fontId="0" fillId="5" borderId="1" pivotButton="0" quotePrefix="0" xfId="0"/>
    <xf numFmtId="0" fontId="2" fillId="2" borderId="0" applyAlignment="1" pivotButton="0" quotePrefix="0" xfId="0">
      <alignment wrapText="1"/>
    </xf>
    <xf numFmtId="1" fontId="6" fillId="6" borderId="1" pivotButton="0" quotePrefix="0" xfId="0"/>
    <xf numFmtId="3" fontId="0" fillId="0" borderId="1" pivotButton="0" quotePrefix="0" xfId="0"/>
    <xf numFmtId="10" fontId="0" fillId="0" borderId="1" pivotButton="0" quotePrefix="0" xfId="0"/>
    <xf numFmtId="165" fontId="0" fillId="4" borderId="1" pivotButton="0" quotePrefix="0" xfId="0"/>
    <xf numFmtId="164" fontId="0" fillId="4" borderId="1" pivotButton="0" quotePrefix="0" xfId="0"/>
    <xf numFmtId="4" fontId="0" fillId="4" borderId="1" pivotButton="0" quotePrefix="0" xfId="0"/>
    <xf numFmtId="2" fontId="0" fillId="4" borderId="1" pivotButton="0" quotePrefix="0" xfId="0"/>
    <xf numFmtId="167" fontId="0" fillId="4" borderId="1" pivotButton="0" quotePrefix="0" xfId="0"/>
    <xf numFmtId="10" fontId="0" fillId="4" borderId="1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RSU 5 Financial Analysis: Executive Summary</t>
        </is>
      </c>
    </row>
    <row r="3">
      <c r="A3" s="2" t="inlineStr">
        <is>
          <t>All values are live formulas. To test scenarios, change yellow cells on I- and C-FY28Projection sheets.</t>
        </is>
      </c>
    </row>
    <row r="5">
      <c r="A5" s="3" t="inlineStr">
        <is>
          <t>PART 1: FY27 (2026-2027) -- Budget Going to Voters</t>
        </is>
      </c>
    </row>
    <row r="6">
      <c r="A6" s="4" t="inlineStr"/>
      <c r="B6" s="4" t="inlineStr">
        <is>
          <t>Amount</t>
        </is>
      </c>
      <c r="C6" s="4" t="inlineStr">
        <is>
          <t>% of FY26</t>
        </is>
      </c>
    </row>
    <row r="7">
      <c r="A7" s="5" t="inlineStr">
        <is>
          <t>FY26 Adopted Budget</t>
        </is>
      </c>
      <c r="B7" s="6">
        <f>'I-Budget'!B32</f>
        <v/>
      </c>
    </row>
    <row r="8">
      <c r="A8" s="5" t="inlineStr">
        <is>
          <t>FY27 Proposed (Superintendent)</t>
        </is>
      </c>
      <c r="B8" s="6">
        <f>'C-Budget'!B16</f>
        <v/>
      </c>
      <c r="C8" s="7">
        <f>'C-Budget'!B18</f>
        <v/>
      </c>
    </row>
    <row r="9">
      <c r="A9" s="8" t="inlineStr">
        <is>
          <t>Dollar increase from FY26</t>
        </is>
      </c>
      <c r="B9" s="9">
        <f>'C-Budget'!B17</f>
        <v/>
      </c>
    </row>
    <row r="10">
      <c r="A10" s="5" t="inlineStr">
        <is>
          <t>Superintendent's initial request was 10.55%</t>
        </is>
      </c>
      <c r="B10" s="6">
        <f>'I-FY27Reductions'!B17</f>
        <v/>
      </c>
    </row>
    <row r="11">
      <c r="A11" s="5" t="inlineStr">
        <is>
          <t>Total staff/program reductions already applied</t>
        </is>
      </c>
      <c r="B11" s="10">
        <f>'C-FY27Scenarios'!B16</f>
        <v/>
      </c>
    </row>
    <row r="12">
      <c r="A12" s="5" t="inlineStr">
        <is>
          <t xml:space="preserve">  of which: T1 teaching positions</t>
        </is>
      </c>
      <c r="B12" s="10">
        <f>'C-FY27Scenarios'!B13</f>
        <v/>
      </c>
    </row>
    <row r="13">
      <c r="A13" s="5" t="inlineStr">
        <is>
          <t xml:space="preserve">  of which: T2 support positions</t>
        </is>
      </c>
      <c r="B13" s="10">
        <f>'C-FY27Scenarios'!B14</f>
        <v/>
      </c>
    </row>
    <row r="14">
      <c r="A14" s="2" t="inlineStr">
        <is>
          <t>Board adopts March 25, 2026 | ABM: May 13 | Referendum: June 19</t>
        </is>
      </c>
    </row>
    <row r="15">
      <c r="A15" s="2" t="inlineStr">
        <is>
          <t>EC mandate and structural changes are NOT in FY27. They are FY28.</t>
        </is>
      </c>
    </row>
    <row r="16">
      <c r="A16" s="2" t="inlineStr">
        <is>
          <t>Historical: FY26 approved at 6.83% (817-494); FY25 at 6.48%; FY24 at 4.99%.</t>
        </is>
      </c>
    </row>
    <row r="18">
      <c r="A18" s="3" t="inlineStr">
        <is>
          <t>PART 2: FY28 (2027-2028) -- Baseline (No Structural Action)</t>
        </is>
      </c>
    </row>
    <row r="19">
      <c r="A19" s="5" t="inlineStr">
        <is>
          <t>FY27 adopted (selected scenario)</t>
        </is>
      </c>
      <c r="B19" s="6">
        <f>'C-FY28Projection'!B7</f>
        <v/>
      </c>
    </row>
    <row r="20">
      <c r="A20" s="5" t="inlineStr">
        <is>
          <t xml:space="preserve">  + Annual cost growth</t>
        </is>
      </c>
      <c r="B20" s="6">
        <f>'C-FY28Projection'!B7*'C-FY28Projection'!B15</f>
        <v/>
      </c>
    </row>
    <row r="21">
      <c r="A21" s="5" t="inlineStr">
        <is>
          <t xml:space="preserve">  + EC mandate net cost (midpoint)</t>
        </is>
      </c>
      <c r="B21" s="6">
        <f>'C-FY28Projection'!B19</f>
        <v/>
      </c>
    </row>
    <row r="22">
      <c r="A22" s="8" t="inlineStr">
        <is>
          <t>FY28 BASELINE (no restructuring)</t>
        </is>
      </c>
      <c r="B22" s="9">
        <f>'C-FY28Projection'!B23</f>
        <v/>
      </c>
    </row>
    <row r="23">
      <c r="A23" s="5" t="inlineStr">
        <is>
          <t>FY28 baseline increase from FY27</t>
        </is>
      </c>
      <c r="B23" s="7">
        <f>'C-FY28Projection'!B24</f>
        <v/>
      </c>
    </row>
    <row r="25">
      <c r="A25" s="3" t="inlineStr">
        <is>
          <t>PART 3: PATH A -- Preserve &amp; Strengthen (FY28)</t>
        </is>
      </c>
    </row>
    <row r="26">
      <c r="A26" s="2" t="inlineStr">
        <is>
          <t>Consolidate middle grades for efficiency. Preserve all elementary schools. Distribute EC.</t>
        </is>
      </c>
    </row>
    <row r="27">
      <c r="A27" s="4" t="inlineStr">
        <is>
          <t>Structural Change</t>
        </is>
      </c>
      <c r="B27" s="4" t="inlineStr">
        <is>
          <t>Annual Budget Impact</t>
        </is>
      </c>
      <c r="C27" s="4" t="inlineStr">
        <is>
          <t>Source Sheet</t>
        </is>
      </c>
    </row>
    <row r="28">
      <c r="A28" s="5" t="inlineStr">
        <is>
          <t>1. Consolidate grades 7-8 at FMS (district-wide)</t>
        </is>
      </c>
      <c r="B28" s="10">
        <f>-'C-MSConsol'!B19</f>
        <v/>
      </c>
      <c r="C28" s="5" t="inlineStr">
        <is>
          <t>C-MSConsol: Teacher savings from 7-8 consolidation</t>
        </is>
      </c>
    </row>
    <row r="29">
      <c r="A29" s="5" t="inlineStr">
        <is>
          <t>2. Consolidate grade 6 at DCS (district-wide)</t>
        </is>
      </c>
      <c r="B29" s="10">
        <f>0</f>
        <v/>
      </c>
      <c r="C29" s="5" t="inlineStr">
        <is>
          <t>C-MSConsol: Included in net FTE calc above</t>
        </is>
      </c>
    </row>
    <row r="30">
      <c r="A30" s="5" t="inlineStr">
        <is>
          <t>3. Extracurricular consolidation savings</t>
        </is>
      </c>
      <c r="B30" s="10">
        <f>-'C-MSConsol'!B20</f>
        <v/>
      </c>
      <c r="C30" s="5" t="inlineStr">
        <is>
          <t>C-MSConsol: Combined athletics/activities</t>
        </is>
      </c>
    </row>
    <row r="31">
      <c r="A31" s="5" t="inlineStr">
        <is>
          <t>4. Freeport 6th-grade transportation to DCS</t>
        </is>
      </c>
      <c r="B31" s="10">
        <f>'I-Assumptions'!B13*'I-Assumptions'!B12</f>
        <v/>
      </c>
      <c r="C31" s="5" t="inlineStr">
        <is>
          <t>I-Assumptions: 2 routes x $75K</t>
        </is>
      </c>
    </row>
    <row r="32">
      <c r="A32" s="5" t="inlineStr">
        <is>
          <t>5. DCS portable classrooms needed</t>
        </is>
      </c>
      <c r="B32" s="10">
        <f>0</f>
        <v/>
      </c>
      <c r="C32" s="5" t="inlineStr">
        <is>
          <t>Net zero: gains 6th sections, loses 7-8 sections</t>
        </is>
      </c>
    </row>
    <row r="33">
      <c r="A33" s="5" t="inlineStr">
        <is>
          <t>6. DCS admin complexity (multi-community 6th)</t>
        </is>
      </c>
      <c r="B33" s="10">
        <f>0</f>
        <v/>
      </c>
      <c r="C33" s="5" t="inlineStr">
        <is>
          <t>Complexity offsets any admin savings</t>
        </is>
      </c>
    </row>
    <row r="34">
      <c r="A34" s="5" t="inlineStr">
        <is>
          <t>7. Additional line-item efficiencies (midpoint)</t>
        </is>
      </c>
      <c r="B34" s="10">
        <f>-AVERAGE('I-Assumptions'!B22,'I-Assumptions'!B23)</f>
        <v/>
      </c>
      <c r="C34" s="5" t="inlineStr">
        <is>
          <t>I-Assumptions: transport, facilities, attrition</t>
        </is>
      </c>
    </row>
    <row r="35">
      <c r="A35" s="8" t="inlineStr">
        <is>
          <t>TOTAL PATH A SAVINGS (cross-check)</t>
        </is>
      </c>
      <c r="B35" s="9">
        <f>-SUM(B28:B34)</f>
        <v/>
      </c>
    </row>
    <row r="36">
      <c r="A36" s="8" t="inlineStr">
        <is>
          <t>Path A: FY28 adjusted budget</t>
        </is>
      </c>
      <c r="B36" s="11">
        <f>B22+SUM(B28:B34)</f>
        <v/>
      </c>
    </row>
    <row r="37">
      <c r="A37" s="12" t="inlineStr">
        <is>
          <t>Path A: FY28 increase from FY27</t>
        </is>
      </c>
      <c r="B37" s="13">
        <f>(B36-'C-FY28Projection'!B7)/'C-FY28Projection'!B7</f>
        <v/>
      </c>
    </row>
    <row r="38">
      <c r="A38" s="2" t="inlineStr">
        <is>
          <t>What does NOT change: PES stays PreK-5. All 3 elementary schools preserved.</t>
        </is>
      </c>
    </row>
    <row r="39">
      <c r="A39" s="2" t="inlineStr">
        <is>
          <t>EC distributed: SpEd classroom at MSS (64 PreK peers for LRE). Itinerant EC at all schools.</t>
        </is>
      </c>
    </row>
    <row r="40">
      <c r="A40" s="2" t="inlineStr">
        <is>
          <t>Net FTE reduction: ~2.4 teachers (from MS consolidation only).</t>
        </is>
      </c>
    </row>
    <row r="42">
      <c r="A42" s="3" t="inlineStr">
        <is>
          <t>PART 4: PATH B -- Scenario 2 / Full Restructuring (FY28)</t>
        </is>
      </c>
    </row>
    <row r="43">
      <c r="A43" s="2" t="inlineStr">
        <is>
          <t>Close PES as K-5. Pownal K-6 to DCS. All PreK to PES (EC center). District-wide 7-8 at FMS.</t>
        </is>
      </c>
    </row>
    <row r="44">
      <c r="A44" s="4" t="inlineStr">
        <is>
          <t>Component</t>
        </is>
      </c>
      <c r="B44" s="4" t="inlineStr">
        <is>
          <t>Gross Lens</t>
        </is>
      </c>
      <c r="C44" s="4" t="inlineStr">
        <is>
          <t>True Efficiency</t>
        </is>
      </c>
    </row>
    <row r="45">
      <c r="A45" s="5" t="inlineStr">
        <is>
          <t>PES instruction budget eliminated</t>
        </is>
      </c>
      <c r="B45" s="10">
        <f>'C-FY28Paths'!B18</f>
        <v/>
      </c>
      <c r="C45" s="5" t="inlineStr">
        <is>
          <t>--</t>
        </is>
      </c>
    </row>
    <row r="46">
      <c r="A46" s="5" t="inlineStr">
        <is>
          <t>MS consolidation savings (same as Path A)</t>
        </is>
      </c>
      <c r="B46" s="10">
        <f>-'C-MSConsol'!B21</f>
        <v/>
      </c>
      <c r="C46" s="10">
        <f>-'C-MSConsol'!B21</f>
        <v/>
      </c>
    </row>
    <row r="47">
      <c r="A47" s="5" t="inlineStr">
        <is>
          <t>Marginal teacher savings from PES closure</t>
        </is>
      </c>
      <c r="B47" s="5" t="inlineStr">
        <is>
          <t>--</t>
        </is>
      </c>
      <c r="C47" s="6">
        <f>'C-FY28Paths'!B29</f>
        <v/>
      </c>
    </row>
    <row r="48">
      <c r="A48" s="5" t="inlineStr">
        <is>
          <t>PES admin eliminated / DCS coordination</t>
        </is>
      </c>
      <c r="B48" s="5" t="inlineStr">
        <is>
          <t>--</t>
        </is>
      </c>
      <c r="C48" s="6">
        <f>'C-FY28Paths'!B30+'C-FY28Paths'!B31</f>
        <v/>
      </c>
    </row>
    <row r="49">
      <c r="A49" s="5" t="inlineStr">
        <is>
          <t>PES support services efficiency</t>
        </is>
      </c>
      <c r="B49" s="5" t="inlineStr">
        <is>
          <t>--</t>
        </is>
      </c>
      <c r="C49" s="6">
        <f>'C-FY28Paths'!B32</f>
        <v/>
      </c>
    </row>
    <row r="50">
      <c r="A50" s="5" t="inlineStr">
        <is>
          <t>Transport: Pownal K-6 to DCS (3 routes)</t>
        </is>
      </c>
      <c r="B50" s="10">
        <f>'C-FY28Paths'!B19</f>
        <v/>
      </c>
      <c r="C50" s="10">
        <f>'C-FY28Paths'!B19</f>
        <v/>
      </c>
    </row>
    <row r="51">
      <c r="A51" s="5" t="inlineStr">
        <is>
          <t>Transport: Freeport PreK to PES (3 routes)</t>
        </is>
      </c>
      <c r="B51" s="10">
        <f>'C-FY28Paths'!B20</f>
        <v/>
      </c>
      <c r="C51" s="10">
        <f>'C-FY28Paths'!B20</f>
        <v/>
      </c>
    </row>
    <row r="52">
      <c r="A52" s="5" t="inlineStr">
        <is>
          <t>Transport: Durham PreK to PES (2 routes)</t>
        </is>
      </c>
      <c r="B52" s="10">
        <f>'C-FY28Paths'!B21</f>
        <v/>
      </c>
      <c r="C52" s="10">
        <f>'C-FY28Paths'!B21</f>
        <v/>
      </c>
    </row>
    <row r="53">
      <c r="A53" s="5" t="inlineStr">
        <is>
          <t>DCS multi-community coordination</t>
        </is>
      </c>
      <c r="B53" s="10">
        <f>'C-FY28Paths'!B22</f>
        <v/>
      </c>
      <c r="C53" s="10">
        <f>-'I-Assumptions'!B20</f>
        <v/>
      </c>
    </row>
    <row r="54">
      <c r="A54" s="5" t="inlineStr">
        <is>
          <t>PES EC conversion (amortized over 10 yrs)</t>
        </is>
      </c>
      <c r="B54" s="10">
        <f>'C-FY28Paths'!B23</f>
        <v/>
      </c>
      <c r="C54" s="10">
        <f>'C-FY28Paths'!B23</f>
        <v/>
      </c>
    </row>
    <row r="55">
      <c r="A55" s="8" t="inlineStr">
        <is>
          <t>NET SAVINGS</t>
        </is>
      </c>
      <c r="B55" s="9">
        <f>'C-FY28Paths'!B24</f>
        <v/>
      </c>
      <c r="C55" s="14">
        <f>'C-FY28Paths'!B36</f>
        <v/>
      </c>
    </row>
    <row r="56">
      <c r="A56" s="2" t="inlineStr">
        <is>
          <t>Gross lens: treats full PES budget as eliminated. Ignores absorption costs.</t>
        </is>
      </c>
    </row>
    <row r="57">
      <c r="A57" s="2" t="inlineStr">
        <is>
          <t>True efficiency: tracks actual FTE changes. Pownal students still need teachers at DCS.</t>
        </is>
      </c>
    </row>
    <row r="58">
      <c r="A58" s="2" t="inlineStr">
        <is>
          <t>Total FTE saved (Scenario 2): ='I-FTE'!B42 vs. Path A: ='C-MSConsol'!B18</t>
        </is>
      </c>
    </row>
    <row r="60">
      <c r="A60" s="3" t="inlineStr">
        <is>
          <t>PART 5: Side-by-Side Comparison (FY28)</t>
        </is>
      </c>
    </row>
    <row r="61">
      <c r="A61" s="4" t="inlineStr">
        <is>
          <t>Metric</t>
        </is>
      </c>
      <c r="B61" s="4" t="inlineStr">
        <is>
          <t>No Action</t>
        </is>
      </c>
      <c r="C61" s="4" t="inlineStr">
        <is>
          <t>Path A</t>
        </is>
      </c>
      <c r="D61" s="4" t="inlineStr">
        <is>
          <t>Path B (gross)</t>
        </is>
      </c>
      <c r="E61" s="4" t="inlineStr">
        <is>
          <t>Path B (true)</t>
        </is>
      </c>
    </row>
    <row r="62">
      <c r="A62" s="8" t="inlineStr">
        <is>
          <t>FY28 Budget</t>
        </is>
      </c>
      <c r="B62" s="11">
        <f>'C-FY28Projection'!B23</f>
        <v/>
      </c>
      <c r="C62" s="11">
        <f>'C-FY28Projection'!B36</f>
        <v/>
      </c>
      <c r="D62" s="11">
        <f>'C-FY28Projection'!B37</f>
        <v/>
      </c>
      <c r="E62" s="11">
        <f>'C-FY28Projection'!B23-'C-FY28Paths'!B36</f>
        <v/>
      </c>
    </row>
    <row r="63">
      <c r="A63" s="12" t="inlineStr">
        <is>
          <t>Increase from FY27 adopted</t>
        </is>
      </c>
      <c r="B63" s="13">
        <f>(B62-'C-FY28Projection'!B7)/'C-FY28Projection'!B7</f>
        <v/>
      </c>
      <c r="C63" s="13">
        <f>(C62-'C-FY28Projection'!B7)/'C-FY28Projection'!B7</f>
        <v/>
      </c>
      <c r="D63" s="13">
        <f>(D62-'C-FY28Projection'!B7)/'C-FY28Projection'!B7</f>
        <v/>
      </c>
      <c r="E63" s="13">
        <f>(E62-'C-FY28Projection'!B7)/'C-FY28Projection'!B7</f>
        <v/>
      </c>
    </row>
    <row r="64">
      <c r="A64" s="5" t="inlineStr">
        <is>
          <t>Structural savings</t>
        </is>
      </c>
      <c r="B64" s="5" t="inlineStr">
        <is>
          <t>--</t>
        </is>
      </c>
      <c r="C64" s="6">
        <f>'C-FY28Paths'!B13</f>
        <v/>
      </c>
      <c r="D64" s="6">
        <f>'C-FY28Paths'!B24</f>
        <v/>
      </c>
      <c r="E64" s="10">
        <f>'C-FY28Paths'!B36</f>
        <v/>
      </c>
    </row>
    <row r="65">
      <c r="A65" s="5" t="inlineStr">
        <is>
          <t>Net FTE change</t>
        </is>
      </c>
      <c r="B65" s="5" t="inlineStr">
        <is>
          <t>0</t>
        </is>
      </c>
      <c r="C65" s="15">
        <f>-'C-MSConsol'!B18</f>
        <v/>
      </c>
      <c r="D65" s="15">
        <f>-'I-FTE'!B42</f>
        <v/>
      </c>
      <c r="E65" s="15">
        <f>-'I-FTE'!B42</f>
        <v/>
      </c>
    </row>
    <row r="66">
      <c r="A66" s="5" t="inlineStr">
        <is>
          <t>Marginal FTE beyond Path A</t>
        </is>
      </c>
      <c r="B66" s="5" t="inlineStr">
        <is>
          <t>--</t>
        </is>
      </c>
      <c r="C66" s="5" t="inlineStr">
        <is>
          <t>--</t>
        </is>
      </c>
      <c r="D66" s="16">
        <f>'I-FTE'!B42-'C-MSConsol'!B18</f>
        <v/>
      </c>
      <c r="E66" s="16">
        <f>D66</f>
        <v/>
      </c>
    </row>
    <row r="67">
      <c r="A67" s="5" t="inlineStr">
        <is>
          <t>EC mandate cost (in all scenarios)</t>
        </is>
      </c>
      <c r="B67" s="6">
        <f>'C-FY28Projection'!B19</f>
        <v/>
      </c>
      <c r="C67" s="6">
        <f>'C-FY28Projection'!B19</f>
        <v/>
      </c>
      <c r="D67" s="6">
        <f>'C-FY28Projection'!B19</f>
        <v/>
      </c>
      <c r="E67" s="6">
        <f>'C-FY28Projection'!B19</f>
        <v/>
      </c>
    </row>
    <row r="68">
      <c r="A68" s="5" t="inlineStr">
        <is>
          <t>PES PreK-5 preserved?</t>
        </is>
      </c>
      <c r="B68" s="5" t="inlineStr">
        <is>
          <t>Yes</t>
        </is>
      </c>
      <c r="C68" s="5" t="inlineStr">
        <is>
          <t>Yes</t>
        </is>
      </c>
      <c r="D68" s="5" t="inlineStr">
        <is>
          <t>No</t>
        </is>
      </c>
      <c r="E68" s="5" t="inlineStr">
        <is>
          <t>No</t>
        </is>
      </c>
    </row>
    <row r="69">
      <c r="A69" s="5" t="inlineStr">
        <is>
          <t>Young children in home community?</t>
        </is>
      </c>
      <c r="B69" s="5" t="inlineStr">
        <is>
          <t>Yes</t>
        </is>
      </c>
      <c r="C69" s="5" t="inlineStr">
        <is>
          <t>Yes</t>
        </is>
      </c>
      <c r="D69" s="5" t="inlineStr">
        <is>
          <t>No</t>
        </is>
      </c>
      <c r="E69" s="5" t="inlineStr">
        <is>
          <t>No</t>
        </is>
      </c>
    </row>
    <row r="70">
      <c r="A70" s="5" t="inlineStr">
        <is>
          <t>EC parent opt-out risk</t>
        </is>
      </c>
      <c r="B70" s="5" t="inlineStr">
        <is>
          <t>N/A</t>
        </is>
      </c>
      <c r="C70" s="5" t="inlineStr">
        <is>
          <t>Low</t>
        </is>
      </c>
      <c r="D70" s="5" t="inlineStr">
        <is>
          <t>High</t>
        </is>
      </c>
      <c r="E70" s="5" t="inlineStr">
        <is>
          <t>High</t>
        </is>
      </c>
    </row>
    <row r="71">
      <c r="A71" s="5" t="inlineStr">
        <is>
          <t>Political feasibility</t>
        </is>
      </c>
      <c r="B71" s="5" t="inlineStr">
        <is>
          <t>Low</t>
        </is>
      </c>
      <c r="C71" s="5" t="inlineStr">
        <is>
          <t>High</t>
        </is>
      </c>
      <c r="D71" s="5" t="inlineStr">
        <is>
          <t>Low</t>
        </is>
      </c>
      <c r="E71" s="5" t="inlineStr">
        <is>
          <t>Low</t>
        </is>
      </c>
    </row>
    <row r="72">
      <c r="A72" s="5" t="inlineStr">
        <is>
          <t>Reversible?</t>
        </is>
      </c>
      <c r="B72" s="5" t="inlineStr">
        <is>
          <t>--</t>
        </is>
      </c>
      <c r="C72" s="5" t="inlineStr">
        <is>
          <t>Yes</t>
        </is>
      </c>
      <c r="D72" s="5" t="inlineStr">
        <is>
          <t>No</t>
        </is>
      </c>
      <c r="E72" s="5" t="inlineStr">
        <is>
          <t>No</t>
        </is>
      </c>
    </row>
    <row r="74">
      <c r="A74" s="3" t="inlineStr">
        <is>
          <t>PART 6: Key Assumptions (adjust on I- sheets to test sensitivity)</t>
        </is>
      </c>
    </row>
    <row r="75">
      <c r="A75" s="4" t="inlineStr">
        <is>
          <t>Assumption</t>
        </is>
      </c>
      <c r="B75" s="4" t="inlineStr">
        <is>
          <t>Current Value</t>
        </is>
      </c>
      <c r="C75" s="4" t="inlineStr">
        <is>
          <t>Used In</t>
        </is>
      </c>
      <c r="D75" s="4" t="inlineStr">
        <is>
          <t>If Changed...</t>
        </is>
      </c>
    </row>
    <row r="76">
      <c r="A76" s="5" t="inlineStr">
        <is>
          <t>Cost per FTE</t>
        </is>
      </c>
      <c r="B76" s="6">
        <f>'I-Assumptions'!B8</f>
        <v/>
      </c>
      <c r="C76" s="5" t="inlineStr">
        <is>
          <t>C-MSConsol, C-FY28Paths</t>
        </is>
      </c>
      <c r="D76" s="5" t="inlineStr">
        <is>
          <t>Higher = more savings from consolidation</t>
        </is>
      </c>
    </row>
    <row r="77">
      <c r="A77" s="5" t="inlineStr">
        <is>
          <t>Target class size (7-8)</t>
        </is>
      </c>
      <c r="B77" s="17">
        <f>'I-Assumptions'!B9</f>
        <v/>
      </c>
      <c r="C77" s="5" t="inlineStr">
        <is>
          <t>C-MSConsol</t>
        </is>
      </c>
      <c r="D77" s="5" t="inlineStr">
        <is>
          <t>Lower target = fewer FTE saved</t>
        </is>
      </c>
    </row>
    <row r="78">
      <c r="A78" s="5" t="inlineStr">
        <is>
          <t>Bus route cost/year</t>
        </is>
      </c>
      <c r="B78" s="6">
        <f>'I-Assumptions'!B12</f>
        <v/>
      </c>
      <c r="C78" s="5" t="inlineStr">
        <is>
          <t>C-FY28Paths</t>
        </is>
      </c>
      <c r="D78" s="5" t="inlineStr">
        <is>
          <t>Higher = worse for Path B</t>
        </is>
      </c>
    </row>
    <row r="79">
      <c r="A79" s="5" t="inlineStr">
        <is>
          <t>EC net cost (midpoint)</t>
        </is>
      </c>
      <c r="B79" s="6">
        <f>'C-ECAnalysis'!D12</f>
        <v/>
      </c>
      <c r="C79" s="5" t="inlineStr">
        <is>
          <t>C-FY28Projection</t>
        </is>
      </c>
      <c r="D79" s="5" t="inlineStr">
        <is>
          <t>Higher = higher FY28 baseline for all paths</t>
        </is>
      </c>
    </row>
    <row r="80">
      <c r="A80" s="5" t="inlineStr">
        <is>
          <t>Cost growth rate (selected)</t>
        </is>
      </c>
      <c r="B80" s="7">
        <f>'C-FY28Projection'!B15</f>
        <v/>
      </c>
      <c r="C80" s="5" t="inlineStr">
        <is>
          <t>C-FY28Projection</t>
        </is>
      </c>
      <c r="D80" s="5" t="inlineStr">
        <is>
          <t>Higher growth = higher FY28 baseline</t>
        </is>
      </c>
    </row>
    <row r="81">
      <c r="A81" s="5" t="inlineStr">
        <is>
          <t>PES conversion cost</t>
        </is>
      </c>
      <c r="B81" s="6">
        <f>'I-Assumptions'!B17</f>
        <v/>
      </c>
      <c r="C81" s="5" t="inlineStr">
        <is>
          <t>C-FY28Paths</t>
        </is>
      </c>
      <c r="D81" s="5" t="inlineStr">
        <is>
          <t>Higher = worse for Path B</t>
        </is>
      </c>
    </row>
    <row r="82">
      <c r="A82" s="5" t="inlineStr">
        <is>
          <t>Support services efficiency %</t>
        </is>
      </c>
      <c r="B82" s="18">
        <f>'I-Assumptions'!B21</f>
        <v/>
      </c>
      <c r="C82" s="5" t="inlineStr">
        <is>
          <t>C-FY28Paths Path B</t>
        </is>
      </c>
      <c r="D82" s="5" t="inlineStr">
        <is>
          <t>Higher = more savings from PES closure</t>
        </is>
      </c>
    </row>
    <row r="84">
      <c r="A84" s="3" t="inlineStr">
        <is>
          <t>PART 7: What Does NOT Change Between Paths</t>
        </is>
      </c>
    </row>
    <row r="85">
      <c r="A85" s="2" t="inlineStr">
        <is>
          <t>EC mandate cost (~$690K/yr net) is identical in all scenarios. It is a state requirement.</t>
        </is>
      </c>
    </row>
    <row r="86">
      <c r="A86" s="2" t="inlineStr">
        <is>
          <t>FY27 budget is decided independently. Structural changes are FY28.</t>
        </is>
      </c>
    </row>
    <row r="87">
      <c r="A87" s="2" t="inlineStr">
        <is>
          <t>MS consolidation (7-8 at FMS, 6 at DCS) is common to BOTH Path A and Path B.</t>
        </is>
      </c>
    </row>
    <row r="88">
      <c r="A88" s="2" t="inlineStr">
        <is>
          <t>Per-student funding formula (EPS/ALM/RLC) is set by the state, not by restructuring.</t>
        </is>
      </c>
    </row>
    <row r="89">
      <c r="A89" s="2" t="inlineStr">
        <is>
          <t>Debt service ($1.07M) and CTE ($337K) are fixed regardless of school configuration.</t>
        </is>
      </c>
    </row>
    <row r="90">
      <c r="A90" s="2" t="inlineStr">
        <is>
          <t>The FY28 baseline depends on which FY27 budget passes. See C-FY28Projection.</t>
        </is>
      </c>
    </row>
    <row r="92">
      <c r="A92" s="3" t="inlineStr">
        <is>
          <t>PART 8: Quantified Risk Analysis (see C-RiskModel for detail)</t>
        </is>
      </c>
    </row>
    <row r="93">
      <c r="A93" s="4" t="inlineStr">
        <is>
          <t>Risk Factor</t>
        </is>
      </c>
      <c r="B93" s="4" t="inlineStr">
        <is>
          <t>Mid-Scenario Impact</t>
        </is>
      </c>
      <c r="C93" s="4" t="inlineStr">
        <is>
          <t>Notes</t>
        </is>
      </c>
    </row>
    <row r="94">
      <c r="A94" s="5" t="inlineStr">
        <is>
          <t>Property value decline (10%, Pownal)</t>
        </is>
      </c>
      <c r="B94" s="6">
        <f>'C-RiskModel'!C17</f>
        <v/>
      </c>
      <c r="C94" s="5" t="inlineStr">
        <is>
          <t>Total value lost; per-home ~$34K [Fn 20]</t>
        </is>
      </c>
    </row>
    <row r="95">
      <c r="A95" s="5" t="inlineStr">
        <is>
          <t xml:space="preserve">  RSU 5 tax revenue loss (annual)</t>
        </is>
      </c>
      <c r="B95" s="6">
        <f>'C-RiskModel'!B19</f>
        <v/>
      </c>
      <c r="C95" s="5" t="inlineStr">
        <is>
          <t>58.4% of lost property tax at $15.30/thousand</t>
        </is>
      </c>
    </row>
    <row r="96">
      <c r="A96" s="5" t="inlineStr">
        <is>
          <t>Enrollment attrition (10%)</t>
        </is>
      </c>
      <c r="B96" s="6">
        <f>'C-RiskModel'!D32</f>
        <v/>
      </c>
      <c r="C96" s="5" t="inlineStr">
        <is>
          <t>~11 students leave RSU 5; state aid lost annually</t>
        </is>
      </c>
    </row>
    <row r="97">
      <c r="A97" s="5" t="inlineStr">
        <is>
          <t>One-time transition costs (midpoint)</t>
        </is>
      </c>
      <c r="B97" s="6">
        <f>AVERAGE('C-RiskModel'!B63,'C-RiskModel'!C63)</f>
        <v/>
      </c>
      <c r="C97" s="5" t="inlineStr">
        <is>
          <t>Staff, conversion, legal, portables, tech</t>
        </is>
      </c>
    </row>
    <row r="98">
      <c r="A98" s="8" t="inlineStr">
        <is>
          <t>Total annual risk cost (mid scenario)</t>
        </is>
      </c>
      <c r="B98" s="9">
        <f>'C-RiskModel'!C76</f>
        <v/>
      </c>
      <c r="C98" s="12" t="inlineStr">
        <is>
          <t>Sum of quantified annual risks</t>
        </is>
      </c>
    </row>
    <row r="99">
      <c r="A99" s="8" t="inlineStr">
        <is>
          <t>PATH B RISK-ADJUSTED NET</t>
        </is>
      </c>
      <c r="B99" s="14">
        <f>'C-RiskModel'!B78</f>
        <v/>
      </c>
      <c r="C99" s="12" t="inlineStr">
        <is>
          <t>True net savings minus quantified risk costs</t>
        </is>
      </c>
    </row>
    <row r="100">
      <c r="A100" s="8" t="inlineStr">
        <is>
          <t>Break-even period (Path B vs Path A)</t>
        </is>
      </c>
      <c r="B100" s="19">
        <f>'C-RiskModel'!B86</f>
        <v/>
      </c>
      <c r="C100" s="12" t="inlineStr">
        <is>
          <t>If negative margin, one-time costs are NEVER recovered</t>
        </is>
      </c>
    </row>
    <row r="101">
      <c r="A101" s="2" t="inlineStr">
        <is>
          <t>IRREVERSIBILITY: Rebuilding a K-5 program after closure costs more than was saved.</t>
        </is>
      </c>
    </row>
    <row r="102">
      <c r="A102" s="2" t="inlineStr">
        <is>
          <t>EC OPT-OUT: At 20% opt-out, per-student EC cost rises; SpEd LRE risk is significant.</t>
        </is>
      </c>
    </row>
    <row r="103">
      <c r="A103" s="2" t="inlineStr">
        <is>
          <t>MAINE LAW: 20-A MRSA requires public hearings, Board vote, potential referendum. [Fn 28]</t>
        </is>
      </c>
    </row>
    <row r="104">
      <c r="A104" s="2" t="inlineStr">
        <is>
          <t>PATH A RISKS are primarily political/logistical, NOT financial or irreversible.</t>
        </is>
      </c>
    </row>
    <row r="106">
      <c r="A106" s="3" t="inlineStr">
        <is>
          <t>PART 9: Pownal Recourse Options (see C-Independence, C-LegalAnalysis)</t>
        </is>
      </c>
    </row>
    <row r="107">
      <c r="A107" s="2" t="inlineStr">
        <is>
          <t>If RSU 5 Board proceeds with Option 2, Pownal has several legal/strategic options.</t>
        </is>
      </c>
    </row>
    <row r="109">
      <c r="A109" s="4" t="inlineStr">
        <is>
          <t>Option</t>
        </is>
      </c>
      <c r="B109" s="4" t="inlineStr">
        <is>
          <t>Key Metric</t>
        </is>
      </c>
      <c r="C109" s="4" t="inlineStr">
        <is>
          <t>Notes</t>
        </is>
      </c>
    </row>
    <row r="110">
      <c r="A110" s="5" t="inlineStr">
        <is>
          <t>§1512 municipal veto (CONTESTED)</t>
        </is>
      </c>
      <c r="B110" s="6">
        <f>'C-Independence'!B13</f>
        <v/>
      </c>
      <c r="C110" s="5" t="inlineStr">
        <is>
          <t>Annual cost IF §1512 applies (likely does NOT for reconfiguration) [Fn 30][Fn 39]</t>
        </is>
      </c>
    </row>
    <row r="111">
      <c r="A111" s="5" t="inlineStr">
        <is>
          <t>Full withdrawal + tuition (§1466)</t>
        </is>
      </c>
      <c r="B111" s="10">
        <f>'C-Independence'!B32</f>
        <v/>
      </c>
      <c r="C111" s="5" t="inlineStr">
        <is>
          <t>Annual cost change vs. RSU assessment; gains full control [Fn 32]</t>
        </is>
      </c>
    </row>
    <row r="112">
      <c r="A112" s="5" t="inlineStr">
        <is>
          <t>Withdrawal + AOS shared services</t>
        </is>
      </c>
      <c r="B112" s="10">
        <f>'C-Independence'!B48</f>
        <v/>
      </c>
      <c r="C112" s="5" t="inlineStr">
        <is>
          <t>AOS reduces admin overhead; control + shared efficiency</t>
        </is>
      </c>
    </row>
    <row r="113">
      <c r="A113" s="5" t="inlineStr">
        <is>
          <t>K-8 PES expansion + HS tuition only (Scenario E)</t>
        </is>
      </c>
      <c r="B113" s="10">
        <f>'C-Independence'!B79</f>
        <v/>
      </c>
      <c r="C113" s="5" t="inlineStr">
        <is>
          <t>Operate K-8; tuition only 9-12; more control, trades tuition for staff</t>
        </is>
      </c>
    </row>
    <row r="114">
      <c r="A114" s="5" t="inlineStr">
        <is>
          <t>Legal challenge cost (low-high)</t>
        </is>
      </c>
      <c r="B114" s="6">
        <f>'C-Independence'!B56</f>
        <v/>
      </c>
      <c r="C114" s="5">
        <f>TEXT('C-Independence'!B57,"$#,##0")&amp;" high est.; ~35% success probability [Fn 30]"</f>
        <v/>
      </c>
    </row>
    <row r="115">
      <c r="A115" s="8" t="inlineStr">
        <is>
          <t>5-year cumulative cost of independence</t>
        </is>
      </c>
      <c r="B115" s="14">
        <f>'C-Independence'!B116</f>
        <v/>
      </c>
      <c r="C115" s="12" t="inlineStr">
        <is>
          <t>Total premium over 5 years including process costs</t>
        </is>
      </c>
    </row>
    <row r="116">
      <c r="A116" s="2" t="inlineStr">
        <is>
          <t>CRITICAL: §1512 veto likely does NOT apply to Option 2 (reconfiguration, not closure).</t>
        </is>
      </c>
    </row>
    <row r="117">
      <c r="A117" s="2" t="inlineStr">
        <is>
          <t>MSAD #1 precedent (2026): converting elem to PreK-Gr1 treated as admin action. [Fn 39]</t>
        </is>
      </c>
    </row>
    <row r="118">
      <c r="A118" s="2" t="inlineStr">
        <is>
          <t>WITHDRAWAL is the more reliable recourse. Process is reversible until final referendum.</t>
        </is>
      </c>
    </row>
    <row r="119">
      <c r="A119" s="2" t="inlineStr">
        <is>
          <t>FREEPORT tried RSU 5 withdrawal in 2014; failed by only 76 votes. Template exists. [Fn 33]</t>
        </is>
      </c>
    </row>
    <row r="120">
      <c r="A120" s="2" t="inlineStr">
        <is>
          <t>Property: PES building deeds back to Pownal upon withdrawal. [Fn 33][Fn 34]</t>
        </is>
      </c>
    </row>
    <row r="122">
      <c r="A122" s="3" t="inlineStr">
        <is>
          <t>PART 10: Per-Town Equity &amp; Cost-Sharing (see C-Equity, I-Equity)</t>
        </is>
      </c>
    </row>
    <row r="123">
      <c r="A123" s="2" t="inlineStr">
        <is>
          <t>Breaks down who pays vs. who consumes education in RSU 5. All formula-driven.</t>
        </is>
      </c>
    </row>
    <row r="125">
      <c r="A125" s="4" t="inlineStr">
        <is>
          <t>Metric</t>
        </is>
      </c>
      <c r="B125" s="4" t="inlineStr">
        <is>
          <t>Pownal</t>
        </is>
      </c>
      <c r="C125" s="4" t="inlineStr">
        <is>
          <t>Durham</t>
        </is>
      </c>
      <c r="D125" s="4" t="inlineStr">
        <is>
          <t>Freeport</t>
        </is>
      </c>
    </row>
    <row r="126">
      <c r="A126" s="5" t="inlineStr">
        <is>
          <t>Students (attributed to town)</t>
        </is>
      </c>
      <c r="B126" s="17">
        <f>'C-Equity'!B7</f>
        <v/>
      </c>
      <c r="C126" s="17">
        <f>'C-Equity'!C7</f>
        <v/>
      </c>
      <c r="D126" s="17">
        <f>'C-Equity'!D7</f>
        <v/>
      </c>
    </row>
    <row r="127">
      <c r="A127" s="5" t="inlineStr">
        <is>
          <t>Local tax assessment (RLC + ALM)</t>
        </is>
      </c>
      <c r="B127" s="6">
        <f>'C-Equity'!B8</f>
        <v/>
      </c>
      <c r="C127" s="6">
        <f>'C-Equity'!C8</f>
        <v/>
      </c>
      <c r="D127" s="6">
        <f>'C-Equity'!D8</f>
        <v/>
      </c>
    </row>
    <row r="128">
      <c r="A128" s="8" t="inlineStr">
        <is>
          <t>LOCAL TAX PER STUDENT</t>
        </is>
      </c>
      <c r="B128" s="9">
        <f>'C-Equity'!B10</f>
        <v/>
      </c>
      <c r="C128" s="9">
        <f>'C-Equity'!C10</f>
        <v/>
      </c>
      <c r="D128" s="9">
        <f>'C-Equity'!D10</f>
        <v/>
      </c>
    </row>
    <row r="129">
      <c r="A129" s="8" t="inlineStr">
        <is>
          <t>NET POSITION: ACTUAL CONSUMPTION</t>
        </is>
      </c>
      <c r="B129" s="14">
        <f>'C-Equity'!B20</f>
        <v/>
      </c>
      <c r="C129" s="14">
        <f>'C-Equity'!C20</f>
        <v/>
      </c>
      <c r="D129" s="14">
        <f>'C-Equity'!D20</f>
        <v/>
      </c>
    </row>
    <row r="130">
      <c r="A130" s="8" t="inlineStr">
        <is>
          <t>NET POSITION: EQUALIZED (avg cost)</t>
        </is>
      </c>
      <c r="B130" s="14">
        <f>'C-Equity'!B34</f>
        <v/>
      </c>
      <c r="C130" s="14">
        <f>'C-Equity'!C34</f>
        <v/>
      </c>
      <c r="D130" s="14">
        <f>'C-Equity'!D34</f>
        <v/>
      </c>
    </row>
    <row r="131">
      <c r="A131" s="8" t="inlineStr">
        <is>
          <t>Fairness ratio (1.0 = equitable)</t>
        </is>
      </c>
      <c r="B131" s="20">
        <f>'C-Equity'!B65</f>
        <v/>
      </c>
      <c r="C131" s="20">
        <f>'C-Equity'!C65</f>
        <v/>
      </c>
      <c r="D131" s="20">
        <f>'C-Equity'!D65</f>
        <v/>
      </c>
    </row>
    <row r="132">
      <c r="A132" s="8" t="inlineStr">
        <is>
          <t>3-year assessment increase (Pownal)</t>
        </is>
      </c>
      <c r="B132" s="13">
        <f>'C-Equity'!B54</f>
        <v/>
      </c>
      <c r="C132" s="5" t="inlineStr">
        <is>
          <t>FY24 audited → FY27 proposed [Fn 43][Fn 3]</t>
        </is>
      </c>
    </row>
    <row r="133">
      <c r="A133" s="8" t="inlineStr">
        <is>
          <t>Cost-sharing formula penalty (Pownal ALM)</t>
        </is>
      </c>
      <c r="B133" s="14">
        <f>'C-Equity'!B46</f>
        <v/>
      </c>
      <c r="C133" s="5" t="inlineStr">
        <is>
          <t>vs. enrollment-only allocation [Fn 41]</t>
        </is>
      </c>
    </row>
    <row r="134">
      <c r="A134" s="2" t="inlineStr">
        <is>
          <t>ACTUAL CONSUMPTION: Pownal has a modest deficit (~$267K) due to PES cost premium.</t>
        </is>
      </c>
    </row>
    <row r="135">
      <c r="A135" s="2" t="inlineStr">
        <is>
          <t>TAX BURDEN: Pownal pays ~2x per-student local tax vs. Durham ($21.7K vs $11K).</t>
        </is>
      </c>
    </row>
    <row r="136">
      <c r="A136" s="2" t="inlineStr">
        <is>
          <t>FORMULA IMPACT: ALM formula penalizes Pownal $382K/yr vs a per-student split.</t>
        </is>
      </c>
    </row>
    <row r="137">
      <c r="A137" s="2" t="inlineStr">
        <is>
          <t>Both lenses are presented in C-Equity (sections 2A and 2B) for full objectivity.</t>
        </is>
      </c>
    </row>
    <row r="139">
      <c r="A139" s="3" t="inlineStr">
        <is>
          <t>PART 11: DOE Staffing Trends (see C-DOEStaffing, I-DOEStaffing) [Fn 45]</t>
        </is>
      </c>
    </row>
    <row r="140">
      <c r="A140" s="2" t="inlineStr">
        <is>
          <t>Independent Maine DOE data (Dec 1 headcounts, 2016-2026). Requested by Mark Dohle.</t>
        </is>
      </c>
    </row>
    <row r="142">
      <c r="A142" s="4" t="inlineStr">
        <is>
          <t>Metric</t>
        </is>
      </c>
      <c r="B142" s="4" t="inlineStr">
        <is>
          <t>Value</t>
        </is>
      </c>
      <c r="C142" s="4" t="inlineStr">
        <is>
          <t>Notes</t>
        </is>
      </c>
    </row>
    <row r="143">
      <c r="A143" s="5" t="inlineStr">
        <is>
          <t>PES total FTE (2016)</t>
        </is>
      </c>
      <c r="B143" s="16">
        <f>'C-DOEStaffing'!B7</f>
        <v/>
      </c>
      <c r="C143" s="5" t="inlineStr">
        <is>
          <t>DOE Dec 1 headcount, all position categories</t>
        </is>
      </c>
    </row>
    <row r="144">
      <c r="A144" s="5" t="inlineStr">
        <is>
          <t>PES total FTE (2026)</t>
        </is>
      </c>
      <c r="B144" s="16">
        <f>'C-DOEStaffing'!C7</f>
        <v/>
      </c>
      <c r="C144" s="5" t="inlineStr">
        <is>
          <t>Most recent DOE data available</t>
        </is>
      </c>
    </row>
    <row r="145">
      <c r="A145" s="8" t="inlineStr">
        <is>
          <t>PES 10-year FTE change</t>
        </is>
      </c>
      <c r="B145" s="21">
        <f>'C-DOEStaffing'!E7</f>
        <v/>
      </c>
      <c r="C145" s="12" t="inlineStr">
        <is>
          <t>ONLY school with negative change; all others +3.9% to +36.5%</t>
        </is>
      </c>
    </row>
    <row r="146">
      <c r="A146" s="5" t="inlineStr">
        <is>
          <t>District-wide (central) 10-year FTE change</t>
        </is>
      </c>
      <c r="B146" s="22">
        <f>'C-DOEStaffing'!E13</f>
        <v/>
      </c>
      <c r="C146" s="5" t="inlineStr">
        <is>
          <t>Central office grew 103.9 to 139.8 FTE (+35.9 positions)</t>
        </is>
      </c>
    </row>
    <row r="147">
      <c r="A147" s="8" t="inlineStr">
        <is>
          <t>PES share of district FTE (2026)</t>
        </is>
      </c>
      <c r="B147" s="23">
        <f>'C-DOEStaffing'!D30</f>
        <v/>
      </c>
      <c r="C147" s="12" t="inlineStr">
        <is>
          <t>PES enrollment ~10.5%; FTE share less than half of enrollment share</t>
        </is>
      </c>
    </row>
    <row r="148">
      <c r="A148" s="8" t="inlineStr">
        <is>
          <t>PES instructional staff 10-year change</t>
        </is>
      </c>
      <c r="B148" s="24">
        <f>'C-DOEStaffing'!D38</f>
        <v/>
      </c>
      <c r="C148" s="12" t="inlineStr">
        <is>
          <t>Teachers+EdTechs+SpEd; other elem schools gained +8.4 to +15.1</t>
        </is>
      </c>
    </row>
    <row r="149">
      <c r="A149" s="8" t="inlineStr">
        <is>
          <t>PES staffing gap vs enrollment share</t>
        </is>
      </c>
      <c r="B149" s="21">
        <f>'C-DOEStaffing'!B33</f>
        <v/>
      </c>
      <c r="C149" s="12" t="inlineStr">
        <is>
          <t>Negative = PES receives less staff than its enrollment share would warrant</t>
        </is>
      </c>
    </row>
    <row r="150">
      <c r="A150" s="2" t="inlineStr">
        <is>
          <t>CONCLUSION: PES per-student cost premium is NOT from overstaffing. PES runs leaner</t>
        </is>
      </c>
    </row>
    <row r="151">
      <c r="A151" s="2" t="inlineStr">
        <is>
          <t>than every other school and has been cut harder over the decade. The cost premium</t>
        </is>
      </c>
    </row>
    <row r="152">
      <c r="A152" s="2" t="inlineStr">
        <is>
          <t>exists purely because fixed costs (admin, facilities) are spread over fewer students.</t>
        </is>
      </c>
    </row>
    <row r="154">
      <c r="A154" s="3" t="inlineStr">
        <is>
          <t>KEY FINDINGS</t>
        </is>
      </c>
    </row>
    <row r="155">
      <c r="A155" s="2" t="inlineStr">
        <is>
          <t>1. FY27 is a standalone budget vote. It does not include EC or restructuring costs.</t>
        </is>
      </c>
    </row>
    <row r="156">
      <c r="A156" s="2" t="inlineStr">
        <is>
          <t>2. The proposed 6.53% FY27 increase is within the range of recent voter approvals.</t>
        </is>
      </c>
    </row>
    <row r="157">
      <c r="A157" s="2" t="inlineStr">
        <is>
          <t>3. The FY27 budget already includes $1.72M in staff/program cuts (13 T1 + 7 T2 positions).</t>
        </is>
      </c>
    </row>
    <row r="158">
      <c r="A158" s="2" t="inlineStr">
        <is>
          <t>4. EC mandate costs (~$690K/yr net) arrive in FY28, regardless of any restructuring decision.</t>
        </is>
      </c>
    </row>
    <row r="159">
      <c r="A159" s="2" t="inlineStr">
        <is>
          <t>5. Path A and Path B share the same MS consolidation (grades 7-8 at FMS, 6 at DCS).</t>
        </is>
      </c>
    </row>
    <row r="160">
      <c r="A160" s="2" t="inlineStr">
        <is>
          <t>6. The MARGINAL savings from closing PES (beyond what Path A achieves) are ~2.1 FTE.</t>
        </is>
      </c>
    </row>
    <row r="161">
      <c r="A161" s="2" t="inlineStr">
        <is>
          <t>7. After transportation ($600K) and conversion ($74K/yr), Path B TRUE NET is approximately -$161K.</t>
        </is>
      </c>
    </row>
    <row r="162">
      <c r="A162" s="2" t="inlineStr">
        <is>
          <t>8. The gross-lens analysis overstates Path B savings by ~$1.3M because it ignores absorption.</t>
        </is>
      </c>
    </row>
    <row r="163">
      <c r="A163" s="2" t="inlineStr">
        <is>
          <t>9. RISK-ADJUSTED: Property value losses (~$39M at 10%), enrollment attrition, and transition</t>
        </is>
      </c>
    </row>
    <row r="164">
      <c r="A164" s="2" t="inlineStr">
        <is>
          <t xml:space="preserve">   costs make Path B significantly worse. See C-RiskModel for full quantification.</t>
        </is>
      </c>
    </row>
    <row r="165">
      <c r="A165" s="2" t="inlineStr">
        <is>
          <t>10. The FY28 baseline depends on which FY27 budget voters approve. See sensitivity matrix.</t>
        </is>
      </c>
    </row>
    <row r="166">
      <c r="A166" s="2" t="inlineStr">
        <is>
          <t>11. Both paths require EC investment. The question is distributed (Path A) vs. centralized (Path B).</t>
        </is>
      </c>
    </row>
    <row r="167">
      <c r="A167" s="2" t="inlineStr">
        <is>
          <t>12. Break-even analysis: Path B's one-time costs are NEVER recovered if marginal savings are negative.</t>
        </is>
      </c>
    </row>
    <row r="168">
      <c r="A168" s="2" t="inlineStr">
        <is>
          <t>13. §1512 VETO likely does NOT apply to Option 2 (reconfiguration, not closure). [Fn 30][Fn 39]</t>
        </is>
      </c>
    </row>
    <row r="169">
      <c r="A169" s="2" t="inlineStr">
        <is>
          <t>14. RSU WITHDRAWAL (§1466) is Pownal's most reliable recourse. 22-step process, 1-2 years. [Fn 32]</t>
        </is>
      </c>
    </row>
    <row r="170">
      <c r="A170" s="2" t="inlineStr">
        <is>
          <t>15. Freeport attempted RSU 5 withdrawal in 2014; full agreement exists as template. [Fn 33]</t>
        </is>
      </c>
    </row>
    <row r="171">
      <c r="A171" s="2" t="inlineStr">
        <is>
          <t>16. PES building would deed back to Pownal upon withdrawal (§12 of Freeport agreement). [Fn 33][Fn 34]</t>
        </is>
      </c>
    </row>
    <row r="172">
      <c r="A172" s="2" t="inlineStr">
        <is>
          <t>17. EQUITY: Pownal pays the highest per-student local tax burden in RSU 5. [Fn 3][Fn 43]</t>
        </is>
      </c>
    </row>
    <row r="173">
      <c r="A173" s="2" t="inlineStr">
        <is>
          <t>18. Pownal has a modest consumption deficit (~$267K) but overpays by ~$382K under the ALM formula. [Fn 3][Fn 8]</t>
        </is>
      </c>
    </row>
    <row r="174">
      <c r="A174" s="2" t="inlineStr">
        <is>
          <t>19. Pownal's assessment grew ~30% over 3 years (FY24-FY27), outpacing RSU budget growth. [Fn 43][Fn 3]</t>
        </is>
      </c>
    </row>
    <row r="175">
      <c r="A175" s="2" t="inlineStr">
        <is>
          <t>20. The 85/15 cost-sharing formula penalizes high-valuation towns disproportionately. [Fn 41][Fn 42]</t>
        </is>
      </c>
    </row>
    <row r="176">
      <c r="A176" s="2" t="inlineStr">
        <is>
          <t>21. DOE DATA: PES is the only RSU 5 school with negative 10-year FTE change (-8.0%). [Fn 45]</t>
        </is>
      </c>
    </row>
    <row r="177">
      <c r="A177" s="2" t="inlineStr">
        <is>
          <t>22. DOE DATA: District-wide (central office) FTE grew +34.6% over the same period. [Fn 45]</t>
        </is>
      </c>
    </row>
    <row r="178">
      <c r="A178" s="2" t="inlineStr">
        <is>
          <t>23. DOE DATA: PES share of district FTE fell from 5.9% to 3.9%, vs ~10.5% enrollment share. [Fn 45]</t>
        </is>
      </c>
    </row>
    <row r="179">
      <c r="A179" s="2" t="inlineStr">
        <is>
          <t>24. DOE DATA: PES per-student cost premium is NOT from overstaffing; PES runs leaner than all peers. [Fn 45]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>
      <c r="A1" s="1" t="inlineStr">
        <is>
          <t>CALC: DOE Staffing Trend Analysis</t>
        </is>
      </c>
    </row>
    <row r="3">
      <c r="A3" s="2" t="inlineStr">
        <is>
          <t>All values are formulas referencing I-DOEStaffing. Source: Maine DOE [Fn 45]</t>
        </is>
      </c>
    </row>
    <row r="5">
      <c r="A5" s="3" t="inlineStr">
        <is>
          <t>1. Ten-Year Total FTE Change by School (2016 to 2026)</t>
        </is>
      </c>
    </row>
    <row r="6">
      <c r="A6" s="4" t="inlineStr">
        <is>
          <t>School</t>
        </is>
      </c>
      <c r="B6" s="4" t="inlineStr">
        <is>
          <t>2016 FTE</t>
        </is>
      </c>
      <c r="C6" s="4" t="inlineStr">
        <is>
          <t>2026 FTE</t>
        </is>
      </c>
      <c r="D6" s="4" t="inlineStr">
        <is>
          <t>Change</t>
        </is>
      </c>
      <c r="E6" s="4" t="inlineStr">
        <is>
          <t>% Change</t>
        </is>
      </c>
    </row>
    <row r="7">
      <c r="A7" s="5" t="inlineStr">
        <is>
          <t>PES (Pownal Elementary)</t>
        </is>
      </c>
      <c r="B7" s="16">
        <f>'I-DOEStaffing'!B11</f>
        <v/>
      </c>
      <c r="C7" s="16">
        <f>'I-DOEStaffing'!L11</f>
        <v/>
      </c>
      <c r="D7" s="15">
        <f>C7-B7</f>
        <v/>
      </c>
      <c r="E7" s="22">
        <f>D7/B7</f>
        <v/>
      </c>
    </row>
    <row r="8">
      <c r="A8" s="5" t="inlineStr">
        <is>
          <t>DCS (Durham Community)</t>
        </is>
      </c>
      <c r="B8" s="16">
        <f>'I-DOEStaffing'!B12</f>
        <v/>
      </c>
      <c r="C8" s="16">
        <f>'I-DOEStaffing'!L12</f>
        <v/>
      </c>
      <c r="D8" s="15">
        <f>C8-B8</f>
        <v/>
      </c>
      <c r="E8" s="22">
        <f>D8/B8</f>
        <v/>
      </c>
    </row>
    <row r="9">
      <c r="A9" s="5" t="inlineStr">
        <is>
          <t>MSS (Morse Street)</t>
        </is>
      </c>
      <c r="B9" s="16">
        <f>'I-DOEStaffing'!B13</f>
        <v/>
      </c>
      <c r="C9" s="16">
        <f>'I-DOEStaffing'!L13</f>
        <v/>
      </c>
      <c r="D9" s="15">
        <f>C9-B9</f>
        <v/>
      </c>
      <c r="E9" s="22">
        <f>D9/B9</f>
        <v/>
      </c>
    </row>
    <row r="10">
      <c r="A10" s="5" t="inlineStr">
        <is>
          <t>MLS (Mast Landing)</t>
        </is>
      </c>
      <c r="B10" s="16">
        <f>'I-DOEStaffing'!B14</f>
        <v/>
      </c>
      <c r="C10" s="16">
        <f>'I-DOEStaffing'!L14</f>
        <v/>
      </c>
      <c r="D10" s="15">
        <f>C10-B10</f>
        <v/>
      </c>
      <c r="E10" s="22">
        <f>D10/B10</f>
        <v/>
      </c>
    </row>
    <row r="11">
      <c r="A11" s="5" t="inlineStr">
        <is>
          <t>FMS (Freeport Middle)</t>
        </is>
      </c>
      <c r="B11" s="16">
        <f>'I-DOEStaffing'!B15</f>
        <v/>
      </c>
      <c r="C11" s="16">
        <f>'I-DOEStaffing'!L15</f>
        <v/>
      </c>
      <c r="D11" s="15">
        <f>C11-B11</f>
        <v/>
      </c>
      <c r="E11" s="22">
        <f>D11/B11</f>
        <v/>
      </c>
    </row>
    <row r="12">
      <c r="A12" s="5" t="inlineStr">
        <is>
          <t>FHS (Freeport High)</t>
        </is>
      </c>
      <c r="B12" s="16">
        <f>'I-DOEStaffing'!B16</f>
        <v/>
      </c>
      <c r="C12" s="16">
        <f>'I-DOEStaffing'!L16</f>
        <v/>
      </c>
      <c r="D12" s="15">
        <f>C12-B12</f>
        <v/>
      </c>
      <c r="E12" s="22">
        <f>D12/B12</f>
        <v/>
      </c>
    </row>
    <row r="13">
      <c r="A13" s="5" t="inlineStr">
        <is>
          <t>District-wide (central)</t>
        </is>
      </c>
      <c r="B13" s="16">
        <f>'I-DOEStaffing'!B17</f>
        <v/>
      </c>
      <c r="C13" s="16">
        <f>'I-DOEStaffing'!L17</f>
        <v/>
      </c>
      <c r="D13" s="15">
        <f>C13-B13</f>
        <v/>
      </c>
      <c r="E13" s="22">
        <f>D13/B13</f>
        <v/>
      </c>
    </row>
    <row r="15">
      <c r="A15" s="8" t="inlineStr">
        <is>
          <t>GRAND TOTAL</t>
        </is>
      </c>
      <c r="B15" s="25">
        <f>'I-DOEStaffing'!B18</f>
        <v/>
      </c>
      <c r="C15" s="25">
        <f>'I-DOEStaffing'!L18</f>
        <v/>
      </c>
      <c r="D15" s="26">
        <f>C15-B15</f>
        <v/>
      </c>
      <c r="E15" s="27">
        <f>D15/B15</f>
        <v/>
      </c>
    </row>
    <row r="17">
      <c r="A17" s="3" t="inlineStr">
        <is>
          <t>2. PES Share of District Total FTE (Trend)</t>
        </is>
      </c>
    </row>
    <row r="18">
      <c r="A18" s="2" t="inlineStr">
        <is>
          <t>Compares PES's share of total staffing to its share of enrollment (~10.5%).</t>
        </is>
      </c>
    </row>
    <row r="19">
      <c r="A19" s="4" t="inlineStr">
        <is>
          <t>Year</t>
        </is>
      </c>
      <c r="B19" s="4" t="inlineStr">
        <is>
          <t>PES FTE</t>
        </is>
      </c>
      <c r="C19" s="4" t="inlineStr">
        <is>
          <t>Grand Total</t>
        </is>
      </c>
      <c r="D19" s="4" t="inlineStr">
        <is>
          <t>PES Share</t>
        </is>
      </c>
    </row>
    <row r="20">
      <c r="A20" s="5" t="n">
        <v>2016</v>
      </c>
      <c r="B20" s="16">
        <f>'I-DOEStaffing'!B11</f>
        <v/>
      </c>
      <c r="C20" s="16">
        <f>'I-DOEStaffing'!B18</f>
        <v/>
      </c>
      <c r="D20" s="18">
        <f>B20/C20</f>
        <v/>
      </c>
    </row>
    <row r="21">
      <c r="A21" s="5" t="n">
        <v>2017</v>
      </c>
      <c r="B21" s="16">
        <f>'I-DOEStaffing'!C11</f>
        <v/>
      </c>
      <c r="C21" s="16">
        <f>'I-DOEStaffing'!C18</f>
        <v/>
      </c>
      <c r="D21" s="18">
        <f>B21/C21</f>
        <v/>
      </c>
    </row>
    <row r="22">
      <c r="A22" s="5" t="n">
        <v>2018</v>
      </c>
      <c r="B22" s="16">
        <f>'I-DOEStaffing'!D11</f>
        <v/>
      </c>
      <c r="C22" s="16">
        <f>'I-DOEStaffing'!D18</f>
        <v/>
      </c>
      <c r="D22" s="18">
        <f>B22/C22</f>
        <v/>
      </c>
    </row>
    <row r="23">
      <c r="A23" s="5" t="n">
        <v>2019</v>
      </c>
      <c r="B23" s="16">
        <f>'I-DOEStaffing'!E11</f>
        <v/>
      </c>
      <c r="C23" s="16">
        <f>'I-DOEStaffing'!E18</f>
        <v/>
      </c>
      <c r="D23" s="18">
        <f>B23/C23</f>
        <v/>
      </c>
    </row>
    <row r="24">
      <c r="A24" s="5" t="n">
        <v>2020</v>
      </c>
      <c r="B24" s="16">
        <f>'I-DOEStaffing'!F11</f>
        <v/>
      </c>
      <c r="C24" s="16">
        <f>'I-DOEStaffing'!F18</f>
        <v/>
      </c>
      <c r="D24" s="18">
        <f>B24/C24</f>
        <v/>
      </c>
    </row>
    <row r="25">
      <c r="A25" s="5" t="n">
        <v>2021</v>
      </c>
      <c r="B25" s="16">
        <f>'I-DOEStaffing'!G11</f>
        <v/>
      </c>
      <c r="C25" s="16">
        <f>'I-DOEStaffing'!G18</f>
        <v/>
      </c>
      <c r="D25" s="18">
        <f>B25/C25</f>
        <v/>
      </c>
    </row>
    <row r="26">
      <c r="A26" s="5" t="n">
        <v>2022</v>
      </c>
      <c r="B26" s="16">
        <f>'I-DOEStaffing'!H11</f>
        <v/>
      </c>
      <c r="C26" s="16">
        <f>'I-DOEStaffing'!H18</f>
        <v/>
      </c>
      <c r="D26" s="18">
        <f>B26/C26</f>
        <v/>
      </c>
    </row>
    <row r="27">
      <c r="A27" s="5" t="n">
        <v>2023</v>
      </c>
      <c r="B27" s="16">
        <f>'I-DOEStaffing'!I11</f>
        <v/>
      </c>
      <c r="C27" s="16">
        <f>'I-DOEStaffing'!I18</f>
        <v/>
      </c>
      <c r="D27" s="18">
        <f>B27/C27</f>
        <v/>
      </c>
    </row>
    <row r="28">
      <c r="A28" s="5" t="n">
        <v>2024</v>
      </c>
      <c r="B28" s="16">
        <f>'I-DOEStaffing'!J11</f>
        <v/>
      </c>
      <c r="C28" s="16">
        <f>'I-DOEStaffing'!J18</f>
        <v/>
      </c>
      <c r="D28" s="18">
        <f>B28/C28</f>
        <v/>
      </c>
    </row>
    <row r="29">
      <c r="A29" s="5" t="n">
        <v>2025</v>
      </c>
      <c r="B29" s="16">
        <f>'I-DOEStaffing'!K11</f>
        <v/>
      </c>
      <c r="C29" s="16">
        <f>'I-DOEStaffing'!K18</f>
        <v/>
      </c>
      <c r="D29" s="18">
        <f>B29/C29</f>
        <v/>
      </c>
    </row>
    <row r="30">
      <c r="A30" s="5" t="n">
        <v>2026</v>
      </c>
      <c r="B30" s="16">
        <f>'I-DOEStaffing'!L11</f>
        <v/>
      </c>
      <c r="C30" s="16">
        <f>'I-DOEStaffing'!L18</f>
        <v/>
      </c>
      <c r="D30" s="18">
        <f>B30/C30</f>
        <v/>
      </c>
    </row>
    <row r="32">
      <c r="A32" s="8" t="inlineStr">
        <is>
          <t>PES enrollment share (FY27)</t>
        </is>
      </c>
      <c r="B32" s="28">
        <f>'I-Enrollment'!F12</f>
        <v/>
      </c>
      <c r="C32" s="28">
        <f>SUM('I-Enrollment'!F10:'I-Enrollment'!F15)</f>
        <v/>
      </c>
      <c r="D32" s="23">
        <f>B32/C32</f>
        <v/>
      </c>
    </row>
    <row r="33">
      <c r="A33" s="8" t="inlineStr">
        <is>
          <t>STAFFING GAP: PES FTE share vs enrollment share</t>
        </is>
      </c>
      <c r="B33" s="21">
        <f>D30-D32</f>
        <v/>
      </c>
    </row>
    <row r="35">
      <c r="A35" s="3" t="inlineStr">
        <is>
          <t>3. Instructional Staff (Teachers + Ed Techs + SpEd): 10-Year Change</t>
        </is>
      </c>
    </row>
    <row r="36">
      <c r="A36" s="2" t="inlineStr">
        <is>
          <t>Combined Classroom Teacher + Ed Tech (I/II/III) + Special Ed Teacher FTE.</t>
        </is>
      </c>
    </row>
    <row r="37">
      <c r="A37" s="4" t="inlineStr">
        <is>
          <t>School</t>
        </is>
      </c>
      <c r="B37" s="4" t="inlineStr">
        <is>
          <t>2016 Instr</t>
        </is>
      </c>
      <c r="C37" s="4" t="inlineStr">
        <is>
          <t>2026 Instr</t>
        </is>
      </c>
      <c r="D37" s="4" t="inlineStr">
        <is>
          <t>Change</t>
        </is>
      </c>
      <c r="E37" s="4" t="inlineStr">
        <is>
          <t>% Change</t>
        </is>
      </c>
    </row>
    <row r="38">
      <c r="A38" s="5" t="inlineStr">
        <is>
          <t>PES</t>
        </is>
      </c>
      <c r="B38" s="16">
        <f>'I-DOEStaffing'!B23+'I-DOEStaffing'!B43+'I-DOEStaffing'!B33</f>
        <v/>
      </c>
      <c r="C38" s="16">
        <f>'I-DOEStaffing'!L23+'I-DOEStaffing'!L43+'I-DOEStaffing'!L33</f>
        <v/>
      </c>
      <c r="D38" s="15">
        <f>C38-B38</f>
        <v/>
      </c>
      <c r="E38" s="22">
        <f>D38/B38</f>
        <v/>
      </c>
    </row>
    <row r="39">
      <c r="A39" s="5" t="inlineStr">
        <is>
          <t>DCS</t>
        </is>
      </c>
      <c r="B39" s="16">
        <f>'I-DOEStaffing'!B24+'I-DOEStaffing'!B44+'I-DOEStaffing'!B34</f>
        <v/>
      </c>
      <c r="C39" s="16">
        <f>'I-DOEStaffing'!L24+'I-DOEStaffing'!L44+'I-DOEStaffing'!L34</f>
        <v/>
      </c>
      <c r="D39" s="15">
        <f>C39-B39</f>
        <v/>
      </c>
      <c r="E39" s="22">
        <f>D39/B39</f>
        <v/>
      </c>
    </row>
    <row r="40">
      <c r="A40" s="5" t="inlineStr">
        <is>
          <t>MSS</t>
        </is>
      </c>
      <c r="B40" s="16">
        <f>'I-DOEStaffing'!B25+'I-DOEStaffing'!B45+'I-DOEStaffing'!B35</f>
        <v/>
      </c>
      <c r="C40" s="16">
        <f>'I-DOEStaffing'!L25+'I-DOEStaffing'!L45+'I-DOEStaffing'!L35</f>
        <v/>
      </c>
      <c r="D40" s="15">
        <f>C40-B40</f>
        <v/>
      </c>
      <c r="E40" s="22">
        <f>D40/B40</f>
        <v/>
      </c>
    </row>
    <row r="41">
      <c r="A41" s="5" t="inlineStr">
        <is>
          <t>MLS</t>
        </is>
      </c>
      <c r="B41" s="16">
        <f>'I-DOEStaffing'!B26+'I-DOEStaffing'!B46+'I-DOEStaffing'!B36</f>
        <v/>
      </c>
      <c r="C41" s="16">
        <f>'I-DOEStaffing'!L26+'I-DOEStaffing'!L46+'I-DOEStaffing'!L36</f>
        <v/>
      </c>
      <c r="D41" s="15">
        <f>C41-B41</f>
        <v/>
      </c>
      <c r="E41" s="22">
        <f>D41/B41</f>
        <v/>
      </c>
    </row>
    <row r="42">
      <c r="A42" s="5" t="inlineStr">
        <is>
          <t>FMS</t>
        </is>
      </c>
      <c r="B42" s="16">
        <f>'I-DOEStaffing'!B27+'I-DOEStaffing'!B47+'I-DOEStaffing'!B37</f>
        <v/>
      </c>
      <c r="C42" s="16">
        <f>'I-DOEStaffing'!L27+'I-DOEStaffing'!L47+'I-DOEStaffing'!L37</f>
        <v/>
      </c>
      <c r="D42" s="15">
        <f>C42-B42</f>
        <v/>
      </c>
      <c r="E42" s="22">
        <f>D42/B42</f>
        <v/>
      </c>
    </row>
    <row r="43">
      <c r="A43" s="5" t="inlineStr">
        <is>
          <t>FHS</t>
        </is>
      </c>
      <c r="B43" s="16">
        <f>'I-DOEStaffing'!B28+'I-DOEStaffing'!B48+'I-DOEStaffing'!B38</f>
        <v/>
      </c>
      <c r="C43" s="16">
        <f>'I-DOEStaffing'!L28+'I-DOEStaffing'!L48+'I-DOEStaffing'!L38</f>
        <v/>
      </c>
      <c r="D43" s="15">
        <f>C43-B43</f>
        <v/>
      </c>
      <c r="E43" s="22">
        <f>D43/B43</f>
        <v/>
      </c>
    </row>
    <row r="46">
      <c r="A46" s="3" t="inlineStr">
        <is>
          <t>4. PES Special Education Staffing (Trend)</t>
        </is>
      </c>
    </row>
    <row r="47">
      <c r="A47" s="2" t="inlineStr">
        <is>
          <t>PES SpEd FTE hit 0.0 in school years 2022-23 and 2023-24.</t>
        </is>
      </c>
    </row>
    <row r="48">
      <c r="A48" s="4" t="inlineStr">
        <is>
          <t>Year</t>
        </is>
      </c>
      <c r="B48" s="4" t="inlineStr">
        <is>
          <t>PES SpEd FTE</t>
        </is>
      </c>
      <c r="C48" s="4" t="inlineStr">
        <is>
          <t>District Elem Avg</t>
        </is>
      </c>
      <c r="D48" s="4" t="inlineStr">
        <is>
          <t>PES vs Avg</t>
        </is>
      </c>
    </row>
    <row r="49">
      <c r="A49" s="5" t="n">
        <v>2016</v>
      </c>
      <c r="B49" s="16">
        <f>'I-DOEStaffing'!B33</f>
        <v/>
      </c>
      <c r="C49" s="16">
        <f>AVERAGE('I-DOEStaffing'!B34,'I-DOEStaffing'!B35,'I-DOEStaffing'!B36)</f>
        <v/>
      </c>
      <c r="D49" s="15">
        <f>B49-C49</f>
        <v/>
      </c>
    </row>
    <row r="50">
      <c r="A50" s="5" t="n">
        <v>2017</v>
      </c>
      <c r="B50" s="16">
        <f>'I-DOEStaffing'!C33</f>
        <v/>
      </c>
      <c r="C50" s="16">
        <f>AVERAGE('I-DOEStaffing'!C34,'I-DOEStaffing'!C35,'I-DOEStaffing'!C36)</f>
        <v/>
      </c>
      <c r="D50" s="15">
        <f>B50-C50</f>
        <v/>
      </c>
    </row>
    <row r="51">
      <c r="A51" s="5" t="n">
        <v>2018</v>
      </c>
      <c r="B51" s="16">
        <f>'I-DOEStaffing'!D33</f>
        <v/>
      </c>
      <c r="C51" s="16">
        <f>AVERAGE('I-DOEStaffing'!D34,'I-DOEStaffing'!D35,'I-DOEStaffing'!D36)</f>
        <v/>
      </c>
      <c r="D51" s="15">
        <f>B51-C51</f>
        <v/>
      </c>
    </row>
    <row r="52">
      <c r="A52" s="5" t="n">
        <v>2019</v>
      </c>
      <c r="B52" s="16">
        <f>'I-DOEStaffing'!E33</f>
        <v/>
      </c>
      <c r="C52" s="16">
        <f>AVERAGE('I-DOEStaffing'!E34,'I-DOEStaffing'!E35,'I-DOEStaffing'!E36)</f>
        <v/>
      </c>
      <c r="D52" s="15">
        <f>B52-C52</f>
        <v/>
      </c>
    </row>
    <row r="53">
      <c r="A53" s="5" t="n">
        <v>2020</v>
      </c>
      <c r="B53" s="16">
        <f>'I-DOEStaffing'!F33</f>
        <v/>
      </c>
      <c r="C53" s="16">
        <f>AVERAGE('I-DOEStaffing'!F34,'I-DOEStaffing'!F35,'I-DOEStaffing'!F36)</f>
        <v/>
      </c>
      <c r="D53" s="15">
        <f>B53-C53</f>
        <v/>
      </c>
    </row>
    <row r="54">
      <c r="A54" s="5" t="n">
        <v>2021</v>
      </c>
      <c r="B54" s="16">
        <f>'I-DOEStaffing'!G33</f>
        <v/>
      </c>
      <c r="C54" s="16">
        <f>AVERAGE('I-DOEStaffing'!G34,'I-DOEStaffing'!G35,'I-DOEStaffing'!G36)</f>
        <v/>
      </c>
      <c r="D54" s="15">
        <f>B54-C54</f>
        <v/>
      </c>
    </row>
    <row r="55">
      <c r="A55" s="5" t="n">
        <v>2022</v>
      </c>
      <c r="B55" s="16">
        <f>'I-DOEStaffing'!H33</f>
        <v/>
      </c>
      <c r="C55" s="16">
        <f>AVERAGE('I-DOEStaffing'!H34,'I-DOEStaffing'!H35,'I-DOEStaffing'!H36)</f>
        <v/>
      </c>
      <c r="D55" s="15">
        <f>B55-C55</f>
        <v/>
      </c>
    </row>
    <row r="56">
      <c r="A56" s="5" t="n">
        <v>2023</v>
      </c>
      <c r="B56" s="16">
        <f>'I-DOEStaffing'!I33</f>
        <v/>
      </c>
      <c r="C56" s="16">
        <f>AVERAGE('I-DOEStaffing'!I34,'I-DOEStaffing'!I35,'I-DOEStaffing'!I36)</f>
        <v/>
      </c>
      <c r="D56" s="15">
        <f>B56-C56</f>
        <v/>
      </c>
    </row>
    <row r="57">
      <c r="A57" s="5" t="n">
        <v>2024</v>
      </c>
      <c r="B57" s="16">
        <f>'I-DOEStaffing'!J33</f>
        <v/>
      </c>
      <c r="C57" s="16">
        <f>AVERAGE('I-DOEStaffing'!J34,'I-DOEStaffing'!J35,'I-DOEStaffing'!J36)</f>
        <v/>
      </c>
      <c r="D57" s="15">
        <f>B57-C57</f>
        <v/>
      </c>
    </row>
    <row r="58">
      <c r="A58" s="5" t="n">
        <v>2025</v>
      </c>
      <c r="B58" s="16">
        <f>'I-DOEStaffing'!K33</f>
        <v/>
      </c>
      <c r="C58" s="16">
        <f>AVERAGE('I-DOEStaffing'!K34,'I-DOEStaffing'!K35,'I-DOEStaffing'!K36)</f>
        <v/>
      </c>
      <c r="D58" s="15">
        <f>B58-C58</f>
        <v/>
      </c>
    </row>
    <row r="59">
      <c r="A59" s="5" t="n">
        <v>2026</v>
      </c>
      <c r="B59" s="16">
        <f>'I-DOEStaffing'!L33</f>
        <v/>
      </c>
      <c r="C59" s="16">
        <f>AVERAGE('I-DOEStaffing'!L34,'I-DOEStaffing'!L35,'I-DOEStaffing'!L36)</f>
        <v/>
      </c>
      <c r="D59" s="15">
        <f>B59-C59</f>
        <v/>
      </c>
    </row>
    <row r="61">
      <c r="A61" s="3" t="inlineStr">
        <is>
          <t>5. Cross-Reference: DOE 2026 vs. I-FTE Proposed FY27</t>
        </is>
      </c>
    </row>
    <row r="62">
      <c r="A62" s="2" t="inlineStr">
        <is>
          <t>DOE 'Classroom Teacher' includes all certified teaching staff (incl. specialists).</t>
        </is>
      </c>
    </row>
    <row r="63">
      <c r="A63" s="2" t="inlineStr">
        <is>
          <t>I-FTE counts core classroom teachers only. Difference = specialists, PreK, etc.</t>
        </is>
      </c>
    </row>
    <row r="64">
      <c r="A64" s="4" t="inlineStr">
        <is>
          <t>School</t>
        </is>
      </c>
      <c r="B64" s="4" t="inlineStr">
        <is>
          <t>DOE 2026 Teacher</t>
        </is>
      </c>
      <c r="C64" s="4" t="inlineStr">
        <is>
          <t>I-FTE Proposed FY27</t>
        </is>
      </c>
      <c r="D64" s="4" t="inlineStr">
        <is>
          <t>Difference</t>
        </is>
      </c>
      <c r="E64" s="4" t="inlineStr">
        <is>
          <t>Notes</t>
        </is>
      </c>
    </row>
    <row r="65">
      <c r="A65" s="5" t="inlineStr">
        <is>
          <t>PES</t>
        </is>
      </c>
      <c r="B65" s="16">
        <f>'I-DOEStaffing'!L23</f>
        <v/>
      </c>
      <c r="C65" s="16">
        <f>'I-FTE'!D10</f>
        <v/>
      </c>
      <c r="D65" s="15">
        <f>B65-C65</f>
        <v/>
      </c>
      <c r="E65" s="29" t="inlineStr">
        <is>
          <t>DOE counts PreK, art, music, PE, specialists as 'Classroom Teacher'</t>
        </is>
      </c>
    </row>
    <row r="66">
      <c r="A66" s="5" t="inlineStr">
        <is>
          <t>DCS</t>
        </is>
      </c>
      <c r="B66" s="16">
        <f>'I-DOEStaffing'!L24</f>
        <v/>
      </c>
      <c r="C66" s="16">
        <f>'I-FTE'!D11</f>
        <v/>
      </c>
      <c r="D66" s="15">
        <f>B66-C66</f>
        <v/>
      </c>
      <c r="E66" s="29" t="inlineStr">
        <is>
          <t>DCS is PreK-8; DOE includes all certified teachers</t>
        </is>
      </c>
    </row>
    <row r="69">
      <c r="A69" s="3" t="inlineStr">
        <is>
          <t>KEY STAFFING FINDINGS (from DOE data)</t>
        </is>
      </c>
    </row>
    <row r="70">
      <c r="A70" s="2" t="inlineStr">
        <is>
          <t>1. PES is the ONLY school with negative 10-year FTE change (-8.0%); others grew +3.9% to +36.5%.</t>
        </is>
      </c>
    </row>
    <row r="71">
      <c r="A71" s="2" t="inlineStr">
        <is>
          <t>2. District-wide (central office) FTE grew +34.6% over the same period (+35.9 FTE).</t>
        </is>
      </c>
    </row>
    <row r="72">
      <c r="A72" s="2" t="inlineStr">
        <is>
          <t>3. PES instructional staff (teachers+ed techs+sped) declined by ~3.8 FTE while other</t>
        </is>
      </c>
    </row>
    <row r="73">
      <c r="A73" s="2" t="inlineStr">
        <is>
          <t xml:space="preserve">   elementary schools each gained +8.4 to +15.1 FTE.</t>
        </is>
      </c>
    </row>
    <row r="74">
      <c r="A74" s="2" t="inlineStr">
        <is>
          <t>4. PES SpEd teacher FTE hit 0.0 in both 2022-23 and 2023-24 school years.</t>
        </is>
      </c>
    </row>
    <row r="75">
      <c r="A75" s="2" t="inlineStr">
        <is>
          <t>5. PES share of district FTE fell from 5.9% (2016) to 3.9% (2025), vs. ~10.5% enrollment share.</t>
        </is>
      </c>
    </row>
    <row r="76">
      <c r="A76" s="2" t="inlineStr">
        <is>
          <t>6. The per-student cost premium at PES is NOT from overstaffing -- PES runs leaner than all peers.</t>
        </is>
      </c>
    </row>
    <row r="77">
      <c r="A77" s="2" t="inlineStr">
        <is>
          <t>7. Resources have been systematically shifted away from PES while Pownal's tax assessment grew 29.8%.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CALC: Per-Town Equity Analysis</t>
        </is>
      </c>
    </row>
    <row r="3">
      <c r="A3" s="2" t="inlineStr">
        <is>
          <t>All values are formula-driven from I-Equity inputs. Shows who pays vs. who consumes.</t>
        </is>
      </c>
    </row>
    <row r="5">
      <c r="A5" s="3" t="inlineStr">
        <is>
          <t>1. PER-STUDENT COST BY TOWN (FY27)</t>
        </is>
      </c>
    </row>
    <row r="6">
      <c r="A6" s="4" t="inlineStr">
        <is>
          <t>Metric</t>
        </is>
      </c>
      <c r="B6" s="4" t="inlineStr">
        <is>
          <t>Pownal</t>
        </is>
      </c>
      <c r="C6" s="4" t="inlineStr">
        <is>
          <t>Durham</t>
        </is>
      </c>
      <c r="D6" s="4" t="inlineStr">
        <is>
          <t>Freeport</t>
        </is>
      </c>
      <c r="E6" s="4" t="inlineStr">
        <is>
          <t>RSU Average</t>
        </is>
      </c>
    </row>
    <row r="7">
      <c r="A7" s="5" t="inlineStr">
        <is>
          <t>Students (attributed)</t>
        </is>
      </c>
      <c r="B7" s="17">
        <f>'I-Equity'!B24</f>
        <v/>
      </c>
      <c r="C7" s="17">
        <f>'I-Equity'!C25</f>
        <v/>
      </c>
      <c r="D7" s="17">
        <f>'I-Equity'!D26</f>
        <v/>
      </c>
      <c r="E7" s="17">
        <f>'I-Equity'!E27</f>
        <v/>
      </c>
    </row>
    <row r="8">
      <c r="A8" s="5" t="inlineStr">
        <is>
          <t>Local tax assessment (RLC + ALM)</t>
        </is>
      </c>
      <c r="B8" s="6">
        <f>'I-Equity'!B39</f>
        <v/>
      </c>
      <c r="C8" s="6">
        <f>'I-Equity'!C39</f>
        <v/>
      </c>
      <c r="D8" s="6">
        <f>'I-Equity'!D39</f>
        <v/>
      </c>
      <c r="E8" s="6">
        <f>'I-Equity'!E39</f>
        <v/>
      </c>
    </row>
    <row r="9">
      <c r="A9" s="5" t="inlineStr">
        <is>
          <t>Total funding (local + state aid)</t>
        </is>
      </c>
      <c r="B9" s="6">
        <f>'I-Equity'!B40</f>
        <v/>
      </c>
      <c r="C9" s="6">
        <f>'I-Equity'!C40</f>
        <v/>
      </c>
      <c r="D9" s="6">
        <f>'I-Equity'!D40</f>
        <v/>
      </c>
      <c r="E9" s="6">
        <f>'I-Equity'!E40</f>
        <v/>
      </c>
    </row>
    <row r="10">
      <c r="A10" s="8" t="inlineStr">
        <is>
          <t>LOCAL TAX PER STUDENT</t>
        </is>
      </c>
      <c r="B10" s="9">
        <f>B8/B7</f>
        <v/>
      </c>
      <c r="C10" s="9">
        <f>C8/C7</f>
        <v/>
      </c>
      <c r="D10" s="9">
        <f>D8/D7</f>
        <v/>
      </c>
      <c r="E10" s="9">
        <f>E8/E7</f>
        <v/>
      </c>
    </row>
    <row r="11">
      <c r="A11" s="8" t="inlineStr">
        <is>
          <t>TOTAL FUNDING PER STUDENT</t>
        </is>
      </c>
      <c r="B11" s="9">
        <f>B9/B7</f>
        <v/>
      </c>
      <c r="C11" s="9">
        <f>C9/C7</f>
        <v/>
      </c>
      <c r="D11" s="9">
        <f>D9/D7</f>
        <v/>
      </c>
      <c r="E11" s="9">
        <f>E9/E7</f>
        <v/>
      </c>
    </row>
    <row r="13">
      <c r="A13" s="3" t="inlineStr">
        <is>
          <t>2A. NET POSITION: ACTUAL CONSUMPTION (from C-Consumption)</t>
        </is>
      </c>
    </row>
    <row r="14">
      <c r="A14" s="2" t="inlineStr">
        <is>
          <t>Uses actual school-level budgets attributed to each town's students.</t>
        </is>
      </c>
    </row>
    <row r="15">
      <c r="A15" s="2" t="inlineStr">
        <is>
          <t>PES costs are 100% Pownal. FMS/FHS split by enrollment. System pool by student count.</t>
        </is>
      </c>
    </row>
    <row r="16">
      <c r="A16" s="2" t="inlineStr">
        <is>
          <t>This is the objective cost picture -- it includes PES's small-school premium.</t>
        </is>
      </c>
    </row>
    <row r="17">
      <c r="A17" s="4" t="inlineStr"/>
      <c r="B17" s="4" t="inlineStr">
        <is>
          <t>Pownal</t>
        </is>
      </c>
      <c r="C17" s="4" t="inlineStr">
        <is>
          <t>Durham</t>
        </is>
      </c>
      <c r="D17" s="4" t="inlineStr">
        <is>
          <t>Freeport</t>
        </is>
      </c>
    </row>
    <row r="18">
      <c r="A18" s="5" t="inlineStr">
        <is>
          <t>Actual budget consumed (C-Consumption)</t>
        </is>
      </c>
      <c r="B18" s="6">
        <f>'C-Consumption'!D11</f>
        <v/>
      </c>
      <c r="C18" s="6">
        <f>'C-Consumption'!D19</f>
        <v/>
      </c>
      <c r="D18" s="6">
        <f>'C-Consumption'!D29</f>
        <v/>
      </c>
    </row>
    <row r="19">
      <c r="A19" s="5" t="inlineStr">
        <is>
          <t>Total contribution (local + state + shared)</t>
        </is>
      </c>
      <c r="B19" s="6">
        <f>'C-Revenue'!B14</f>
        <v/>
      </c>
      <c r="C19" s="6">
        <f>'C-Revenue'!C14</f>
        <v/>
      </c>
      <c r="D19" s="6">
        <f>'C-Revenue'!D14</f>
        <v/>
      </c>
    </row>
    <row r="20">
      <c r="A20" s="8" t="inlineStr">
        <is>
          <t>NET POSITION (revenue - consumption)</t>
        </is>
      </c>
      <c r="B20" s="14">
        <f>B19-B18</f>
        <v/>
      </c>
      <c r="C20" s="14">
        <f>C19-C18</f>
        <v/>
      </c>
      <c r="D20" s="14">
        <f>D19-D18</f>
        <v/>
      </c>
    </row>
    <row r="21">
      <c r="A21" s="5" t="inlineStr">
        <is>
          <t>Actual cost per student</t>
        </is>
      </c>
      <c r="B21" s="6">
        <f>B18/B7</f>
        <v/>
      </c>
      <c r="C21" s="6">
        <f>C18/C7</f>
        <v/>
      </c>
      <c r="D21" s="6">
        <f>D18/D7</f>
        <v/>
      </c>
    </row>
    <row r="23">
      <c r="A23" s="2" t="inlineStr">
        <is>
          <t>Pownal's deficit is REAL but modest: PES costs more per student due to fixed-cost dilution.</t>
        </is>
      </c>
    </row>
    <row r="24">
      <c r="A24" s="2" t="inlineStr">
        <is>
          <t>Durham's deficit is larger. Freeport is the only net contributor.</t>
        </is>
      </c>
    </row>
    <row r="26">
      <c r="A26" s="3" t="inlineStr">
        <is>
          <t>2B. EQUALIZED ANALYSIS: What if every student cost the same?</t>
        </is>
      </c>
    </row>
    <row r="27">
      <c r="A27" s="2" t="inlineStr">
        <is>
          <t>Uses RSU-wide average per-student cost. Isolates the TAX BURDEN question from</t>
        </is>
      </c>
    </row>
    <row r="28">
      <c r="A28" s="2" t="inlineStr">
        <is>
          <t>the SCHOOL EFFICIENCY question. Shows whether each town pays its 'fair share'</t>
        </is>
      </c>
    </row>
    <row r="29">
      <c r="A29" s="2" t="inlineStr">
        <is>
          <t>assuming equal cost per student. Contrast with 2A above for full picture.</t>
        </is>
      </c>
    </row>
    <row r="30">
      <c r="A30" s="4" t="inlineStr"/>
      <c r="B30" s="4" t="inlineStr">
        <is>
          <t>Pownal</t>
        </is>
      </c>
      <c r="C30" s="4" t="inlineStr">
        <is>
          <t>Durham</t>
        </is>
      </c>
      <c r="D30" s="4" t="inlineStr">
        <is>
          <t>Freeport</t>
        </is>
      </c>
    </row>
    <row r="31">
      <c r="A31" s="5" t="inlineStr">
        <is>
          <t>RSU 5 average cost per student</t>
        </is>
      </c>
      <c r="B31" s="6">
        <f>E11</f>
        <v/>
      </c>
      <c r="C31" s="6">
        <f>E11</f>
        <v/>
      </c>
      <c r="D31" s="6">
        <f>E11</f>
        <v/>
      </c>
    </row>
    <row r="32">
      <c r="A32" s="5" t="inlineStr">
        <is>
          <t>Equalized consumption (students x avg cost)</t>
        </is>
      </c>
      <c r="B32" s="6">
        <f>B7*B31</f>
        <v/>
      </c>
      <c r="C32" s="6">
        <f>C7*C31</f>
        <v/>
      </c>
      <c r="D32" s="6">
        <f>D7*D31</f>
        <v/>
      </c>
    </row>
    <row r="33">
      <c r="A33" s="5" t="inlineStr">
        <is>
          <t>Total contribution (local + state aid)</t>
        </is>
      </c>
      <c r="B33" s="6">
        <f>B9</f>
        <v/>
      </c>
      <c r="C33" s="6">
        <f>C9</f>
        <v/>
      </c>
      <c r="D33" s="6">
        <f>D9</f>
        <v/>
      </c>
    </row>
    <row r="34">
      <c r="A34" s="8" t="inlineStr">
        <is>
          <t>EQUALIZED NET (consumed - contributed)</t>
        </is>
      </c>
      <c r="B34" s="14">
        <f>B32-B33</f>
        <v/>
      </c>
      <c r="C34" s="14">
        <f>C32-C33</f>
        <v/>
      </c>
      <c r="D34" s="14">
        <f>D32-D33</f>
        <v/>
      </c>
    </row>
    <row r="35">
      <c r="A35" s="8" t="inlineStr">
        <is>
          <t>Equalized net per household</t>
        </is>
      </c>
      <c r="B35" s="14">
        <f>B34/'I-Equity'!B104</f>
        <v/>
      </c>
      <c r="C35" s="14">
        <f>C34/'I-Equity'!C104</f>
        <v/>
      </c>
      <c r="D35" s="14">
        <f>D34/'I-Equity'!D104</f>
        <v/>
      </c>
    </row>
    <row r="37">
      <c r="A37" s="2" t="inlineStr">
        <is>
          <t>COMPARE 2A vs 2B: Pownal's actual deficit (2A) is $267K. But if every student cost</t>
        </is>
      </c>
    </row>
    <row r="38">
      <c r="A38" s="2" t="inlineStr">
        <is>
          <t>the same, Pownal would be a net contributor (2B). The difference = PES's cost premium.</t>
        </is>
      </c>
    </row>
    <row r="39">
      <c r="A39" s="2" t="inlineStr">
        <is>
          <t>Both are real. Presenting only one without the other is misleading.</t>
        </is>
      </c>
    </row>
    <row r="41">
      <c r="A41" s="3" t="inlineStr">
        <is>
          <t>3. COST-SHARING FORMULA IMPACT</t>
        </is>
      </c>
    </row>
    <row r="42">
      <c r="A42" s="2" t="inlineStr">
        <is>
          <t>Shows how the 85/15 formula distributes ALM vs. what a pure per-student split would look like.</t>
        </is>
      </c>
    </row>
    <row r="43">
      <c r="A43" s="4" t="inlineStr"/>
      <c r="B43" s="4" t="inlineStr">
        <is>
          <t>Pownal</t>
        </is>
      </c>
      <c r="C43" s="4" t="inlineStr">
        <is>
          <t>Durham</t>
        </is>
      </c>
      <c r="D43" s="4" t="inlineStr">
        <is>
          <t>Freeport</t>
        </is>
      </c>
    </row>
    <row r="44">
      <c r="A44" s="5" t="inlineStr">
        <is>
          <t>Actual ALM paid</t>
        </is>
      </c>
      <c r="B44" s="6">
        <f>'I-Equity'!B36</f>
        <v/>
      </c>
      <c r="C44" s="6">
        <f>'I-Equity'!C36</f>
        <v/>
      </c>
      <c r="D44" s="6">
        <f>'I-Equity'!D36</f>
        <v/>
      </c>
    </row>
    <row r="45">
      <c r="A45" s="5" t="inlineStr">
        <is>
          <t>ALM if split by enrollment only</t>
        </is>
      </c>
      <c r="B45" s="6">
        <f>(B44+C44+D44)*B7/(B7+C7+D7)</f>
        <v/>
      </c>
      <c r="C45" s="6">
        <f>(B44+C44+D44)*C7/(B7+C7+D7)</f>
        <v/>
      </c>
      <c r="D45" s="6">
        <f>(B44+C44+D44)*D7/(B7+C7+D7)</f>
        <v/>
      </c>
    </row>
    <row r="46">
      <c r="A46" s="8" t="inlineStr">
        <is>
          <t>FORMULA PENALTY (+) or BENEFIT (-)</t>
        </is>
      </c>
      <c r="B46" s="14">
        <f>B44-B45</f>
        <v/>
      </c>
      <c r="C46" s="14">
        <f>C44-C45</f>
        <v/>
      </c>
      <c r="D46" s="14">
        <f>D44-D45</f>
        <v/>
      </c>
    </row>
    <row r="47">
      <c r="A47" s="8" t="inlineStr">
        <is>
          <t>Formula penalty per household</t>
        </is>
      </c>
      <c r="B47" s="14">
        <f>B46/'I-Equity'!B104</f>
        <v/>
      </c>
      <c r="C47" s="14">
        <f>C46/'I-Equity'!C104</f>
        <v/>
      </c>
      <c r="D47" s="14">
        <f>D46/'I-Equity'!D104</f>
        <v/>
      </c>
    </row>
    <row r="49">
      <c r="A49" s="3" t="inlineStr">
        <is>
          <t>4. POWNAL ASSESSMENT TREND &amp; TAX IMPACT</t>
        </is>
      </c>
    </row>
    <row r="50">
      <c r="A50" s="4" t="inlineStr"/>
      <c r="B50" s="4" t="inlineStr">
        <is>
          <t>Value</t>
        </is>
      </c>
      <c r="C50" s="4" t="inlineStr">
        <is>
          <t>Source</t>
        </is>
      </c>
    </row>
    <row r="51">
      <c r="A51" s="5" t="inlineStr">
        <is>
          <t>FY24 Pownal assessment (audited)</t>
        </is>
      </c>
      <c r="B51" s="6">
        <f>'I-Equity'!B84</f>
        <v/>
      </c>
      <c r="C51" s="30" t="inlineStr">
        <is>
          <t>Pownal Annual Report audit [Fn 43]</t>
        </is>
      </c>
    </row>
    <row r="52">
      <c r="A52" s="5" t="inlineStr">
        <is>
          <t>FY27 Pownal assessment (proposed)</t>
        </is>
      </c>
      <c r="B52" s="6">
        <f>'I-Equity'!B87</f>
        <v/>
      </c>
      <c r="C52" s="30" t="inlineStr">
        <is>
          <t>Budget Handbook [Fn 3]</t>
        </is>
      </c>
    </row>
    <row r="53">
      <c r="A53" s="8" t="inlineStr">
        <is>
          <t>3-year dollar increase (FY24→FY27)</t>
        </is>
      </c>
      <c r="B53" s="9">
        <f>B52-B51</f>
        <v/>
      </c>
    </row>
    <row r="54">
      <c r="A54" s="8" t="inlineStr">
        <is>
          <t>3-year percentage increase</t>
        </is>
      </c>
      <c r="B54" s="13">
        <f>B53/B51</f>
        <v/>
      </c>
    </row>
    <row r="55">
      <c r="A55" s="5" t="inlineStr">
        <is>
          <t>RSU budget growth same period</t>
        </is>
      </c>
      <c r="B55" s="7">
        <f>('I-Equity'!C87-'I-Equity'!C84)/'I-Equity'!C84</f>
        <v/>
      </c>
      <c r="C55" s="30" t="inlineStr">
        <is>
          <t>Pownal's share grew faster than budget</t>
        </is>
      </c>
    </row>
    <row r="57">
      <c r="A57" s="8" t="inlineStr">
        <is>
          <t>FY27 assessment per household (636 homes)</t>
        </is>
      </c>
      <c r="B57" s="9">
        <f>B52/'I-Equity'!B104</f>
        <v/>
      </c>
    </row>
    <row r="58">
      <c r="A58" s="5" t="inlineStr">
        <is>
          <t>FY24 assessment per household</t>
        </is>
      </c>
      <c r="B58" s="6">
        <f>B51/'I-Equity'!B104</f>
        <v/>
      </c>
    </row>
    <row r="59">
      <c r="A59" s="8" t="inlineStr">
        <is>
          <t>Per-household increase (3 years)</t>
        </is>
      </c>
      <c r="B59" s="9">
        <f>(B52-B51)/'I-Equity'!B104</f>
        <v/>
      </c>
    </row>
    <row r="61">
      <c r="A61" s="3" t="inlineStr">
        <is>
          <t>5. COMPARATIVE FAIRNESS METRICS</t>
        </is>
      </c>
    </row>
    <row r="62">
      <c r="A62" s="4" t="inlineStr">
        <is>
          <t>Metric</t>
        </is>
      </c>
      <c r="B62" s="4" t="inlineStr">
        <is>
          <t>Pownal</t>
        </is>
      </c>
      <c r="C62" s="4" t="inlineStr">
        <is>
          <t>Durham</t>
        </is>
      </c>
      <c r="D62" s="4" t="inlineStr">
        <is>
          <t>Freeport</t>
        </is>
      </c>
    </row>
    <row r="63">
      <c r="A63" s="5" t="inlineStr">
        <is>
          <t>% of RSU budget paid locally</t>
        </is>
      </c>
      <c r="B63" s="7">
        <f>B8/'I-Equity'!C87</f>
        <v/>
      </c>
      <c r="C63" s="7">
        <f>C8/'I-Equity'!C87</f>
        <v/>
      </c>
      <c r="D63" s="7">
        <f>D8/'I-Equity'!C87</f>
        <v/>
      </c>
    </row>
    <row r="64">
      <c r="A64" s="5" t="inlineStr">
        <is>
          <t>% of RSU students</t>
        </is>
      </c>
      <c r="B64" s="7">
        <f>B7/E7</f>
        <v/>
      </c>
      <c r="C64" s="7">
        <f>C7/E7</f>
        <v/>
      </c>
      <c r="D64" s="7">
        <f>D7/E7</f>
        <v/>
      </c>
    </row>
    <row r="65">
      <c r="A65" s="8" t="inlineStr">
        <is>
          <t>DISPARITY: pays ÷ gets (1.0 = fair)</t>
        </is>
      </c>
      <c r="B65" s="20">
        <f>(B8/'I-Equity'!C87)/(B7/E7)</f>
        <v/>
      </c>
      <c r="C65" s="20">
        <f>(C8/'I-Equity'!C87)/(C7/E7)</f>
        <v/>
      </c>
      <c r="D65" s="20">
        <f>(D8/'I-Equity'!C87)/(D7/E7)</f>
        <v/>
      </c>
    </row>
    <row r="66">
      <c r="A66" s="2" t="inlineStr">
        <is>
          <t>&gt;1.0 = pays more than fair share. &lt;1.0 = pays less than fair share.</t>
        </is>
      </c>
    </row>
    <row r="67">
      <c r="A67" s="2" t="inlineStr">
        <is>
          <t>Pownal's disparity ratio shows it pays significantly more per student than it should.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2" customWidth="1" min="3" max="3"/>
    <col width="22" customWidth="1" min="4" max="4"/>
    <col width="44" customWidth="1" min="5" max="5"/>
  </cols>
  <sheetData>
    <row r="1">
      <c r="A1" s="1" t="inlineStr">
        <is>
          <t>CALC: Pownal Independence Financial Analysis</t>
        </is>
      </c>
    </row>
    <row r="3">
      <c r="A3" s="2" t="inlineStr">
        <is>
          <t>Four scenarios modeled: §1512 veto cost, full withdrawal, withdrawal+AOS, legal challenge.</t>
        </is>
      </c>
    </row>
    <row r="4">
      <c r="A4" s="2" t="inlineStr">
        <is>
          <t>All values are formula-driven from I-Withdrawal inputs.</t>
        </is>
      </c>
    </row>
    <row r="6">
      <c r="A6" s="3" t="inlineStr">
        <is>
          <t>SCENARIO A: §1512 MUNICIPAL VETO (if applicable)</t>
        </is>
      </c>
    </row>
    <row r="7">
      <c r="A7" s="2" t="inlineStr">
        <is>
          <t>Under §1512, if Pownal votes to keep PES open against Board wishes,</t>
        </is>
      </c>
    </row>
    <row r="8">
      <c r="A8" s="2" t="inlineStr">
        <is>
          <t>Pownal is liable for 'the amount that would be saved if the school were closed.'</t>
        </is>
      </c>
    </row>
    <row r="9">
      <c r="A9" s="2" t="inlineStr">
        <is>
          <t>IMPORTANT: §1512 likely does NOT apply to Option 2 (reconfiguration, not closure).</t>
        </is>
      </c>
    </row>
    <row r="10">
      <c r="A10" s="2" t="inlineStr">
        <is>
          <t>This scenario models the cost ceiling IF §1512 were successfully invoked.</t>
        </is>
      </c>
    </row>
    <row r="12">
      <c r="A12" s="5" t="inlineStr">
        <is>
          <t>TRUE NET SAVINGS from closing PES (from C-FY28Paths)</t>
        </is>
      </c>
      <c r="B12" s="10">
        <f>'C-FY28Paths'!B36</f>
        <v/>
      </c>
    </row>
    <row r="13">
      <c r="A13" s="8" t="inlineStr">
        <is>
          <t>§1512 LIABILITY = savings RSU would gain</t>
        </is>
      </c>
      <c r="B13" s="9">
        <f>IF(B12&gt;0,B12,0)</f>
        <v/>
      </c>
    </row>
    <row r="14">
      <c r="A14" s="12" t="inlineStr">
        <is>
          <t>Per-household cost (636 homes)</t>
        </is>
      </c>
      <c r="B14" s="11">
        <f>B13/'I-Withdrawal'!B112</f>
        <v/>
      </c>
    </row>
    <row r="15">
      <c r="A15" s="2" t="inlineStr">
        <is>
          <t>The TRUE NET from closing PES is approximately -$161K (a COST, not savings).</t>
        </is>
      </c>
    </row>
    <row r="16">
      <c r="A16" s="2" t="inlineStr">
        <is>
          <t>If net savings are negative, there is NO amount for Pownal to reimburse under §1512.</t>
        </is>
      </c>
    </row>
    <row r="17">
      <c r="A17" s="2" t="inlineStr">
        <is>
          <t>Revisited annually: Board must re-vote each year to attempt closure.</t>
        </is>
      </c>
    </row>
    <row r="19">
      <c r="A19" s="3" t="inlineStr">
        <is>
          <t>SCENARIO B: FULL WITHDRAWAL (K-5 independent, tuition 6-12)</t>
        </is>
      </c>
    </row>
    <row r="20">
      <c r="A20" s="2" t="inlineStr">
        <is>
          <t>Pownal withdraws from RSU 5 under Title 20-A §1466. Operates PES K-5</t>
        </is>
      </c>
    </row>
    <row r="21">
      <c r="A21" s="2" t="inlineStr">
        <is>
          <t>independently. Tuitions secondary students (6-12) to Freeport or elsewhere.</t>
        </is>
      </c>
    </row>
    <row r="23">
      <c r="A23" s="5" t="inlineStr">
        <is>
          <t>PES school-level operating cost</t>
        </is>
      </c>
      <c r="B23" s="6">
        <f>'I-Withdrawal'!B26</f>
        <v/>
      </c>
    </row>
    <row r="24">
      <c r="A24" s="5" t="inlineStr">
        <is>
          <t>Additional admin costs (superintendent, SpEd, etc.)</t>
        </is>
      </c>
      <c r="B24" s="6">
        <f>'I-Withdrawal'!B46</f>
        <v/>
      </c>
    </row>
    <row r="25">
      <c r="A25" s="8" t="inlineStr">
        <is>
          <t>GROSS INDEPENDENT BUDGET</t>
        </is>
      </c>
      <c r="B25" s="9">
        <f>SUM(B23:B24)</f>
        <v/>
      </c>
    </row>
    <row r="27">
      <c r="A27" s="5" t="inlineStr">
        <is>
          <t>Less: State EPS share (current)</t>
        </is>
      </c>
      <c r="B27" s="10">
        <f>-'I-Withdrawal'!B109</f>
        <v/>
      </c>
    </row>
    <row r="28">
      <c r="A28" s="5" t="inlineStr">
        <is>
          <t>Less: Isolated small school adjustment</t>
        </is>
      </c>
      <c r="B28" s="10">
        <f>-'I-Withdrawal'!B110</f>
        <v/>
      </c>
    </row>
    <row r="29">
      <c r="A29" s="8" t="inlineStr">
        <is>
          <t>NET LOCAL COST (Pownal taxpayers)</t>
        </is>
      </c>
      <c r="B29" s="9">
        <f>B25+B27+B28</f>
        <v/>
      </c>
    </row>
    <row r="31">
      <c r="A31" s="5" t="inlineStr">
        <is>
          <t>Current Pownal LOCAL tax (RLC + ALM, for comparison)</t>
        </is>
      </c>
      <c r="B31" s="6">
        <f>'I-Withdrawal'!B12</f>
        <v/>
      </c>
    </row>
    <row r="32">
      <c r="A32" s="8" t="inlineStr">
        <is>
          <t>CHANGE vs. CURRENT RSU ASSESSMENT</t>
        </is>
      </c>
      <c r="B32" s="14">
        <f>B29-B31</f>
        <v/>
      </c>
    </row>
    <row r="33">
      <c r="A33" s="12" t="inlineStr">
        <is>
          <t>Percentage increase</t>
        </is>
      </c>
      <c r="B33" s="31">
        <f>B32/B31</f>
        <v/>
      </c>
    </row>
    <row r="35">
      <c r="A35" s="8" t="inlineStr">
        <is>
          <t>New estimated mil rate (education only)</t>
        </is>
      </c>
      <c r="B35" s="32">
        <f>B29/'I-Withdrawal'!B111*1000</f>
        <v/>
      </c>
    </row>
    <row r="36">
      <c r="A36" s="5" t="inlineStr">
        <is>
          <t>Current RSU education mil rate</t>
        </is>
      </c>
      <c r="B36" s="33">
        <f>'I-Withdrawal'!B114</f>
        <v/>
      </c>
    </row>
    <row r="37">
      <c r="A37" s="12" t="inlineStr">
        <is>
          <t>Mil rate change</t>
        </is>
      </c>
      <c r="B37" s="34">
        <f>B35-B36</f>
        <v/>
      </c>
    </row>
    <row r="38">
      <c r="A38" s="8" t="inlineStr">
        <is>
          <t>Annual cost change per household (636 homes)</t>
        </is>
      </c>
      <c r="B38" s="14">
        <f>B32/'I-Withdrawal'!B112</f>
        <v/>
      </c>
    </row>
    <row r="40">
      <c r="A40" s="3" t="inlineStr">
        <is>
          <t>SCENARIO C: WITHDRAWAL + AOS (shared services)</t>
        </is>
      </c>
    </row>
    <row r="41">
      <c r="A41" s="2" t="inlineStr">
        <is>
          <t>Same as Scenario B but with AOS cost sharing for admin functions.</t>
        </is>
      </c>
    </row>
    <row r="42">
      <c r="A42" s="2" t="inlineStr">
        <is>
          <t>Model: AOS #94 (6 towns, shared superintendent); Bristol/South Bristol ESC.</t>
        </is>
      </c>
    </row>
    <row r="44">
      <c r="A44" s="5" t="inlineStr">
        <is>
          <t>Gross independent budget (from Scenario B)</t>
        </is>
      </c>
      <c r="B44" s="6">
        <f>B25</f>
        <v/>
      </c>
    </row>
    <row r="45">
      <c r="A45" s="5" t="inlineStr">
        <is>
          <t>Less: AOS shared services savings</t>
        </is>
      </c>
      <c r="B45" s="10">
        <f>-'I-Withdrawal'!B57</f>
        <v/>
      </c>
    </row>
    <row r="46">
      <c r="A46" s="5" t="inlineStr">
        <is>
          <t>Less: State EPS + small school adjustment</t>
        </is>
      </c>
      <c r="B46" s="10">
        <f>B27+B28</f>
        <v/>
      </c>
    </row>
    <row r="47">
      <c r="A47" s="8" t="inlineStr">
        <is>
          <t>NET LOCAL COST (AOS model)</t>
        </is>
      </c>
      <c r="B47" s="9">
        <f>SUM(B44:B46)</f>
        <v/>
      </c>
    </row>
    <row r="48">
      <c r="A48" s="8" t="inlineStr">
        <is>
          <t>CHANGE vs. CURRENT RSU ASSESSMENT</t>
        </is>
      </c>
      <c r="B48" s="14">
        <f>B47-B31</f>
        <v/>
      </c>
    </row>
    <row r="49">
      <c r="A49" s="12" t="inlineStr">
        <is>
          <t>New estimated mil rate (AOS model)</t>
        </is>
      </c>
      <c r="B49" s="35">
        <f>B47/'I-Withdrawal'!B111*1000</f>
        <v/>
      </c>
    </row>
    <row r="50">
      <c r="A50" s="8" t="inlineStr">
        <is>
          <t>Annual cost change per household</t>
        </is>
      </c>
      <c r="B50" s="14">
        <f>B48/'I-Withdrawal'!B112</f>
        <v/>
      </c>
    </row>
    <row r="52">
      <c r="A52" s="3" t="inlineStr">
        <is>
          <t>SCENARIO D: LEGAL CHALLENGE (§1512 contest)</t>
        </is>
      </c>
    </row>
    <row r="53">
      <c r="A53" s="2" t="inlineStr">
        <is>
          <t>Cost to challenge the 'reconfiguration vs. closure' framing in court or</t>
        </is>
      </c>
    </row>
    <row r="54">
      <c r="A54" s="2" t="inlineStr">
        <is>
          <t>via petition to Commissioner of Education. One-time cost, uncertain outcome.</t>
        </is>
      </c>
    </row>
    <row r="56">
      <c r="A56" s="5" t="inlineStr">
        <is>
          <t>Legal challenge cost (low estimate)</t>
        </is>
      </c>
      <c r="B56" s="6">
        <f>'I-Withdrawal'!B101</f>
        <v/>
      </c>
    </row>
    <row r="57">
      <c r="A57" s="5" t="inlineStr">
        <is>
          <t>Legal challenge cost (high estimate)</t>
        </is>
      </c>
      <c r="B57" s="6">
        <f>'I-Withdrawal'!C101</f>
        <v/>
      </c>
    </row>
    <row r="58">
      <c r="A58" s="36" t="inlineStr">
        <is>
          <t>Probability of success (analyst assessment)</t>
        </is>
      </c>
      <c r="B58" s="37" t="n">
        <v>0.35</v>
      </c>
    </row>
    <row r="59">
      <c r="A59" s="2" t="inlineStr">
        <is>
          <t>Assessment: statutory text favors 'reconfiguration' interpretation; MSAD #1 precedent</t>
        </is>
      </c>
    </row>
    <row r="60">
      <c r="A60" s="2" t="inlineStr">
        <is>
          <t>supports district. Counterarguments exist but are untested. [Fn 30][Fn 39]</t>
        </is>
      </c>
    </row>
    <row r="63">
      <c r="A63" s="3" t="inlineStr">
        <is>
          <t>SCENARIO E: K-8 PES EXPANSION (tuition 9-12 only)</t>
        </is>
      </c>
    </row>
    <row r="64">
      <c r="A64" s="2" t="inlineStr">
        <is>
          <t>PES expands from K-5 to K-8. Pownal operates its own middle school.</t>
        </is>
      </c>
    </row>
    <row r="65">
      <c r="A65" s="2" t="inlineStr">
        <is>
          <t>Only grades 9-12 are tuitioned to Freeport High School (or elsewhere).</t>
        </is>
      </c>
    </row>
    <row r="66">
      <c r="A66" s="2" t="inlineStr">
        <is>
          <t>Trades higher operating cost for lower tuition spend and more control.</t>
        </is>
      </c>
    </row>
    <row r="68">
      <c r="A68" s="5" t="inlineStr">
        <is>
          <t>PES school-level operating cost (K-5, current)</t>
        </is>
      </c>
      <c r="B68" s="6">
        <f>'I-Withdrawal'!B26</f>
        <v/>
      </c>
    </row>
    <row r="69">
      <c r="A69" s="5" t="inlineStr">
        <is>
          <t>Additional cost: grades 6-8 staffing + operations</t>
        </is>
      </c>
      <c r="B69" s="6">
        <f>'I-Withdrawal'!B139</f>
        <v/>
      </c>
    </row>
    <row r="70">
      <c r="A70" s="5" t="inlineStr">
        <is>
          <t>Admin costs (same as Scenario B excl. tuition &amp; contingency)</t>
        </is>
      </c>
      <c r="B70" s="6">
        <f>'I-Withdrawal'!B46-'I-Withdrawal'!B41-'I-Withdrawal'!B45</f>
        <v/>
      </c>
    </row>
    <row r="71">
      <c r="A71" s="5" t="inlineStr">
        <is>
          <t>HS tuition (9-12 only)</t>
        </is>
      </c>
      <c r="B71" s="6">
        <f>'I-Withdrawal'!B141</f>
        <v/>
      </c>
    </row>
    <row r="72">
      <c r="A72" s="5" t="inlineStr">
        <is>
          <t>Contingency (5% of above)</t>
        </is>
      </c>
      <c r="B72" s="6">
        <f>SUM(B68:B71)*0.05</f>
        <v/>
      </c>
    </row>
    <row r="73">
      <c r="A73" s="8" t="inlineStr">
        <is>
          <t>GROSS K-8 INDEPENDENT BUDGET</t>
        </is>
      </c>
      <c r="B73" s="9">
        <f>SUM(B68:B72)</f>
        <v/>
      </c>
    </row>
    <row r="75">
      <c r="A75" s="5" t="inlineStr">
        <is>
          <t>Less: State EPS share</t>
        </is>
      </c>
      <c r="B75" s="10">
        <f>-'I-Withdrawal'!B109</f>
        <v/>
      </c>
    </row>
    <row r="76">
      <c r="A76" s="5" t="inlineStr">
        <is>
          <t>Less: Isolated small school adjustment</t>
        </is>
      </c>
      <c r="B76" s="10">
        <f>-'I-Withdrawal'!B110</f>
        <v/>
      </c>
    </row>
    <row r="77">
      <c r="A77" s="8" t="inlineStr">
        <is>
          <t>NET LOCAL COST (K-8 model)</t>
        </is>
      </c>
      <c r="B77" s="9">
        <f>B73+B75+B76</f>
        <v/>
      </c>
    </row>
    <row r="79">
      <c r="A79" s="8" t="inlineStr">
        <is>
          <t>CHANGE vs. CURRENT RSU ASSESSMENT</t>
        </is>
      </c>
      <c r="B79" s="14">
        <f>B77-B31</f>
        <v/>
      </c>
    </row>
    <row r="80">
      <c r="A80" s="8" t="inlineStr">
        <is>
          <t>Annual cost change per household</t>
        </is>
      </c>
      <c r="B80" s="14">
        <f>B79/'I-Withdrawal'!B112</f>
        <v/>
      </c>
    </row>
    <row r="81">
      <c r="A81" s="12" t="inlineStr">
        <is>
          <t>Mil rate (K-8 model)</t>
        </is>
      </c>
      <c r="B81" s="35">
        <f>B77/'I-Withdrawal'!B111*1000</f>
        <v/>
      </c>
    </row>
    <row r="82">
      <c r="A82" s="12" t="inlineStr">
        <is>
          <t>vs. Scenario B (K-5 + full tuition)</t>
        </is>
      </c>
      <c r="B82" s="38">
        <f>B77-B29</f>
        <v/>
      </c>
    </row>
    <row r="84">
      <c r="A84" s="2" t="inlineStr">
        <is>
          <t>K-8 TRADEOFFS:</t>
        </is>
      </c>
    </row>
    <row r="85">
      <c r="A85" s="2" t="inlineStr">
        <is>
          <t xml:space="preserve">  PRO: Local control through 8th grade; students stay in Pownal 3 more years.</t>
        </is>
      </c>
    </row>
    <row r="86">
      <c r="A86" s="2" t="inlineStr">
        <is>
          <t xml:space="preserve">  PRO: Reduces tuition dependency; fewer students at other districts' mercy.</t>
        </is>
      </c>
    </row>
    <row r="87">
      <c r="A87" s="2" t="inlineStr">
        <is>
          <t xml:space="preserve">  PRO: PES has physical capacity (~180 design, ~150 at K-8).</t>
        </is>
      </c>
    </row>
    <row r="88">
      <c r="A88" s="2" t="inlineStr">
        <is>
          <t xml:space="preserve">  CON: Small MS cohort (~45) limits course variety -- no French, Latin, band at scale.</t>
        </is>
      </c>
    </row>
    <row r="89">
      <c r="A89" s="2" t="inlineStr">
        <is>
          <t xml:space="preserve">  CON: MS athletics challenging with 15 students/grade.</t>
        </is>
      </c>
    </row>
    <row r="90">
      <c r="A90" s="2" t="inlineStr">
        <is>
          <t xml:space="preserve">  CON: Requires DOE approval for expanded grade range.</t>
        </is>
      </c>
    </row>
    <row r="91">
      <c r="A91" s="2" t="inlineStr">
        <is>
          <t xml:space="preserve">  CON: One-time facility upgrades (science lab, ~$75K) not in annual budget.</t>
        </is>
      </c>
    </row>
    <row r="92">
      <c r="A92" s="2" t="inlineStr">
        <is>
          <t xml:space="preserve">  NEUTRAL: Net annual cost difference vs Scenario B depends on teacher count.</t>
        </is>
      </c>
    </row>
    <row r="94">
      <c r="A94" s="3" t="inlineStr">
        <is>
          <t>BREAK-EVEN: ALL SCENARIOS vs. RSU MEMBERSHIP</t>
        </is>
      </c>
    </row>
    <row r="95">
      <c r="A95" s="2" t="inlineStr">
        <is>
          <t>Compares annual cost of each independence scenario to current RSU local tax.</t>
        </is>
      </c>
    </row>
    <row r="97">
      <c r="A97" s="5" t="inlineStr">
        <is>
          <t>Current RSU local tax (Pownal)</t>
        </is>
      </c>
      <c r="B97" s="6">
        <f>B31</f>
        <v/>
      </c>
    </row>
    <row r="98">
      <c r="A98" s="5" t="inlineStr">
        <is>
          <t>Scenario B cost (K-5 + full 6-12 tuition)</t>
        </is>
      </c>
      <c r="B98" s="6">
        <f>B29</f>
        <v/>
      </c>
    </row>
    <row r="99">
      <c r="A99" s="5" t="inlineStr">
        <is>
          <t>Scenario C cost (K-5 + AOS)</t>
        </is>
      </c>
      <c r="B99" s="6">
        <f>B47</f>
        <v/>
      </c>
    </row>
    <row r="100">
      <c r="A100" s="5" t="inlineStr">
        <is>
          <t>Scenario E cost (K-8 + HS tuition)</t>
        </is>
      </c>
      <c r="B100" s="6">
        <f>B77</f>
        <v/>
      </c>
    </row>
    <row r="101">
      <c r="A101" s="8" t="inlineStr">
        <is>
          <t>Savings vs RSU: Scenario B (K-5 + tuition)</t>
        </is>
      </c>
      <c r="B101" s="14">
        <f>-B32</f>
        <v/>
      </c>
    </row>
    <row r="102">
      <c r="A102" s="8" t="inlineStr">
        <is>
          <t>Savings vs RSU: Scenario C (K-5 + AOS)</t>
        </is>
      </c>
      <c r="B102" s="14">
        <f>-B48</f>
        <v/>
      </c>
    </row>
    <row r="103">
      <c r="A103" s="8" t="inlineStr">
        <is>
          <t>Savings vs RSU: Scenario E (K-8 + HS tuition)</t>
        </is>
      </c>
      <c r="B103" s="14">
        <f>-B79</f>
        <v/>
      </c>
    </row>
    <row r="104">
      <c r="A104" s="2" t="inlineStr">
        <is>
          <t>Positive = independence SAVES money vs. current RSU local tax.</t>
        </is>
      </c>
    </row>
    <row r="105">
      <c r="A105" s="2" t="inlineStr">
        <is>
          <t>Negative = independence costs MORE than current RSU local tax.</t>
        </is>
      </c>
    </row>
    <row r="107">
      <c r="A107" s="3" t="inlineStr">
        <is>
          <t>5-YEAR COST PROJECTION (Scenario B)</t>
        </is>
      </c>
    </row>
    <row r="108">
      <c r="A108" s="2" t="inlineStr">
        <is>
          <t>Assumes 3.5% annual cost growth for both RSU and independent operation.</t>
        </is>
      </c>
    </row>
    <row r="110">
      <c r="A110" s="4" t="inlineStr">
        <is>
          <t>Year</t>
        </is>
      </c>
      <c r="B110" s="4" t="inlineStr">
        <is>
          <t>RSU Assessment (est.)</t>
        </is>
      </c>
      <c r="C110" s="4" t="inlineStr">
        <is>
          <t>Independent Cost (est.)</t>
        </is>
      </c>
      <c r="D110" s="4" t="inlineStr">
        <is>
          <t>Annual Premium</t>
        </is>
      </c>
      <c r="E110" s="4" t="inlineStr">
        <is>
          <t>Cumulative Premium</t>
        </is>
      </c>
    </row>
    <row r="111">
      <c r="A111" s="5" t="inlineStr">
        <is>
          <t>Year 1</t>
        </is>
      </c>
      <c r="B111" s="6">
        <f>B31*1.035</f>
        <v/>
      </c>
      <c r="C111" s="6">
        <f>B29*1.035</f>
        <v/>
      </c>
      <c r="D111" s="10">
        <f>C111-B111</f>
        <v/>
      </c>
      <c r="E111" s="10">
        <f>D111+'I-Withdrawal'!B91</f>
        <v/>
      </c>
    </row>
    <row r="112">
      <c r="A112" s="5" t="inlineStr">
        <is>
          <t>Year 2</t>
        </is>
      </c>
      <c r="B112" s="6">
        <f>B111*1.035</f>
        <v/>
      </c>
      <c r="C112" s="6">
        <f>C111*1.035</f>
        <v/>
      </c>
      <c r="D112" s="10">
        <f>C112-B112</f>
        <v/>
      </c>
      <c r="E112" s="10">
        <f>E111+D112</f>
        <v/>
      </c>
    </row>
    <row r="113">
      <c r="A113" s="5" t="inlineStr">
        <is>
          <t>Year 3</t>
        </is>
      </c>
      <c r="B113" s="6">
        <f>B112*1.035</f>
        <v/>
      </c>
      <c r="C113" s="6">
        <f>C112*1.035</f>
        <v/>
      </c>
      <c r="D113" s="10">
        <f>C113-B113</f>
        <v/>
      </c>
      <c r="E113" s="10">
        <f>E112+D113</f>
        <v/>
      </c>
    </row>
    <row r="114">
      <c r="A114" s="5" t="inlineStr">
        <is>
          <t>Year 4</t>
        </is>
      </c>
      <c r="B114" s="6">
        <f>B113*1.035</f>
        <v/>
      </c>
      <c r="C114" s="6">
        <f>C113*1.035</f>
        <v/>
      </c>
      <c r="D114" s="10">
        <f>C114-B114</f>
        <v/>
      </c>
      <c r="E114" s="10">
        <f>E113+D114</f>
        <v/>
      </c>
    </row>
    <row r="115">
      <c r="A115" s="5" t="inlineStr">
        <is>
          <t>Year 5</t>
        </is>
      </c>
      <c r="B115" s="6">
        <f>B114*1.035</f>
        <v/>
      </c>
      <c r="C115" s="6">
        <f>C114*1.035</f>
        <v/>
      </c>
      <c r="D115" s="10">
        <f>C115-B115</f>
        <v/>
      </c>
      <c r="E115" s="10">
        <f>E114+D115</f>
        <v/>
      </c>
    </row>
    <row r="116">
      <c r="A116" s="8" t="inlineStr">
        <is>
          <t>5-YEAR CUMULATIVE COST OF INDEPENDENCE</t>
        </is>
      </c>
      <c r="B116" s="14">
        <f>E115</f>
        <v/>
      </c>
    </row>
    <row r="117">
      <c r="A117" s="2" t="inlineStr">
        <is>
          <t>This is the total additional cost over 5 years of operating independently vs. staying in RSU 5.</t>
        </is>
      </c>
    </row>
    <row r="118">
      <c r="A118" s="2" t="inlineStr">
        <is>
          <t>Includes one-time withdrawal process costs in Year 1.</t>
        </is>
      </c>
    </row>
    <row r="119">
      <c r="A119" s="2" t="inlineStr">
        <is>
          <t>Does NOT include non-financial benefits: full local control, guaranteed school operation,</t>
        </is>
      </c>
    </row>
    <row r="120">
      <c r="A120" s="2" t="inlineStr">
        <is>
          <t>community identity preservation, property value protection.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4444"/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44" customWidth="1" min="5" max="5"/>
  </cols>
  <sheetData>
    <row r="1">
      <c r="A1" s="1" t="inlineStr">
        <is>
          <t>CALC: Legal &amp; Strategic Analysis</t>
        </is>
      </c>
    </row>
    <row r="3">
      <c r="A3" s="2" t="inlineStr">
        <is>
          <t>Structured assessment of Pownal's legal options. Not formula-heavy;</t>
        </is>
      </c>
    </row>
    <row r="4">
      <c r="A4" s="2" t="inlineStr">
        <is>
          <t>provides decision framework for qualitative dimensions.</t>
        </is>
      </c>
    </row>
    <row r="6">
      <c r="A6" s="3" t="inlineStr">
        <is>
          <t>PART 1: RECONFIGURATION vs. CLOSURE -- §1512 APPLICABILITY [Fn 30][Fn 39]</t>
        </is>
      </c>
    </row>
    <row r="8">
      <c r="A8" s="39" t="inlineStr">
        <is>
          <t>STATUTORY TEXT (Title 20-A §1512(4)):</t>
        </is>
      </c>
      <c r="B8" s="40" t="n"/>
      <c r="C8" s="40" t="n"/>
      <c r="D8" s="40" t="n"/>
      <c r="E8" s="41" t="n"/>
    </row>
    <row r="9">
      <c r="A9" s="42" t="inlineStr">
        <is>
          <t>"...a school closing is any action by the regional school unit board</t>
        </is>
      </c>
      <c r="B9" s="40" t="n"/>
      <c r="C9" s="40" t="n"/>
      <c r="D9" s="40" t="n"/>
      <c r="E9" s="41" t="n"/>
    </row>
    <row r="10">
      <c r="A10" s="42" t="inlineStr">
        <is>
          <t>that has the effect of providing no instruction for any students at that school."</t>
        </is>
      </c>
      <c r="B10" s="40" t="n"/>
      <c r="C10" s="40" t="n"/>
      <c r="D10" s="40" t="n"/>
      <c r="E10" s="41" t="n"/>
    </row>
    <row r="12">
      <c r="A12" s="4" t="inlineStr">
        <is>
          <t>Argument</t>
        </is>
      </c>
      <c r="B12" s="4" t="inlineStr">
        <is>
          <t>For §1512 Applying</t>
        </is>
      </c>
      <c r="C12" s="4" t="inlineStr">
        <is>
          <t>Against §1512 Applying</t>
        </is>
      </c>
      <c r="D12" s="4" t="inlineStr">
        <is>
          <t>Strength</t>
        </is>
      </c>
    </row>
    <row r="13">
      <c r="A13" s="5" t="inlineStr">
        <is>
          <t>Plain text: 'no instruction for any students'</t>
        </is>
      </c>
      <c r="B13" s="43" t="inlineStr">
        <is>
          <t>PES K-5 students lose all instruction at PES</t>
        </is>
      </c>
      <c r="C13" s="43" t="inlineStr">
        <is>
          <t>EC/PreK students still receive instruction at the building</t>
        </is>
      </c>
      <c r="D13" s="12" t="inlineStr">
        <is>
          <t>AGAINST</t>
        </is>
      </c>
    </row>
    <row r="14">
      <c r="A14" s="5" t="inlineStr">
        <is>
          <t>'School' vs. 'building' distinction</t>
        </is>
      </c>
      <c r="B14" s="43" t="inlineStr">
        <is>
          <t>PES the K-5 school ceases to exist; EC is a new program</t>
        </is>
      </c>
      <c r="C14" s="43" t="inlineStr">
        <is>
          <t>Statute refers to 'at that school' = the physical location</t>
        </is>
      </c>
      <c r="D14" s="5" t="inlineStr">
        <is>
          <t>MIXED</t>
        </is>
      </c>
    </row>
    <row r="15">
      <c r="A15" s="5" t="inlineStr">
        <is>
          <t>Legislative intent of §1512</t>
        </is>
      </c>
      <c r="B15" s="43" t="inlineStr">
        <is>
          <t>Enacted to protect small communities from losing their schools</t>
        </is>
      </c>
      <c r="C15" s="43" t="inlineStr">
        <is>
          <t>Legislature could have written 'program' but chose 'instruction'</t>
        </is>
      </c>
      <c r="D15" s="36" t="inlineStr">
        <is>
          <t>FOR (spirit)</t>
        </is>
      </c>
    </row>
    <row r="16">
      <c r="A16" s="5" t="inlineStr">
        <is>
          <t>MSAD #1 precedent (Feb 2026) [Fn 39]</t>
        </is>
      </c>
      <c r="B16" s="43" t="inlineStr">
        <is>
          <t>Different district; no court ruling; administrative practice only</t>
        </is>
      </c>
      <c r="C16" s="43" t="inlineStr">
        <is>
          <t>Pine St Elem -&gt; PreK-Gr1 treated as reconfiguration, not closure</t>
        </is>
      </c>
      <c r="D16" s="12" t="inlineStr">
        <is>
          <t>AGAINST</t>
        </is>
      </c>
    </row>
    <row r="17">
      <c r="A17" s="5" t="inlineStr">
        <is>
          <t>De facto closure doctrine</t>
        </is>
      </c>
      <c r="B17" s="43" t="inlineStr">
        <is>
          <t>Every K-5 student displaced; community loses its school in substance</t>
        </is>
      </c>
      <c r="C17" s="43" t="inlineStr">
        <is>
          <t>Courts have not applied this doctrine to Maine §1512 specifically</t>
        </is>
      </c>
      <c r="D17" s="5" t="inlineStr">
        <is>
          <t>MIXED</t>
        </is>
      </c>
    </row>
    <row r="18">
      <c r="A18" s="5" t="inlineStr">
        <is>
          <t>Commissioner of Education ruling</t>
        </is>
      </c>
      <c r="B18" s="43" t="inlineStr">
        <is>
          <t>Pownal could petition for ruling; untested question = uncertainty</t>
        </is>
      </c>
      <c r="C18" s="43" t="inlineStr">
        <is>
          <t>Commissioner may defer to district's administrative discretion</t>
        </is>
      </c>
      <c r="D18" s="5" t="inlineStr">
        <is>
          <t>UNCERTAIN</t>
        </is>
      </c>
    </row>
    <row r="20">
      <c r="A20" s="8" t="inlineStr">
        <is>
          <t>NET ASSESSMENT:</t>
        </is>
      </c>
      <c r="B20" s="44" t="inlineStr">
        <is>
          <t>§1512 likely does NOT block Option 2 as framed.</t>
        </is>
      </c>
      <c r="C20" s="40" t="n"/>
      <c r="D20" s="41" t="n"/>
    </row>
    <row r="21">
      <c r="A21" s="8" t="inlineStr">
        <is>
          <t>IMPLICATION:</t>
        </is>
      </c>
      <c r="B21" s="44" t="inlineStr">
        <is>
          <t>Withdrawal (§1466) is the more reliable recourse path.</t>
        </is>
      </c>
      <c r="C21" s="40" t="n"/>
      <c r="D21" s="41" t="n"/>
    </row>
    <row r="23">
      <c r="A23" s="3" t="inlineStr">
        <is>
          <t>PART 2: RECOURSE OPTION COMPARISON MATRIX</t>
        </is>
      </c>
    </row>
    <row r="24">
      <c r="A24" s="2" t="inlineStr">
        <is>
          <t>Scale: 1 (worst) to 5 (best) for each dimension.</t>
        </is>
      </c>
    </row>
    <row r="26">
      <c r="A26" s="4" t="inlineStr">
        <is>
          <t>Option</t>
        </is>
      </c>
      <c r="B26" s="4" t="inlineStr">
        <is>
          <t>Legal
Strength</t>
        </is>
      </c>
      <c r="C26" s="4" t="inlineStr">
        <is>
          <t>Est. Cost</t>
        </is>
      </c>
      <c r="D26" s="4" t="inlineStr">
        <is>
          <t>Timeline</t>
        </is>
      </c>
      <c r="E26" s="4" t="inlineStr">
        <is>
          <t>Control
Gained</t>
        </is>
      </c>
      <c r="F26" s="4" t="inlineStr">
        <is>
          <t>Reversibility</t>
        </is>
      </c>
      <c r="G26" s="4" t="inlineStr">
        <is>
          <t>Risk</t>
        </is>
      </c>
      <c r="H26" s="4" t="inlineStr">
        <is>
          <t>Precedent</t>
        </is>
      </c>
    </row>
    <row r="27">
      <c r="A27" s="5" t="inlineStr">
        <is>
          <t>§1512 legal challenge</t>
        </is>
      </c>
      <c r="B27" s="17" t="n">
        <v>2</v>
      </c>
      <c r="C27" s="5" t="inlineStr">
        <is>
          <t>$25K-$88K</t>
        </is>
      </c>
      <c r="D27" s="5" t="inlineStr">
        <is>
          <t>6-18 months</t>
        </is>
      </c>
      <c r="E27" s="17" t="n">
        <v>2</v>
      </c>
      <c r="F27" s="17" t="n">
        <v>5</v>
      </c>
      <c r="G27" s="17" t="n">
        <v>3</v>
      </c>
      <c r="H27" s="17" t="n">
        <v>2</v>
      </c>
    </row>
    <row r="28">
      <c r="A28" s="5" t="inlineStr">
        <is>
          <t>Full RSU withdrawal (§1466)</t>
        </is>
      </c>
      <c r="B28" s="17" t="n">
        <v>5</v>
      </c>
      <c r="C28" s="5" t="inlineStr">
        <is>
          <t>$70K + taxes</t>
        </is>
      </c>
      <c r="D28" s="5" t="inlineStr">
        <is>
          <t>12-24 months</t>
        </is>
      </c>
      <c r="E28" s="17" t="n">
        <v>5</v>
      </c>
      <c r="F28" s="17" t="n">
        <v>3</v>
      </c>
      <c r="G28" s="17" t="n">
        <v>3</v>
      </c>
      <c r="H28" s="17" t="n">
        <v>4</v>
      </c>
    </row>
    <row r="29">
      <c r="A29" s="5" t="inlineStr">
        <is>
          <t>Withdrawal + AOS</t>
        </is>
      </c>
      <c r="B29" s="17" t="n">
        <v>5</v>
      </c>
      <c r="C29" s="5" t="inlineStr">
        <is>
          <t>$70K + taxes</t>
        </is>
      </c>
      <c r="D29" s="5" t="inlineStr">
        <is>
          <t>12-24 months</t>
        </is>
      </c>
      <c r="E29" s="17" t="n">
        <v>4</v>
      </c>
      <c r="F29" s="17" t="n">
        <v>3</v>
      </c>
      <c r="G29" s="17" t="n">
        <v>2</v>
      </c>
      <c r="H29" s="17" t="n">
        <v>3</v>
      </c>
    </row>
    <row r="30">
      <c r="A30" s="5" t="inlineStr">
        <is>
          <t>Withdrawal + K-8 PES (Scenario E)</t>
        </is>
      </c>
      <c r="B30" s="17" t="n">
        <v>5</v>
      </c>
      <c r="C30" s="5" t="inlineStr">
        <is>
          <t>$70K + taxes</t>
        </is>
      </c>
      <c r="D30" s="5" t="inlineStr">
        <is>
          <t>12-24 months</t>
        </is>
      </c>
      <c r="E30" s="17" t="n">
        <v>5</v>
      </c>
      <c r="F30" s="17" t="n">
        <v>2</v>
      </c>
      <c r="G30" s="17" t="n">
        <v>3</v>
      </c>
      <c r="H30" s="17" t="n">
        <v>2</v>
      </c>
    </row>
    <row r="31">
      <c r="A31" s="5" t="inlineStr">
        <is>
          <t>Advocate ALM formula change (§1481-A)</t>
        </is>
      </c>
      <c r="B31" s="17" t="n">
        <v>3</v>
      </c>
      <c r="C31" s="5" t="inlineStr">
        <is>
          <t>$5K-$15K</t>
        </is>
      </c>
      <c r="D31" s="5" t="inlineStr">
        <is>
          <t>6-12 months</t>
        </is>
      </c>
      <c r="E31" s="17" t="n">
        <v>2</v>
      </c>
      <c r="F31" s="17" t="n">
        <v>5</v>
      </c>
      <c r="G31" s="17" t="n">
        <v>1</v>
      </c>
      <c r="H31" s="17" t="n">
        <v>3</v>
      </c>
    </row>
    <row r="32">
      <c r="A32" s="5" t="inlineStr">
        <is>
          <t>Leverage (threaten withdrawal)</t>
        </is>
      </c>
      <c r="B32" s="17" t="n">
        <v>4</v>
      </c>
      <c r="C32" s="5" t="inlineStr">
        <is>
          <t>$5K-$50K</t>
        </is>
      </c>
      <c r="D32" s="5" t="inlineStr">
        <is>
          <t>3-6 months</t>
        </is>
      </c>
      <c r="E32" s="17" t="n">
        <v>3</v>
      </c>
      <c r="F32" s="17" t="n">
        <v>5</v>
      </c>
      <c r="G32" s="17" t="n">
        <v>1</v>
      </c>
      <c r="H32" s="17" t="n">
        <v>4</v>
      </c>
    </row>
    <row r="33">
      <c r="A33" s="5" t="inlineStr">
        <is>
          <t>Do nothing / accept</t>
        </is>
      </c>
      <c r="B33" s="5" t="n">
        <v>0</v>
      </c>
      <c r="C33" s="5" t="inlineStr">
        <is>
          <t>$0</t>
        </is>
      </c>
      <c r="D33" s="5" t="inlineStr">
        <is>
          <t>N/A</t>
        </is>
      </c>
      <c r="E33" s="5" t="inlineStr">
        <is>
          <t>N/A</t>
        </is>
      </c>
      <c r="F33" s="5" t="inlineStr">
        <is>
          <t>N/A</t>
        </is>
      </c>
      <c r="G33" s="5" t="inlineStr">
        <is>
          <t>N/A</t>
        </is>
      </c>
      <c r="H33" s="5" t="inlineStr">
        <is>
          <t>N/A</t>
        </is>
      </c>
    </row>
    <row r="35">
      <c r="A35" s="2" t="inlineStr">
        <is>
          <t>Legal Strength: 5=clear statutory right, 1=contested/weak</t>
        </is>
      </c>
    </row>
    <row r="36">
      <c r="A36" s="2" t="inlineStr">
        <is>
          <t>Control: 5=full local autonomy, 1=minimal influence</t>
        </is>
      </c>
    </row>
    <row r="37">
      <c r="A37" s="2" t="inlineStr">
        <is>
          <t>Risk: 5=low risk, 1=high risk. Reversibility: 5=fully reversible, 1=permanent</t>
        </is>
      </c>
    </row>
    <row r="38">
      <c r="A38" s="2" t="inlineStr">
        <is>
          <t>Precedent: 5=strong Maine precedent, 1=no precedent</t>
        </is>
      </c>
    </row>
    <row r="40">
      <c r="A40" s="3" t="inlineStr">
        <is>
          <t>PART 3: PARALLEL PRECEDENTS [Fn 33][Fn 34][Fn 38][Fn 39]</t>
        </is>
      </c>
    </row>
    <row r="42">
      <c r="A42" s="4" t="inlineStr">
        <is>
          <t>District / Case</t>
        </is>
      </c>
      <c r="B42" s="4" t="inlineStr">
        <is>
          <t>Action</t>
        </is>
      </c>
      <c r="C42" s="4" t="inlineStr">
        <is>
          <t>Outcome</t>
        </is>
      </c>
      <c r="D42" s="4" t="inlineStr">
        <is>
          <t>Similarity
to Pownal</t>
        </is>
      </c>
      <c r="E42" s="4" t="inlineStr">
        <is>
          <t>Relevance</t>
        </is>
      </c>
    </row>
    <row r="43">
      <c r="A43" s="43" t="inlineStr">
        <is>
          <t>MSAD #1 / Pine Street (2026) [Fn 39]</t>
        </is>
      </c>
      <c r="B43" s="43" t="inlineStr">
        <is>
          <t>Elem -&gt; PreK-Gr1 (reconfiguration)</t>
        </is>
      </c>
      <c r="C43" s="43" t="inlineStr">
        <is>
          <t>Treated as admin decision, not §1512 closure</t>
        </is>
      </c>
      <c r="D43" s="43" t="inlineStr">
        <is>
          <t>HIGH: same EC mandate, same building repurpose</t>
        </is>
      </c>
      <c r="E43" s="45" t="inlineStr">
        <is>
          <t>KEY</t>
        </is>
      </c>
    </row>
    <row r="44">
      <c r="A44" s="43" t="inlineStr">
        <is>
          <t>SAD 75 / Harpswell (2026) [Fn 38]</t>
        </is>
      </c>
      <c r="B44" s="43" t="inlineStr">
        <is>
          <t>Community opposed closure of only school</t>
        </is>
      </c>
      <c r="C44" s="43" t="inlineStr">
        <is>
          <t>District abandoned ALL closure options</t>
        </is>
      </c>
      <c r="D44" s="43" t="inlineStr">
        <is>
          <t>HIGH: small town, community school identity</t>
        </is>
      </c>
      <c r="E44" s="43" t="inlineStr">
        <is>
          <t>HIGH</t>
        </is>
      </c>
    </row>
    <row r="45">
      <c r="A45" s="43" t="inlineStr">
        <is>
          <t>Freeport / RSU 5 (2014) [Fn 33]</t>
        </is>
      </c>
      <c r="B45" s="43" t="inlineStr">
        <is>
          <t>Withdrawal petition, full agreement drafted</t>
        </is>
      </c>
      <c r="C45" s="43" t="inlineStr">
        <is>
          <t>Vote failed by 76 votes (2152-2228)</t>
        </is>
      </c>
      <c r="D45" s="43" t="inlineStr">
        <is>
          <t>DIRECT: same RSU, same legal framework</t>
        </is>
      </c>
      <c r="E45" s="45" t="inlineStr">
        <is>
          <t>KEY</t>
        </is>
      </c>
    </row>
    <row r="46">
      <c r="A46" s="43" t="inlineStr">
        <is>
          <t>Dayton / RSU 23 (2014) [Fn 35]</t>
        </is>
      </c>
      <c r="B46" s="43" t="inlineStr">
        <is>
          <t>Full withdrawal, independent operation</t>
        </is>
      </c>
      <c r="C46" s="43" t="inlineStr">
        <is>
          <t>Success; mil rate 18.47-&gt;20.85; full control</t>
        </is>
      </c>
      <c r="D46" s="43" t="inlineStr">
        <is>
          <t>MODERATE: larger, different region</t>
        </is>
      </c>
      <c r="E46" s="43" t="inlineStr">
        <is>
          <t>HIGH</t>
        </is>
      </c>
    </row>
    <row r="47">
      <c r="A47" s="43" t="inlineStr">
        <is>
          <t>Andover / SAD 44 (2015) [Fn 35]</t>
        </is>
      </c>
      <c r="B47" s="43" t="inlineStr">
        <is>
          <t>Full withdrawal, independent K-5</t>
        </is>
      </c>
      <c r="C47" s="43" t="inlineStr">
        <is>
          <t>Success; mil rate 15.6-&gt;19.6; ~30 students</t>
        </is>
      </c>
      <c r="D47" s="43" t="inlineStr">
        <is>
          <t>HIGH: similar enrollment size</t>
        </is>
      </c>
      <c r="E47" s="43" t="inlineStr">
        <is>
          <t>HIGH</t>
        </is>
      </c>
    </row>
    <row r="48">
      <c r="A48" s="43" t="inlineStr">
        <is>
          <t>Embden / RSU 74 (2025) [Fn 37]</t>
        </is>
      </c>
      <c r="B48" s="43" t="inlineStr">
        <is>
          <t>Withdrawal petition filed, $50K authorized</t>
        </is>
      </c>
      <c r="C48" s="43" t="inlineStr">
        <is>
          <t>Process ongoing</t>
        </is>
      </c>
      <c r="D48" s="43" t="inlineStr">
        <is>
          <t>MODERATE: rural, different region</t>
        </is>
      </c>
      <c r="E48" s="43" t="inlineStr">
        <is>
          <t>MODERATE</t>
        </is>
      </c>
    </row>
    <row r="50">
      <c r="A50" s="3" t="inlineStr">
        <is>
          <t>PART 4: STRATEGIC TIMELINE &amp; DECISION TREE</t>
        </is>
      </c>
    </row>
    <row r="52">
      <c r="A52" s="4" t="inlineStr">
        <is>
          <t>Date / Window</t>
        </is>
      </c>
      <c r="B52" s="4" t="inlineStr">
        <is>
          <t>Action</t>
        </is>
      </c>
      <c r="C52" s="4" t="inlineStr">
        <is>
          <t>Prerequisite</t>
        </is>
      </c>
      <c r="D52" s="4" t="inlineStr">
        <is>
          <t>Statute</t>
        </is>
      </c>
    </row>
    <row r="53">
      <c r="A53" s="43" t="inlineStr">
        <is>
          <t>Immediate (Spring 2026)</t>
        </is>
      </c>
      <c r="B53" s="43" t="inlineStr">
        <is>
          <t>Gather 10% petition signatures (§1466)</t>
        </is>
      </c>
      <c r="C53" s="43" t="inlineStr">
        <is>
          <t>Pownal voter roll from last gubernatorial election</t>
        </is>
      </c>
      <c r="D53" s="46" t="inlineStr">
        <is>
          <t>20-A §1466(1)</t>
        </is>
      </c>
    </row>
    <row r="54">
      <c r="A54" s="43" t="inlineStr">
        <is>
          <t>Spring 2026</t>
        </is>
      </c>
      <c r="B54" s="43" t="inlineStr">
        <is>
          <t>Town vote: authorize withdrawal committee + $50K</t>
        </is>
      </c>
      <c r="C54" s="43" t="inlineStr">
        <is>
          <t>Petition signatures verified</t>
        </is>
      </c>
      <c r="D54" s="46" t="inlineStr">
        <is>
          <t>20-A §1466(2)</t>
        </is>
      </c>
    </row>
    <row r="55">
      <c r="A55" s="43" t="inlineStr">
        <is>
          <t>Spring 2026 (parallel)</t>
        </is>
      </c>
      <c r="B55" s="43" t="inlineStr">
        <is>
          <t>File §1512 challenge with Commissioner</t>
        </is>
      </c>
      <c r="C55" s="43" t="inlineStr">
        <is>
          <t>Legal counsel retained; Board has voted on Option 2</t>
        </is>
      </c>
      <c r="D55" s="46" t="inlineStr">
        <is>
          <t>20-A §1512</t>
        </is>
      </c>
    </row>
    <row r="56">
      <c r="A56" s="43" t="inlineStr">
        <is>
          <t>Summer-Fall 2026</t>
        </is>
      </c>
      <c r="B56" s="43" t="inlineStr">
        <is>
          <t>Withdrawal committee negotiates agreement with RSU 5</t>
        </is>
      </c>
      <c r="C56" s="43" t="inlineStr">
        <is>
          <t>Committee formed; 90-day negotiation window</t>
        </is>
      </c>
      <c r="D56" s="46" t="inlineStr">
        <is>
          <t>20-A §1466(4)</t>
        </is>
      </c>
    </row>
    <row r="57">
      <c r="A57" s="43" t="inlineStr">
        <is>
          <t>By November 30, 2026</t>
        </is>
      </c>
      <c r="B57" s="43" t="inlineStr">
        <is>
          <t>Final referendum vote on withdrawal agreement</t>
        </is>
      </c>
      <c r="C57" s="43" t="inlineStr">
        <is>
          <t>Agreement approved by Commissioner</t>
        </is>
      </c>
      <c r="D57" s="46" t="inlineStr">
        <is>
          <t>20-A §1466(9)</t>
        </is>
      </c>
    </row>
    <row r="58">
      <c r="A58" s="43" t="inlineStr">
        <is>
          <t>July 1, 2027</t>
        </is>
      </c>
      <c r="B58" s="43" t="inlineStr">
        <is>
          <t>Withdrawal effective; new Pownal SAU operational</t>
        </is>
      </c>
      <c r="C58" s="43" t="inlineStr">
        <is>
          <t>Referendum passed by Nov 30, 2026</t>
        </is>
      </c>
      <c r="D58" s="46" t="inlineStr">
        <is>
          <t>20-A §1466</t>
        </is>
      </c>
    </row>
    <row r="59">
      <c r="A59" s="43" t="inlineStr">
        <is>
          <t>Fall 2027</t>
        </is>
      </c>
      <c r="B59" s="43" t="inlineStr">
        <is>
          <t>Pownal operates PES independently; tuitions 6-12</t>
        </is>
      </c>
      <c r="C59" s="43" t="inlineStr">
        <is>
          <t>SAU established, superintendent hired, tuition agreements signed</t>
        </is>
      </c>
      <c r="D59" s="46" t="inlineStr"/>
    </row>
    <row r="61">
      <c r="A61" s="2" t="inlineStr">
        <is>
          <t>CRITICAL: The Nov 30 deadline is absolute. Missing it delays withdrawal by one full year.</t>
        </is>
      </c>
    </row>
    <row r="62">
      <c r="A62" s="2" t="inlineStr">
        <is>
          <t>STRATEGY: Initiate §1512 challenge AND withdrawal petition simultaneously.</t>
        </is>
      </c>
    </row>
    <row r="63">
      <c r="A63" s="2" t="inlineStr">
        <is>
          <t>If §1512 challenge succeeds -&gt; withdrawal becomes unnecessary leverage.</t>
        </is>
      </c>
    </row>
    <row r="64">
      <c r="A64" s="2" t="inlineStr">
        <is>
          <t>If §1512 challenge fails -&gt; withdrawal is already underway as backup.</t>
        </is>
      </c>
    </row>
    <row r="66">
      <c r="A66" s="3" t="inlineStr">
        <is>
          <t>PART 5: RECOMMENDED STRATEGY</t>
        </is>
      </c>
    </row>
    <row r="68">
      <c r="A68" s="47" t="inlineStr">
        <is>
          <t>PHASE 1 (Immediate): Retain education law counsel. File petition for §1512</t>
        </is>
      </c>
    </row>
    <row r="69">
      <c r="A69" s="2" t="inlineStr">
        <is>
          <t xml:space="preserve">   ruling with Commissioner. Cost: $15K-$25K. This tests the legal question</t>
        </is>
      </c>
    </row>
    <row r="70">
      <c r="A70" s="2" t="inlineStr">
        <is>
          <t xml:space="preserve">   and creates public record of Pownal's objection.</t>
        </is>
      </c>
    </row>
    <row r="72">
      <c r="A72" s="47" t="inlineStr">
        <is>
          <t>PHASE 2 (Concurrent): Begin §1466 withdrawal petition. Collect signatures,</t>
        </is>
      </c>
    </row>
    <row r="73">
      <c r="A73" s="2" t="inlineStr">
        <is>
          <t xml:space="preserve">   hold town vote to authorize committee and $50K. This is the credible threat.</t>
        </is>
      </c>
    </row>
    <row r="74">
      <c r="A74" s="2" t="inlineStr">
        <is>
          <t xml:space="preserve">   Even if Pownal doesn't ultimately withdraw, the process forces RSU 5 to</t>
        </is>
      </c>
    </row>
    <row r="75">
      <c r="A75" s="2" t="inlineStr">
        <is>
          <t xml:space="preserve">   negotiate seriously. Freeport's 2014 attempt (failed by 76 votes) proves</t>
        </is>
      </c>
    </row>
    <row r="76">
      <c r="A76" s="2" t="inlineStr">
        <is>
          <t xml:space="preserve">   withdrawal is a realistic possibility in this district.</t>
        </is>
      </c>
    </row>
    <row r="78">
      <c r="A78" s="47" t="inlineStr">
        <is>
          <t>PHASE 3 (Conditional): If RSU 5 Board abandons Option 2 (as SAD 75 did for</t>
        </is>
      </c>
    </row>
    <row r="79">
      <c r="A79" s="2" t="inlineStr">
        <is>
          <t xml:space="preserve">   Harpswell), withdrawal process can be paused or terminated at any point.</t>
        </is>
      </c>
    </row>
    <row r="80">
      <c r="A80" s="2" t="inlineStr">
        <is>
          <t xml:space="preserve">   If Board proceeds, complete withdrawal agreement by Nov 30 deadline.</t>
        </is>
      </c>
    </row>
    <row r="82">
      <c r="A82" s="47" t="inlineStr">
        <is>
          <t>KEY INSIGHT: The withdrawal process is fully reversible until the final</t>
        </is>
      </c>
    </row>
    <row r="83">
      <c r="A83" s="2" t="inlineStr">
        <is>
          <t xml:space="preserve">   referendum vote. Starting it costs ~$50K but creates enormous leverage.</t>
        </is>
      </c>
    </row>
    <row r="84">
      <c r="A84" s="2" t="inlineStr">
        <is>
          <t xml:space="preserve">   NOT starting it leaves Pownal with no reliable legal defense against</t>
        </is>
      </c>
    </row>
    <row r="85">
      <c r="A85" s="2" t="inlineStr">
        <is>
          <t xml:space="preserve">   Option 2 as framed.</t>
        </is>
      </c>
    </row>
  </sheetData>
  <mergeCells count="9">
    <mergeCell ref="A78:E78"/>
    <mergeCell ref="A72:E72"/>
    <mergeCell ref="A10:E10"/>
    <mergeCell ref="A82:E82"/>
    <mergeCell ref="A68:E68"/>
    <mergeCell ref="B21:D21"/>
    <mergeCell ref="A8:E8"/>
    <mergeCell ref="A9:E9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4444"/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44" customWidth="1" min="5" max="5"/>
  </cols>
  <sheetData>
    <row r="1">
      <c r="A1" s="1" t="inlineStr">
        <is>
          <t>CALC: Quantified Risk Analysis</t>
        </is>
      </c>
    </row>
    <row r="3">
      <c r="A3" s="2" t="inlineStr">
        <is>
          <t>Risks that are NOT captured in the C-FY28Paths savings model.</t>
        </is>
      </c>
    </row>
    <row r="4">
      <c r="A4" s="2" t="inlineStr">
        <is>
          <t>All values are formula-driven or sourced estimates. Citations in brackets.</t>
        </is>
      </c>
    </row>
    <row r="6">
      <c r="A6" s="3" t="inlineStr">
        <is>
          <t>1. PROPERTY VALUE IMPACT (Pownal) [Fn 20][Fn 27]</t>
        </is>
      </c>
    </row>
    <row r="7">
      <c r="A7" s="2" t="inlineStr">
        <is>
          <t>Research: 5-15% decline in communities losing their school (Duncombe &amp; Yinger 2010;</t>
        </is>
      </c>
    </row>
    <row r="8">
      <c r="A8" s="2" t="inlineStr">
        <is>
          <t>EdWorkingPapers #22-530, 2022). Applied to Pownal's taxable valuation.</t>
        </is>
      </c>
    </row>
    <row r="10">
      <c r="A10" s="5" t="inlineStr">
        <is>
          <t>Pownal taxable valuation</t>
        </is>
      </c>
      <c r="B10" s="6">
        <f>'I-Tax'!B13</f>
        <v/>
      </c>
    </row>
    <row r="11">
      <c r="A11" s="5" t="inlineStr">
        <is>
          <t>Estimated housing units (ACS 2023) [Fn 27]</t>
        </is>
      </c>
      <c r="B11" s="48" t="n">
        <v>636</v>
      </c>
    </row>
    <row r="12">
      <c r="A12" s="5" t="inlineStr">
        <is>
          <t>Median home value (ACS 2023) [Fn 27]</t>
        </is>
      </c>
      <c r="B12" s="48" t="n">
        <v>340000</v>
      </c>
    </row>
    <row r="13">
      <c r="A13" s="5" t="inlineStr">
        <is>
          <t>Total Pownal mil rate</t>
        </is>
      </c>
      <c r="B13" s="33">
        <f>'I-Tax'!B9</f>
        <v/>
      </c>
    </row>
    <row r="14">
      <c r="A14" s="5" t="inlineStr">
        <is>
          <t>Pownal RSU share of tax</t>
        </is>
      </c>
      <c r="B14" s="18">
        <f>'I-Tax'!B10</f>
        <v/>
      </c>
    </row>
    <row r="15">
      <c r="A15" s="4" t="inlineStr">
        <is>
          <t>Scenario</t>
        </is>
      </c>
      <c r="B15" s="4" t="inlineStr">
        <is>
          <t>Decline %</t>
        </is>
      </c>
      <c r="C15" s="4" t="inlineStr">
        <is>
          <t>Total Value Lost</t>
        </is>
      </c>
      <c r="D15" s="4" t="inlineStr">
        <is>
          <t>Per-Household Loss</t>
        </is>
      </c>
      <c r="E15" s="4" t="inlineStr">
        <is>
          <t>Annual Tax Revenue Lost</t>
        </is>
      </c>
    </row>
    <row r="16">
      <c r="A16" s="5" t="inlineStr">
        <is>
          <t>Low (5%)</t>
        </is>
      </c>
      <c r="B16" s="37" t="n">
        <v>0.05</v>
      </c>
      <c r="C16" s="6">
        <f>B10*B16</f>
        <v/>
      </c>
      <c r="D16" s="6">
        <f>B12*B16</f>
        <v/>
      </c>
      <c r="E16" s="6">
        <f>C16*B13/1000</f>
        <v/>
      </c>
    </row>
    <row r="17">
      <c r="A17" s="5" t="inlineStr">
        <is>
          <t>Mid (10%)</t>
        </is>
      </c>
      <c r="B17" s="37" t="n">
        <v>0.1</v>
      </c>
      <c r="C17" s="6">
        <f>B10*B17</f>
        <v/>
      </c>
      <c r="D17" s="6">
        <f>B12*B17</f>
        <v/>
      </c>
      <c r="E17" s="6">
        <f>C17*B13/1000</f>
        <v/>
      </c>
    </row>
    <row r="18">
      <c r="A18" s="5" t="inlineStr">
        <is>
          <t>High (15%)</t>
        </is>
      </c>
      <c r="B18" s="37" t="n">
        <v>0.15</v>
      </c>
      <c r="C18" s="6">
        <f>B10*B18</f>
        <v/>
      </c>
      <c r="D18" s="6">
        <f>B12*B18</f>
        <v/>
      </c>
      <c r="E18" s="6">
        <f>C18*B13/1000</f>
        <v/>
      </c>
    </row>
    <row r="19">
      <c r="A19" s="8" t="inlineStr">
        <is>
          <t>RSU 5 share of mid-scenario tax loss</t>
        </is>
      </c>
      <c r="B19" s="9">
        <f>E17*B14</f>
        <v/>
      </c>
    </row>
    <row r="20">
      <c r="A20" s="2" t="inlineStr">
        <is>
          <t>Note: Tax revenue loss occurs gradually (reassessment cycles). Wealth loss is immediate.</t>
        </is>
      </c>
    </row>
    <row r="21">
      <c r="A21" s="2" t="inlineStr">
        <is>
          <t>At 10% decline, median Pownal home loses ~$34,000 in value.</t>
        </is>
      </c>
    </row>
    <row r="23">
      <c r="A23" s="3" t="inlineStr">
        <is>
          <t>2. ENROLLMENT ATTRITION RISK [Fn 20][Fn 28]</t>
        </is>
      </c>
    </row>
    <row r="24">
      <c r="A24" s="2" t="inlineStr">
        <is>
          <t>If PES closes, some families may leave RSU 5 (move, homeschool, private).</t>
        </is>
      </c>
    </row>
    <row r="25">
      <c r="A25" s="2" t="inlineStr">
        <is>
          <t>State aid follows the student: each departure costs RSU 5 ongoing revenue.</t>
        </is>
      </c>
    </row>
    <row r="27">
      <c r="A27" s="5" t="inlineStr">
        <is>
          <t>Current PES enrollment</t>
        </is>
      </c>
      <c r="B27" s="17">
        <f>'I-FTE'!C10</f>
        <v/>
      </c>
    </row>
    <row r="28">
      <c r="A28" s="5" t="inlineStr">
        <is>
          <t>Pownal state aid (FY25-26)</t>
        </is>
      </c>
      <c r="B28" s="6">
        <f>'I-Tax'!E41</f>
        <v/>
      </c>
    </row>
    <row r="29">
      <c r="A29" s="5" t="inlineStr">
        <is>
          <t>State aid per PES student</t>
        </is>
      </c>
      <c r="B29" s="6">
        <f>B28/B27</f>
        <v/>
      </c>
    </row>
    <row r="30">
      <c r="A30" s="4" t="inlineStr">
        <is>
          <t>Scenario</t>
        </is>
      </c>
      <c r="B30" s="4" t="inlineStr">
        <is>
          <t>Attrition %</t>
        </is>
      </c>
      <c r="C30" s="4" t="inlineStr">
        <is>
          <t>Students Lost</t>
        </is>
      </c>
      <c r="D30" s="4" t="inlineStr">
        <is>
          <t>Annual State Revenue Lost</t>
        </is>
      </c>
    </row>
    <row r="31">
      <c r="A31" s="5" t="inlineStr">
        <is>
          <t>Low (5%)</t>
        </is>
      </c>
      <c r="B31" s="37" t="n">
        <v>0.05</v>
      </c>
      <c r="C31" s="17">
        <f>ROUND(B27*B31,0)</f>
        <v/>
      </c>
      <c r="D31" s="6">
        <f>C31*B29</f>
        <v/>
      </c>
    </row>
    <row r="32">
      <c r="A32" s="5" t="inlineStr">
        <is>
          <t>Mid (10%)</t>
        </is>
      </c>
      <c r="B32" s="37" t="n">
        <v>0.1</v>
      </c>
      <c r="C32" s="17">
        <f>ROUND(B27*B32,0)</f>
        <v/>
      </c>
      <c r="D32" s="6">
        <f>C32*B29</f>
        <v/>
      </c>
    </row>
    <row r="33">
      <c r="A33" s="5" t="inlineStr">
        <is>
          <t>High (20%)</t>
        </is>
      </c>
      <c r="B33" s="37" t="n">
        <v>0.2</v>
      </c>
      <c r="C33" s="17">
        <f>ROUND(B27*B33,0)</f>
        <v/>
      </c>
      <c r="D33" s="6">
        <f>C33*B29</f>
        <v/>
      </c>
    </row>
    <row r="34">
      <c r="A34" s="2" t="inlineStr">
        <is>
          <t>Cost side does NOT shrink proportionally: fixed costs remain, class sizes are already small.</t>
        </is>
      </c>
    </row>
    <row r="35">
      <c r="A35" s="2" t="inlineStr">
        <is>
          <t>At 10% attrition: 10-11 students leave, ~$50K/yr in state revenue lost to RSU 5.</t>
        </is>
      </c>
    </row>
    <row r="37">
      <c r="A37" s="3" t="inlineStr">
        <is>
          <t>3. EC OPT-OUT RISK (Path B Only)</t>
        </is>
      </c>
    </row>
    <row r="38">
      <c r="A38" s="2" t="inlineStr">
        <is>
          <t>Under Path B, all PreK goes to PES in Pownal. Freeport/Durham families</t>
        </is>
      </c>
    </row>
    <row r="39">
      <c r="A39" s="2" t="inlineStr">
        <is>
          <t>may refuse 22+ mile bus ride for 3-year-olds and choose private childcare instead.</t>
        </is>
      </c>
    </row>
    <row r="40">
      <c r="A40" s="2" t="inlineStr">
        <is>
          <t>District PreK is voluntary -- families cannot be compelled to enroll.</t>
        </is>
      </c>
    </row>
    <row r="42">
      <c r="A42" s="5" t="inlineStr">
        <is>
          <t>Total district PreK enrollment (all schools)</t>
        </is>
      </c>
      <c r="B42" s="49" t="n">
        <v>128</v>
      </c>
      <c r="C42" s="5" t="inlineStr">
        <is>
          <t>MSS 64 + DCS 48 + PES 16</t>
        </is>
      </c>
    </row>
    <row r="43">
      <c r="A43" s="5" t="inlineStr">
        <is>
          <t>EC gross annual cost</t>
        </is>
      </c>
      <c r="B43" s="6">
        <f>'C-ECAnalysis'!B6</f>
        <v/>
      </c>
    </row>
    <row r="44">
      <c r="A44" s="5" t="inlineStr">
        <is>
          <t>EC cost per student (baseline)</t>
        </is>
      </c>
      <c r="B44" s="6">
        <f>B43/B42</f>
        <v/>
      </c>
    </row>
    <row r="45">
      <c r="A45" s="4" t="inlineStr">
        <is>
          <t>Scenario</t>
        </is>
      </c>
      <c r="B45" s="4" t="inlineStr">
        <is>
          <t>Opt-Out %</t>
        </is>
      </c>
      <c r="C45" s="4" t="inlineStr">
        <is>
          <t>Students Lost</t>
        </is>
      </c>
      <c r="D45" s="4" t="inlineStr">
        <is>
          <t>Cost/Remaining Student</t>
        </is>
      </c>
      <c r="E45" s="4" t="inlineStr">
        <is>
          <t>SpEd LRE Risk</t>
        </is>
      </c>
    </row>
    <row r="46">
      <c r="A46" s="5" t="inlineStr">
        <is>
          <t>Low (10%)</t>
        </is>
      </c>
      <c r="B46" s="37" t="n">
        <v>0.1</v>
      </c>
      <c r="C46" s="17">
        <f>ROUND(B42*B46,0)</f>
        <v/>
      </c>
      <c r="D46" s="6">
        <f>B43/(B42-C46)</f>
        <v/>
      </c>
      <c r="E46" s="5" t="inlineStr">
        <is>
          <t>Moderate</t>
        </is>
      </c>
    </row>
    <row r="47">
      <c r="A47" s="5" t="inlineStr">
        <is>
          <t>Mid (20%)</t>
        </is>
      </c>
      <c r="B47" s="37" t="n">
        <v>0.2</v>
      </c>
      <c r="C47" s="17">
        <f>ROUND(B42*B47,0)</f>
        <v/>
      </c>
      <c r="D47" s="6">
        <f>B43/(B42-C47)</f>
        <v/>
      </c>
      <c r="E47" s="5" t="inlineStr">
        <is>
          <t>Significant</t>
        </is>
      </c>
    </row>
    <row r="48">
      <c r="A48" s="5" t="inlineStr">
        <is>
          <t>High (30%)</t>
        </is>
      </c>
      <c r="B48" s="37" t="n">
        <v>0.3</v>
      </c>
      <c r="C48" s="17">
        <f>ROUND(B42*B48,0)</f>
        <v/>
      </c>
      <c r="D48" s="6">
        <f>B43/(B42-C48)</f>
        <v/>
      </c>
      <c r="E48" s="5" t="inlineStr">
        <is>
          <t>Severe</t>
        </is>
      </c>
    </row>
    <row r="49">
      <c r="A49" s="2" t="inlineStr">
        <is>
          <t>LRE = Least Restrictive Environment. SpEd requires peers for inclusion classrooms.</t>
        </is>
      </c>
    </row>
    <row r="50">
      <c r="A50" s="2" t="inlineStr">
        <is>
          <t>Fewer typical peers = harder to deliver compliant services = potential legal exposure.</t>
        </is>
      </c>
    </row>
    <row r="51">
      <c r="A51" s="2" t="inlineStr">
        <is>
          <t>EC offsets (CDS transfer, IDEA Part B, EPS PreK subsidy) drop with enrollment.</t>
        </is>
      </c>
    </row>
    <row r="53">
      <c r="A53" s="3" t="inlineStr">
        <is>
          <t>4. ONE-TIME TRANSITION COSTS [Fn 28]</t>
        </is>
      </c>
    </row>
    <row r="54">
      <c r="A54" s="2" t="inlineStr">
        <is>
          <t>Costs incurred during implementation year. Not captured in recurring savings model.</t>
        </is>
      </c>
    </row>
    <row r="56">
      <c r="A56" s="4" t="inlineStr">
        <is>
          <t>Item</t>
        </is>
      </c>
      <c r="B56" s="4" t="inlineStr">
        <is>
          <t>Low Estimate</t>
        </is>
      </c>
      <c r="C56" s="4" t="inlineStr">
        <is>
          <t>High Estimate</t>
        </is>
      </c>
      <c r="D56" s="4" t="inlineStr">
        <is>
          <t>Notes</t>
        </is>
      </c>
    </row>
    <row r="57">
      <c r="A57" s="5" t="inlineStr">
        <is>
          <t>Staff transition (unemployment, reassignment)</t>
        </is>
      </c>
      <c r="B57" s="48" t="n">
        <v>60000</v>
      </c>
      <c r="C57" s="48" t="n">
        <v>150000</v>
      </c>
      <c r="D57" s="5" t="inlineStr">
        <is>
          <t>4-6 positions affected; depends on attrition vs. layoff</t>
        </is>
      </c>
    </row>
    <row r="58">
      <c r="A58" s="5" t="inlineStr">
        <is>
          <t>PES building conversion to EC center</t>
        </is>
      </c>
      <c r="B58" s="48" t="n">
        <v>425000</v>
      </c>
      <c r="C58" s="48" t="n">
        <v>743750</v>
      </c>
      <c r="D58" s="5" t="inlineStr">
        <is>
          <t>From I-Assumptions; Ch.124 compliance [Fn 21][Fn 24]</t>
        </is>
      </c>
    </row>
    <row r="59">
      <c r="A59" s="5" t="inlineStr">
        <is>
          <t>Legal/process costs (hearings, consultants)</t>
        </is>
      </c>
      <c r="B59" s="48" t="n">
        <v>50000</v>
      </c>
      <c r="C59" s="48" t="n">
        <v>200000</v>
      </c>
      <c r="D59" s="5" t="inlineStr">
        <is>
          <t>Maine 20-A MRSA requires public process [Fn 28]</t>
        </is>
      </c>
    </row>
    <row r="60">
      <c r="A60" s="5" t="inlineStr">
        <is>
          <t>DCS portable classrooms (if needed)</t>
        </is>
      </c>
      <c r="B60" s="48" t="n">
        <v>0</v>
      </c>
      <c r="C60" s="48" t="n">
        <v>300000</v>
      </c>
      <c r="D60" s="5" t="inlineStr">
        <is>
          <t>Depends on final grade configuration at DCS</t>
        </is>
      </c>
    </row>
    <row r="61">
      <c r="A61" s="5" t="inlineStr">
        <is>
          <t>Curriculum/technology transfer</t>
        </is>
      </c>
      <c r="B61" s="48" t="n">
        <v>25000</v>
      </c>
      <c r="C61" s="48" t="n">
        <v>75000</v>
      </c>
      <c r="D61" s="5" t="inlineStr">
        <is>
          <t>Materials, equipment relocation, IT setup</t>
        </is>
      </c>
    </row>
    <row r="62">
      <c r="A62" s="5" t="inlineStr">
        <is>
          <t>Community engagement/transition support</t>
        </is>
      </c>
      <c r="B62" s="48" t="n">
        <v>15000</v>
      </c>
      <c r="C62" s="48" t="n">
        <v>50000</v>
      </c>
      <c r="D62" s="5" t="inlineStr">
        <is>
          <t>Notification, town meetings, family support</t>
        </is>
      </c>
    </row>
    <row r="63">
      <c r="A63" s="8" t="inlineStr">
        <is>
          <t>TOTAL ONE-TIME COSTS</t>
        </is>
      </c>
      <c r="B63" s="9">
        <f>SUM(B57:B62)</f>
        <v/>
      </c>
      <c r="C63" s="9">
        <f>SUM(C57:C62)</f>
        <v/>
      </c>
    </row>
    <row r="65">
      <c r="A65" s="3" t="inlineStr">
        <is>
          <t>5. RISK-ADJUSTED NET SAVINGS (Path B vs. Path A)</t>
        </is>
      </c>
    </row>
    <row r="66">
      <c r="A66" s="2" t="inlineStr">
        <is>
          <t>Combines C-FY28Paths true-efficiency savings with quantified annual risk costs.</t>
        </is>
      </c>
    </row>
    <row r="68">
      <c r="A68" s="5" t="inlineStr">
        <is>
          <t>Path A annual savings (from C-FY28Paths)</t>
        </is>
      </c>
      <c r="B68" s="6">
        <f>'C-FY28Paths'!B13</f>
        <v/>
      </c>
    </row>
    <row r="69">
      <c r="A69" s="5" t="inlineStr">
        <is>
          <t>Path B true net savings (from C-FY28Paths)</t>
        </is>
      </c>
      <c r="B69" s="10">
        <f>'C-FY28Paths'!B36</f>
        <v/>
      </c>
    </row>
    <row r="70">
      <c r="A70" s="5" t="inlineStr">
        <is>
          <t>Path B MARGINAL savings beyond Path A</t>
        </is>
      </c>
      <c r="B70" s="10">
        <f>B69-B68</f>
        <v/>
      </c>
    </row>
    <row r="72">
      <c r="A72" s="4" t="inlineStr">
        <is>
          <t>Annual Risk Factor</t>
        </is>
      </c>
      <c r="B72" s="4" t="inlineStr">
        <is>
          <t>Low</t>
        </is>
      </c>
      <c r="C72" s="4" t="inlineStr">
        <is>
          <t>Mid</t>
        </is>
      </c>
      <c r="D72" s="4" t="inlineStr">
        <is>
          <t>High</t>
        </is>
      </c>
    </row>
    <row r="73">
      <c r="A73" s="5" t="inlineStr">
        <is>
          <t>Property value tax revenue loss</t>
        </is>
      </c>
      <c r="B73" s="6">
        <f>E16*B14</f>
        <v/>
      </c>
      <c r="C73" s="6">
        <f>E17*B14</f>
        <v/>
      </c>
      <c r="D73" s="6">
        <f>E18*B14</f>
        <v/>
      </c>
    </row>
    <row r="74">
      <c r="A74" s="5" t="inlineStr">
        <is>
          <t>Enrollment attrition revenue loss</t>
        </is>
      </c>
      <c r="B74" s="6">
        <f>D31</f>
        <v/>
      </c>
      <c r="C74" s="6">
        <f>D32</f>
        <v/>
      </c>
      <c r="D74" s="6">
        <f>D33</f>
        <v/>
      </c>
    </row>
    <row r="75">
      <c r="A75" s="5" t="inlineStr">
        <is>
          <t>One-time costs (amortized 5 years)</t>
        </is>
      </c>
      <c r="B75" s="6">
        <f>B63/5</f>
        <v/>
      </c>
      <c r="C75" s="6">
        <f>AVERAGE(B63,C63)/5</f>
        <v/>
      </c>
      <c r="D75" s="6">
        <f>C63/5</f>
        <v/>
      </c>
    </row>
    <row r="76">
      <c r="A76" s="8" t="inlineStr">
        <is>
          <t>TOTAL ANNUAL RISK COST</t>
        </is>
      </c>
      <c r="B76" s="11">
        <f>SUM(B73:B75)</f>
        <v/>
      </c>
      <c r="C76" s="9">
        <f>SUM(C73:C75)</f>
        <v/>
      </c>
      <c r="D76" s="11">
        <f>SUM(D73:D75)</f>
        <v/>
      </c>
    </row>
    <row r="78">
      <c r="A78" s="8" t="inlineStr">
        <is>
          <t>PATH B RISK-ADJUSTED NET (mid scenario)</t>
        </is>
      </c>
      <c r="B78" s="14">
        <f>B69-C76</f>
        <v/>
      </c>
    </row>
    <row r="79">
      <c r="A79" s="8" t="inlineStr">
        <is>
          <t>Path A savings (unchanged -- no closure risks)</t>
        </is>
      </c>
      <c r="B79" s="9">
        <f>B68</f>
        <v/>
      </c>
    </row>
    <row r="81">
      <c r="A81" s="3" t="inlineStr">
        <is>
          <t>6. BREAK-EVEN ANALYSIS</t>
        </is>
      </c>
    </row>
    <row r="82">
      <c r="A82" s="2" t="inlineStr">
        <is>
          <t>How long until Path B's one-time costs are recovered by marginal savings (if any)?</t>
        </is>
      </c>
    </row>
    <row r="84">
      <c r="A84" s="5" t="inlineStr">
        <is>
          <t>Path B marginal annual benefit (true net - Path A)</t>
        </is>
      </c>
      <c r="B84" s="10">
        <f>B70</f>
        <v/>
      </c>
    </row>
    <row r="85">
      <c r="A85" s="5" t="inlineStr">
        <is>
          <t>One-time costs (midpoint)</t>
        </is>
      </c>
      <c r="B85" s="6">
        <f>AVERAGE(B63,C63)</f>
        <v/>
      </c>
    </row>
    <row r="86">
      <c r="A86" s="8" t="inlineStr">
        <is>
          <t>Break-even period (years)</t>
        </is>
      </c>
      <c r="B86" s="50">
        <f>IF(B84&gt;0,B85/B84,"NEVER")</f>
        <v/>
      </c>
    </row>
    <row r="87">
      <c r="A87" s="2" t="inlineStr">
        <is>
          <t>If marginal annual savings are negative, one-time costs are NEVER recovered.</t>
        </is>
      </c>
    </row>
    <row r="88">
      <c r="A88" s="2" t="inlineStr">
        <is>
          <t>This means Path B is strictly worse than Path A from year one onward.</t>
        </is>
      </c>
    </row>
    <row r="91">
      <c r="A91" s="3" t="inlineStr">
        <is>
          <t>7. PATH A RISKS (for balanced analysis)</t>
        </is>
      </c>
    </row>
    <row r="92">
      <c r="A92" s="2" t="inlineStr">
        <is>
          <t>Path A also carries implementation risks, though substantially lower:</t>
        </is>
      </c>
    </row>
    <row r="94">
      <c r="A94" s="5" t="inlineStr">
        <is>
          <t>MS consolidation: transport cost for Freeport 6th to DCS</t>
        </is>
      </c>
      <c r="B94" s="10">
        <f>'I-Assumptions'!B13*'I-Assumptions'!B12</f>
        <v/>
      </c>
      <c r="C94" s="5" t="inlineStr">
        <is>
          <t>Already modeled in Path A budget</t>
        </is>
      </c>
    </row>
    <row r="95">
      <c r="A95" s="5" t="inlineStr">
        <is>
          <t>Community identity: DCS becomes multi-town 6th grade</t>
        </is>
      </c>
      <c r="B95" s="10">
        <f>0</f>
        <v/>
      </c>
      <c r="C95" s="5" t="inlineStr">
        <is>
          <t>No direct $ cost, but political sensitivity</t>
        </is>
      </c>
    </row>
    <row r="96">
      <c r="A96" s="5" t="inlineStr">
        <is>
          <t>Additional efficiencies depend on Board action</t>
        </is>
      </c>
      <c r="B96" s="10">
        <f>0</f>
        <v/>
      </c>
      <c r="C96" s="5" t="inlineStr">
        <is>
          <t>$325K-$650K range is aspirational, not guaranteed</t>
        </is>
      </c>
    </row>
    <row r="97">
      <c r="A97" s="5" t="inlineStr">
        <is>
          <t>DCS scheduling complexity with Pownal 6th graders</t>
        </is>
      </c>
      <c r="B97" s="10">
        <f>0</f>
        <v/>
      </c>
      <c r="C97" s="5" t="inlineStr">
        <is>
          <t>Manageable with existing admin</t>
        </is>
      </c>
    </row>
    <row r="98">
      <c r="A98" s="2" t="inlineStr">
        <is>
          <t>Path A risks are primarily political/logistical, NOT financial or irreversible.</t>
        </is>
      </c>
    </row>
    <row r="99">
      <c r="A99" s="2" t="inlineStr">
        <is>
          <t>Path A is reversible: if MS consolidation doesn't work, grades can be redistributed.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CALC: FY28 Budget Projection</t>
        </is>
      </c>
    </row>
    <row r="3">
      <c r="A3" s="2" t="inlineStr">
        <is>
          <t>Projects from FY27 adopted -&gt; FY28 baseline -&gt; FY28 with structural changes.</t>
        </is>
      </c>
    </row>
    <row r="4">
      <c r="A4" s="2" t="inlineStr">
        <is>
          <t>FY28 is when EC mandate and any restructuring take effect (2027-2028 school year).</t>
        </is>
      </c>
    </row>
    <row r="6">
      <c r="A6" s="3" t="inlineStr">
        <is>
          <t>Step 1: FY27 Adopted Budget (select scenario)</t>
        </is>
      </c>
    </row>
    <row r="7">
      <c r="A7" s="51" t="inlineStr">
        <is>
          <t>SELECTED FY27 ADOPTED &gt;&gt;</t>
        </is>
      </c>
      <c r="B7" s="52">
        <f>'C-FY27Scenarios'!C20</f>
        <v/>
      </c>
    </row>
    <row r="8">
      <c r="A8" s="2" t="inlineStr">
        <is>
          <t>Change cell B above to test different FY27 outcomes. Default = Proposed.</t>
        </is>
      </c>
    </row>
    <row r="9">
      <c r="A9" s="2" t="inlineStr">
        <is>
          <t>Conservative: ='C-FY27Scenarios'!B20  |  Higher: ='C-FY27Scenarios'!D20</t>
        </is>
      </c>
    </row>
    <row r="11">
      <c r="A11" s="3" t="inlineStr">
        <is>
          <t>Step 2: Cost Growth Rate (from I-CostGrowth)</t>
        </is>
      </c>
    </row>
    <row r="12">
      <c r="A12" s="5" t="inlineStr">
        <is>
          <t>3-year average growth (FY24-FY26)</t>
        </is>
      </c>
      <c r="B12" s="7">
        <f>AVERAGE('I-CostGrowth'!D15:'I-CostGrowth'!D17)</f>
        <v/>
      </c>
    </row>
    <row r="13">
      <c r="A13" s="5" t="inlineStr">
        <is>
          <t>5-year average growth (FY22-FY26)</t>
        </is>
      </c>
      <c r="B13" s="7">
        <f>AVERAGE('I-CostGrowth'!D13:'I-CostGrowth'!D17)</f>
        <v/>
      </c>
    </row>
    <row r="14">
      <c r="A14" s="5" t="inlineStr">
        <is>
          <t>10-year average growth (FY17-FY26)</t>
        </is>
      </c>
      <c r="B14" s="7">
        <f>AVERAGE('I-CostGrowth'!D8:'I-CostGrowth'!D17)</f>
        <v/>
      </c>
    </row>
    <row r="15">
      <c r="A15" s="51" t="inlineStr">
        <is>
          <t>SELECTED GROWTH RATE &gt;&gt;</t>
        </is>
      </c>
      <c r="B15" s="53">
        <f>B12</f>
        <v/>
      </c>
    </row>
    <row r="16">
      <c r="A16" s="2" t="inlineStr">
        <is>
          <t>Change cell B above to test different growth assumptions. Default = 3-year avg.</t>
        </is>
      </c>
    </row>
    <row r="18">
      <c r="A18" s="3" t="inlineStr">
        <is>
          <t>Step 3: EC Mandate (FY28 new cost)</t>
        </is>
      </c>
    </row>
    <row r="19">
      <c r="A19" s="5" t="inlineStr">
        <is>
          <t>EC net cost (midpoint)</t>
        </is>
      </c>
      <c r="B19" s="6">
        <f>'C-ECAnalysis'!D12</f>
        <v/>
      </c>
    </row>
    <row r="21">
      <c r="A21" s="3" t="inlineStr">
        <is>
          <t>Step 4: FY28 Baseline (no structural changes)</t>
        </is>
      </c>
    </row>
    <row r="22">
      <c r="A22" s="5" t="inlineStr">
        <is>
          <t>FY28 operating (FY27 + cost growth)</t>
        </is>
      </c>
      <c r="B22" s="6">
        <f>B7*(1+B15)</f>
        <v/>
      </c>
    </row>
    <row r="23">
      <c r="A23" s="8" t="inlineStr">
        <is>
          <t>FY28 BASELINE (operating + EC)</t>
        </is>
      </c>
      <c r="B23" s="9">
        <f>B22+B19</f>
        <v/>
      </c>
    </row>
    <row r="24">
      <c r="A24" s="5" t="inlineStr">
        <is>
          <t>FY28 increase from FY27</t>
        </is>
      </c>
      <c r="B24" s="7">
        <f>(B23-B7)/B7</f>
        <v/>
      </c>
    </row>
    <row r="26">
      <c r="A26" s="3" t="inlineStr">
        <is>
          <t>Sensitivity: FY28 Baseline by FY27 Outcome x Growth Rate</t>
        </is>
      </c>
    </row>
    <row r="27">
      <c r="A27" s="4" t="inlineStr">
        <is>
          <t>FY27 Scenario</t>
        </is>
      </c>
      <c r="B27" s="4" t="inlineStr">
        <is>
          <t>3-yr Growth</t>
        </is>
      </c>
      <c r="C27" s="4" t="inlineStr">
        <is>
          <t>5-yr Growth</t>
        </is>
      </c>
      <c r="D27" s="4" t="inlineStr">
        <is>
          <t>10-yr Growth</t>
        </is>
      </c>
    </row>
    <row r="28">
      <c r="A28" s="5" t="inlineStr">
        <is>
          <t>Conservative</t>
        </is>
      </c>
      <c r="B28" s="6">
        <f>'C-FY27Scenarios'!B20*(1+B12)+B19</f>
        <v/>
      </c>
      <c r="C28" s="6">
        <f>'C-FY27Scenarios'!B20*(1+B13)+B19</f>
        <v/>
      </c>
      <c r="D28" s="6">
        <f>'C-FY27Scenarios'!B20*(1+B14)+B19</f>
        <v/>
      </c>
    </row>
    <row r="29">
      <c r="A29" s="5" t="inlineStr">
        <is>
          <t>Proposed</t>
        </is>
      </c>
      <c r="B29" s="6">
        <f>'C-FY27Scenarios'!C20*(1+B12)+B19</f>
        <v/>
      </c>
      <c r="C29" s="6">
        <f>'C-FY27Scenarios'!C20*(1+B13)+B19</f>
        <v/>
      </c>
      <c r="D29" s="6">
        <f>'C-FY27Scenarios'!C20*(1+B14)+B19</f>
        <v/>
      </c>
    </row>
    <row r="30">
      <c r="A30" s="5" t="inlineStr">
        <is>
          <t>Higher</t>
        </is>
      </c>
      <c r="B30" s="6">
        <f>'C-FY27Scenarios'!D20*(1+B12)+B19</f>
        <v/>
      </c>
      <c r="C30" s="6">
        <f>'C-FY27Scenarios'!D20*(1+B13)+B19</f>
        <v/>
      </c>
      <c r="D30" s="6">
        <f>'C-FY27Scenarios'!D20*(1+B14)+B19</f>
        <v/>
      </c>
    </row>
    <row r="32">
      <c r="A32" s="3" t="inlineStr">
        <is>
          <t>FY28 with Structural Changes (savings from C-FY28Paths)</t>
        </is>
      </c>
    </row>
    <row r="33">
      <c r="A33" s="5" t="inlineStr">
        <is>
          <t>Path A total savings</t>
        </is>
      </c>
      <c r="B33" s="6">
        <f>'C-FY28Paths'!B13</f>
        <v/>
      </c>
    </row>
    <row r="34">
      <c r="A34" s="5" t="inlineStr">
        <is>
          <t>Path B gross savings</t>
        </is>
      </c>
      <c r="B34" s="6">
        <f>'C-FY28Paths'!B24</f>
        <v/>
      </c>
    </row>
    <row r="36">
      <c r="A36" s="8" t="inlineStr">
        <is>
          <t>FY28 with Path A</t>
        </is>
      </c>
      <c r="B36" s="11">
        <f>B23-B33</f>
        <v/>
      </c>
    </row>
    <row r="37">
      <c r="A37" s="8" t="inlineStr">
        <is>
          <t>FY28 with Path B (gross)</t>
        </is>
      </c>
      <c r="B37" s="11">
        <f>B23-B34</f>
        <v/>
      </c>
    </row>
    <row r="38">
      <c r="A38" s="5" t="inlineStr">
        <is>
          <t>Path A increase from FY27</t>
        </is>
      </c>
      <c r="B38" s="7">
        <f>(B36-B7)/B7</f>
        <v/>
      </c>
    </row>
    <row r="39">
      <c r="A39" s="5" t="inlineStr">
        <is>
          <t>Path B increase from FY27</t>
        </is>
      </c>
      <c r="B39" s="7">
        <f>(B37-B7)/B7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CALC: FY27 Budget Adoption Scenarios</t>
        </is>
      </c>
    </row>
    <row r="3">
      <c r="A3" s="2" t="inlineStr">
        <is>
          <t>The FY27 budget goes to voters May/June 2026. Board adopts March 25.</t>
        </is>
      </c>
    </row>
    <row r="4">
      <c r="A4" s="2" t="inlineStr">
        <is>
          <t>EC mandate costs and structural changes are NOT in FY27. They are FY28 decisions.</t>
        </is>
      </c>
    </row>
    <row r="6">
      <c r="A6" s="3" t="inlineStr">
        <is>
          <t>FY27 Starting Point</t>
        </is>
      </c>
    </row>
    <row r="7">
      <c r="A7" s="5" t="inlineStr">
        <is>
          <t>FY26 Adopted Budget</t>
        </is>
      </c>
      <c r="B7" s="6">
        <f>'I-Budget'!B32</f>
        <v/>
      </c>
    </row>
    <row r="8">
      <c r="A8" s="5" t="inlineStr">
        <is>
          <t>Initial request increase (pre-cut)</t>
        </is>
      </c>
      <c r="B8" s="6">
        <f>'I-FY27Reductions'!B17</f>
        <v/>
      </c>
    </row>
    <row r="9">
      <c r="A9" s="5" t="inlineStr">
        <is>
          <t>"Maintenance of effort" total (before cuts)</t>
        </is>
      </c>
      <c r="B9" s="11">
        <f>B7+B8</f>
        <v/>
      </c>
    </row>
    <row r="10">
      <c r="A10" s="5" t="inlineStr">
        <is>
          <t>Maint. of effort % increase</t>
        </is>
      </c>
      <c r="B10" s="7">
        <f>B8/B7</f>
        <v/>
      </c>
    </row>
    <row r="12">
      <c r="A12" s="3" t="inlineStr">
        <is>
          <t>Reductions Already in Proposed Budget</t>
        </is>
      </c>
    </row>
    <row r="13">
      <c r="A13" s="5" t="inlineStr">
        <is>
          <t>Tier 1 reductions (staff positions)</t>
        </is>
      </c>
      <c r="B13" s="10">
        <f>SUM('I-FY27Reductions'!F24:'I-FY27Reductions'!F36)</f>
        <v/>
      </c>
    </row>
    <row r="14">
      <c r="A14" s="5" t="inlineStr">
        <is>
          <t>Tier 2 reductions (support positions)</t>
        </is>
      </c>
      <c r="B14" s="10">
        <f>SUM('I-FY27Reductions'!F40:'I-FY27Reductions'!F46)</f>
        <v/>
      </c>
    </row>
    <row r="15">
      <c r="A15" s="5" t="inlineStr">
        <is>
          <t>Other reductions (tech, facilities)</t>
        </is>
      </c>
      <c r="B15" s="10">
        <f>SUM('I-FY27Reductions'!E50:'I-FY27Reductions'!E52)</f>
        <v/>
      </c>
    </row>
    <row r="16">
      <c r="A16" s="8" t="inlineStr">
        <is>
          <t>TOTAL REDUCTIONS</t>
        </is>
      </c>
      <c r="B16" s="14">
        <f>B13+B14+B15</f>
        <v/>
      </c>
    </row>
    <row r="18">
      <c r="A18" s="3" t="inlineStr">
        <is>
          <t>Three Adoption Scenarios</t>
        </is>
      </c>
    </row>
    <row r="19">
      <c r="A19" s="4" t="inlineStr">
        <is>
          <t>Metric</t>
        </is>
      </c>
      <c r="B19" s="4" t="inlineStr">
        <is>
          <t>Conservative</t>
        </is>
      </c>
      <c r="C19" s="4" t="inlineStr">
        <is>
          <t>Proposed</t>
        </is>
      </c>
      <c r="D19" s="4" t="inlineStr">
        <is>
          <t>Higher</t>
        </is>
      </c>
    </row>
    <row r="20">
      <c r="A20" s="8" t="inlineStr">
        <is>
          <t>FY27 Budget Total</t>
        </is>
      </c>
      <c r="B20" s="11">
        <f>B7*1.05</f>
        <v/>
      </c>
      <c r="C20" s="11">
        <f>'C-Budget'!B16</f>
        <v/>
      </c>
      <c r="D20" s="11">
        <f>'C-Budget'!B16-B14</f>
        <v/>
      </c>
    </row>
    <row r="21">
      <c r="A21" s="12" t="inlineStr">
        <is>
          <t>% Increase from FY26</t>
        </is>
      </c>
      <c r="B21" s="13">
        <f>(B20-B7)/B7</f>
        <v/>
      </c>
      <c r="C21" s="13">
        <f>(C20-B7)/B7</f>
        <v/>
      </c>
      <c r="D21" s="13">
        <f>(D20-B7)/B7</f>
        <v/>
      </c>
    </row>
    <row r="22">
      <c r="A22" s="5" t="inlineStr">
        <is>
          <t>Additional cuts beyond proposed</t>
        </is>
      </c>
      <c r="B22" s="10">
        <f>B20-C20</f>
        <v/>
      </c>
      <c r="C22" s="5" t="n">
        <v>0</v>
      </c>
      <c r="D22" s="10">
        <f>D20-C20</f>
        <v/>
      </c>
    </row>
    <row r="23">
      <c r="A23" s="5" t="inlineStr">
        <is>
          <t>Positions cut (T1)</t>
        </is>
      </c>
      <c r="B23" s="5" t="inlineStr">
        <is>
          <t>13+ (T1+T2+more)</t>
        </is>
      </c>
      <c r="C23" s="5" t="inlineStr">
        <is>
          <t>13 (T1 only)</t>
        </is>
      </c>
      <c r="D23" s="5" t="inlineStr">
        <is>
          <t>13 (T1; T2 restored)</t>
        </is>
      </c>
    </row>
    <row r="24">
      <c r="A24" s="5" t="inlineStr">
        <is>
          <t>T2 support positions</t>
        </is>
      </c>
      <c r="B24" s="5" t="inlineStr">
        <is>
          <t>Cut</t>
        </is>
      </c>
      <c r="C24" s="5" t="inlineStr">
        <is>
          <t>Cut</t>
        </is>
      </c>
      <c r="D24" s="5" t="inlineStr">
        <is>
          <t>Restored</t>
        </is>
      </c>
    </row>
    <row r="26">
      <c r="A26" s="2" t="inlineStr">
        <is>
          <t>The 'Proposed' column matches the Superintendent's recommendation ($47,357,441).</t>
        </is>
      </c>
    </row>
    <row r="27">
      <c r="A27" s="2" t="inlineStr">
        <is>
          <t>The 'Conservative' scenario targets 5.0% increase. Board may choose differently.</t>
        </is>
      </c>
    </row>
    <row r="28">
      <c r="A28" s="2" t="inlineStr">
        <is>
          <t>The 'Higher' scenario restores T2 support positions (ed techs, instructional strategist).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50" customWidth="1" min="3" max="3"/>
    <col width="20" customWidth="1" min="4" max="4"/>
  </cols>
  <sheetData>
    <row r="1">
      <c r="A1" s="1" t="inlineStr">
        <is>
          <t>CALC: FY28 Structural Scenario Comparison</t>
        </is>
      </c>
    </row>
    <row r="3">
      <c r="A3" s="2" t="inlineStr">
        <is>
          <t>Path A and Path B are FY28 (2027-2028) decisions, not FY27.</t>
        </is>
      </c>
    </row>
    <row r="4">
      <c r="A4" s="2" t="inlineStr">
        <is>
          <t>Savings are independent of the FY28 baseline; they come from restructuring.</t>
        </is>
      </c>
    </row>
    <row r="6">
      <c r="A6" s="3" t="inlineStr">
        <is>
          <t>PATH A: Preserve &amp; Strengthen (FY28)</t>
        </is>
      </c>
    </row>
    <row r="7">
      <c r="A7" s="4" t="inlineStr">
        <is>
          <t>Item</t>
        </is>
      </c>
      <c r="B7" s="4" t="inlineStr">
        <is>
          <t>Budget Impact</t>
        </is>
      </c>
      <c r="C7" s="4" t="inlineStr">
        <is>
          <t>Source / Notes</t>
        </is>
      </c>
    </row>
    <row r="8">
      <c r="A8" s="5" t="inlineStr">
        <is>
          <t>MS consolidation teacher savings</t>
        </is>
      </c>
      <c r="B8" s="10">
        <f>-'C-MSConsol'!B21</f>
        <v/>
      </c>
      <c r="C8" s="5" t="inlineStr">
        <is>
          <t>See C-MSConsol sheet</t>
        </is>
      </c>
    </row>
    <row r="9">
      <c r="A9" s="5" t="inlineStr">
        <is>
          <t>DCS admin change (multi-community K-6)</t>
        </is>
      </c>
      <c r="B9" s="10">
        <f>0</f>
        <v/>
      </c>
      <c r="C9" s="5" t="inlineStr">
        <is>
          <t>Revised to $0: complexity increases (I-Assumptions)</t>
        </is>
      </c>
    </row>
    <row r="10">
      <c r="A10" s="5" t="inlineStr">
        <is>
          <t>Freeport 6th transportation</t>
        </is>
      </c>
      <c r="B10" s="10">
        <f>'I-Assumptions'!B13*'I-Assumptions'!B12</f>
        <v/>
      </c>
      <c r="C10" s="5" t="inlineStr">
        <is>
          <t>Routes x cost/route from I-Assumptions</t>
        </is>
      </c>
    </row>
    <row r="11">
      <c r="A11" s="5" t="inlineStr">
        <is>
          <t>DCS portable classrooms</t>
        </is>
      </c>
      <c r="B11" s="10">
        <f>0</f>
        <v/>
      </c>
      <c r="C11" s="5" t="inlineStr">
        <is>
          <t>Sections freed by 7-8 offset 6th additions</t>
        </is>
      </c>
    </row>
    <row r="12">
      <c r="A12" s="5" t="inlineStr">
        <is>
          <t>Additional efficiencies (midpoint)</t>
        </is>
      </c>
      <c r="B12" s="10">
        <f>-AVERAGE('I-Assumptions'!B22,'I-Assumptions'!B23)</f>
        <v/>
      </c>
      <c r="C12" s="5" t="inlineStr">
        <is>
          <t>Midpoint of low/high range from I-Assumptions</t>
        </is>
      </c>
    </row>
    <row r="13">
      <c r="A13" s="8" t="inlineStr">
        <is>
          <t>TOTAL PATH A SAVINGS</t>
        </is>
      </c>
      <c r="B13" s="9">
        <f>-SUM(B8:B12)</f>
        <v/>
      </c>
    </row>
    <row r="15">
      <c r="A15" s="3" t="inlineStr">
        <is>
          <t>PATH B: Scenario 2 -- Gross Lens (FY28)</t>
        </is>
      </c>
    </row>
    <row r="16">
      <c r="A16" s="2" t="inlineStr">
        <is>
          <t>Treats full PES instruction budget as eliminated (traditional closure analysis)</t>
        </is>
      </c>
    </row>
    <row r="17">
      <c r="A17" s="4" t="inlineStr">
        <is>
          <t>Item</t>
        </is>
      </c>
      <c r="B17" s="4" t="inlineStr">
        <is>
          <t>Budget Impact</t>
        </is>
      </c>
      <c r="C17" s="4" t="inlineStr">
        <is>
          <t>Source / Notes</t>
        </is>
      </c>
    </row>
    <row r="18">
      <c r="A18" s="5" t="inlineStr">
        <is>
          <t>PES instruction eliminated (gross)</t>
        </is>
      </c>
      <c r="B18" s="10">
        <f>-('C-Budget'!D7-'I-Budget'!D14)</f>
        <v/>
      </c>
      <c r="C18" s="5" t="inlineStr">
        <is>
          <t>PES direct cost minus Art 9 facility (stays regardless)</t>
        </is>
      </c>
    </row>
    <row r="19">
      <c r="A19" s="5" t="inlineStr">
        <is>
          <t>Transport: Pownal K-6 to DCS</t>
        </is>
      </c>
      <c r="B19" s="10">
        <f>'I-Assumptions'!B14*'I-Assumptions'!B12</f>
        <v/>
      </c>
      <c r="C19" s="5" t="inlineStr">
        <is>
          <t>Routes x cost/route from I-Assumptions</t>
        </is>
      </c>
    </row>
    <row r="20">
      <c r="A20" s="5" t="inlineStr">
        <is>
          <t>Transport: Freeport PreK to PES</t>
        </is>
      </c>
      <c r="B20" s="10">
        <f>'I-Assumptions'!B15*'I-Assumptions'!B12</f>
        <v/>
      </c>
      <c r="C20" s="5" t="inlineStr">
        <is>
          <t>Specialized EC routes from I-Assumptions</t>
        </is>
      </c>
    </row>
    <row r="21">
      <c r="A21" s="5" t="inlineStr">
        <is>
          <t>Transport: Durham PreK to PES</t>
        </is>
      </c>
      <c r="B21" s="10">
        <f>'I-Assumptions'!B16*'I-Assumptions'!B12</f>
        <v/>
      </c>
      <c r="C21" s="5" t="inlineStr">
        <is>
          <t>Specialized EC routes from I-Assumptions</t>
        </is>
      </c>
    </row>
    <row r="22">
      <c r="A22" s="5" t="inlineStr">
        <is>
          <t>DCS multi-community coordination</t>
        </is>
      </c>
      <c r="B22" s="10">
        <f>'I-Assumptions'!B20</f>
        <v/>
      </c>
      <c r="C22" s="5" t="inlineStr">
        <is>
          <t>Analyst estimate from I-Assumptions</t>
        </is>
      </c>
    </row>
    <row r="23">
      <c r="A23" s="5" t="inlineStr">
        <is>
          <t>PES full EC conversion (amortized)</t>
        </is>
      </c>
      <c r="B23" s="10">
        <f>'I-Assumptions'!B17*'I-Assumptions'!B18/'I-Assumptions'!B19</f>
        <v/>
      </c>
      <c r="C23" s="5" t="inlineStr">
        <is>
          <t>Partial cost x multiplier / years from I-Assumptions</t>
        </is>
      </c>
    </row>
    <row r="24">
      <c r="A24" s="8" t="inlineStr">
        <is>
          <t>PATH B GROSS SAVINGS</t>
        </is>
      </c>
      <c r="B24" s="9">
        <f>-B18-SUM(B19:B23)</f>
        <v/>
      </c>
    </row>
    <row r="26">
      <c r="A26" s="3" t="inlineStr">
        <is>
          <t>PATH B: True Efficiency Lens -- Absorption-Adjusted (FY28)</t>
        </is>
      </c>
    </row>
    <row r="27">
      <c r="A27" s="2" t="inlineStr">
        <is>
          <t>Accounts for the fact that Pownal students still need teachers at receiving schools.</t>
        </is>
      </c>
    </row>
    <row r="29">
      <c r="A29" s="5" t="inlineStr">
        <is>
          <t>Marginal teacher savings (Scenario 2 total - Path A)</t>
        </is>
      </c>
      <c r="B29" s="6">
        <f>('I-FTE'!B42-'C-MSConsol'!B18)*'I-Assumptions'!B8</f>
        <v/>
      </c>
      <c r="C29" s="5" t="inlineStr">
        <is>
          <t>I-FTE Scenario 2 net FTE - C-MSConsol Path A FTE = marginal</t>
        </is>
      </c>
    </row>
    <row r="30">
      <c r="A30" s="5" t="inlineStr">
        <is>
          <t>PES administration eliminated</t>
        </is>
      </c>
      <c r="B30" s="6">
        <f>'I-Budget'!D13</f>
        <v/>
      </c>
      <c r="C30" s="5" t="inlineStr">
        <is>
          <t>Full Art 7 PES from I-Budget</t>
        </is>
      </c>
    </row>
    <row r="31">
      <c r="A31" s="5" t="inlineStr">
        <is>
          <t>DCS coordination cost</t>
        </is>
      </c>
      <c r="B31" s="6">
        <f>-'I-Assumptions'!B20</f>
        <v/>
      </c>
      <c r="C31" s="5" t="inlineStr">
        <is>
          <t>Absorbing Pownal families from I-Assumptions</t>
        </is>
      </c>
    </row>
    <row r="32">
      <c r="A32" s="5" t="inlineStr">
        <is>
          <t>PES support services (partial efficiency)</t>
        </is>
      </c>
      <c r="B32" s="6">
        <f>'I-Budget'!D12*'I-Assumptions'!B21</f>
        <v/>
      </c>
      <c r="C32" s="5" t="inlineStr">
        <is>
          <t>Art 5 x efficiency % from I-Assumptions</t>
        </is>
      </c>
    </row>
    <row r="33">
      <c r="A33" s="8" t="inlineStr">
        <is>
          <t>True Efficiency Savings</t>
        </is>
      </c>
      <c r="B33" s="11">
        <f>SUM(B29:B32)</f>
        <v/>
      </c>
    </row>
    <row r="34">
      <c r="A34" s="5" t="inlineStr">
        <is>
          <t>Minus transport (Path B)</t>
        </is>
      </c>
      <c r="B34" s="10">
        <f>-SUM(B19:B21)</f>
        <v/>
      </c>
    </row>
    <row r="35">
      <c r="A35" s="5" t="inlineStr">
        <is>
          <t>Minus PES conversion (amortized)</t>
        </is>
      </c>
      <c r="B35" s="10">
        <f>-B23</f>
        <v/>
      </c>
    </row>
    <row r="36">
      <c r="A36" s="8" t="inlineStr">
        <is>
          <t>TRUE NET SAVINGS FROM CLOSING PES</t>
        </is>
      </c>
      <c r="B36" s="14">
        <f>B33+B34+B35</f>
        <v/>
      </c>
    </row>
    <row r="38">
      <c r="A38" s="3" t="inlineStr">
        <is>
          <t>FINAL COMPARISON (FY28)</t>
        </is>
      </c>
    </row>
    <row r="39">
      <c r="A39" s="4" t="inlineStr">
        <is>
          <t>Metric</t>
        </is>
      </c>
      <c r="B39" s="4" t="inlineStr">
        <is>
          <t>No Action (FY28)</t>
        </is>
      </c>
      <c r="C39" s="4" t="inlineStr">
        <is>
          <t>Path A (FY28)</t>
        </is>
      </c>
      <c r="D39" s="4" t="inlineStr">
        <is>
          <t>Path B Gross (FY28)</t>
        </is>
      </c>
    </row>
    <row r="40">
      <c r="A40" s="8" t="inlineStr">
        <is>
          <t>FY28 Budget</t>
        </is>
      </c>
      <c r="B40" s="11">
        <f>'C-FY28Projection'!B23</f>
        <v/>
      </c>
      <c r="C40" s="11">
        <f>'C-FY28Projection'!B23-B13</f>
        <v/>
      </c>
      <c r="D40" s="11">
        <f>'C-FY28Projection'!B23-B24</f>
        <v/>
      </c>
    </row>
    <row r="41">
      <c r="A41" s="8" t="inlineStr">
        <is>
          <t>Increase from FY27 adopted</t>
        </is>
      </c>
      <c r="B41" s="23">
        <f>(B40-'C-FY28Projection'!B7)/'C-FY28Projection'!B7</f>
        <v/>
      </c>
      <c r="C41" s="23">
        <f>(C40-'C-FY28Projection'!B7)/'C-FY28Projection'!B7</f>
        <v/>
      </c>
      <c r="D41" s="23">
        <f>(D40-'C-FY28Projection'!B7)/'C-FY28Projection'!B7</f>
        <v/>
      </c>
    </row>
    <row r="42">
      <c r="A42" s="12" t="inlineStr">
        <is>
          <t>Savings vs. FY28 Baseline</t>
        </is>
      </c>
      <c r="B42" s="12" t="inlineStr">
        <is>
          <t>--</t>
        </is>
      </c>
      <c r="C42" s="11">
        <f>B13</f>
        <v/>
      </c>
      <c r="D42" s="11">
        <f>B24</f>
        <v/>
      </c>
    </row>
    <row r="43">
      <c r="A43" s="12" t="inlineStr">
        <is>
          <t>True Net (absorption-adjusted)</t>
        </is>
      </c>
      <c r="B43" s="12" t="inlineStr">
        <is>
          <t>N/A</t>
        </is>
      </c>
      <c r="C43" s="12" t="inlineStr">
        <is>
          <t>N/A</t>
        </is>
      </c>
      <c r="D43" s="14">
        <f>B36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CALC: Enrollment &amp; Town-of-Origin Analysis</t>
        </is>
      </c>
    </row>
    <row r="3">
      <c r="A3" s="2" t="inlineStr">
        <is>
          <t>All values are formulas referencing I-Enrollment.</t>
        </is>
      </c>
    </row>
    <row r="5">
      <c r="A5" s="3" t="inlineStr">
        <is>
          <t>Cohort Averages</t>
        </is>
      </c>
    </row>
    <row r="6">
      <c r="A6" s="5" t="inlineStr">
        <is>
          <t>PES avg K-5 grade size</t>
        </is>
      </c>
      <c r="B6" s="16">
        <f>AVERAGE('I-Enrollment'!B21:'I-Enrollment'!B26)</f>
        <v/>
      </c>
    </row>
    <row r="7">
      <c r="A7" s="5" t="inlineStr">
        <is>
          <t>DCS avg 7-8 grade size</t>
        </is>
      </c>
      <c r="B7" s="16">
        <f>AVERAGE('I-Enrollment'!B32,'I-Enrollment'!B33)</f>
        <v/>
      </c>
    </row>
    <row r="9">
      <c r="A9" s="3" t="inlineStr">
        <is>
          <t>Town-of-Origin at Shared Schools</t>
        </is>
      </c>
    </row>
    <row r="10">
      <c r="A10" s="4" t="inlineStr">
        <is>
          <t>School</t>
        </is>
      </c>
      <c r="B10" s="4" t="inlineStr">
        <is>
          <t>Pownal (est.)</t>
        </is>
      </c>
      <c r="C10" s="4" t="inlineStr">
        <is>
          <t>Durham (est.)</t>
        </is>
      </c>
      <c r="D10" s="4" t="inlineStr">
        <is>
          <t>Freeport (est.)</t>
        </is>
      </c>
    </row>
    <row r="11">
      <c r="A11" s="5" t="inlineStr">
        <is>
          <t>At FMS</t>
        </is>
      </c>
      <c r="B11" s="6">
        <f>ROUND(B6,0)*3</f>
        <v/>
      </c>
      <c r="C11" s="5" t="n">
        <v>0</v>
      </c>
      <c r="D11" s="6">
        <f>'I-Enrollment'!F14-B11</f>
        <v/>
      </c>
    </row>
    <row r="12">
      <c r="A12" s="5" t="inlineStr">
        <is>
          <t>At FHS</t>
        </is>
      </c>
      <c r="B12" s="6">
        <f>ROUND(B6,0)*4</f>
        <v/>
      </c>
      <c r="C12" s="6">
        <f>ROUND(B7,0)*4</f>
        <v/>
      </c>
      <c r="D12" s="6">
        <f>'I-Enrollment'!F15-B12-C12</f>
        <v/>
      </c>
    </row>
    <row r="14">
      <c r="A14" s="3" t="inlineStr">
        <is>
          <t>Total Students by Town</t>
        </is>
      </c>
    </row>
    <row r="15">
      <c r="A15" s="4" t="inlineStr">
        <is>
          <t>Town</t>
        </is>
      </c>
      <c r="B15" s="4" t="inlineStr">
        <is>
          <t>Own Schools</t>
        </is>
      </c>
      <c r="C15" s="4" t="inlineStr">
        <is>
          <t>At FMS</t>
        </is>
      </c>
      <c r="D15" s="4" t="inlineStr">
        <is>
          <t>At FHS</t>
        </is>
      </c>
      <c r="E15" s="4" t="inlineStr">
        <is>
          <t>TOTAL</t>
        </is>
      </c>
    </row>
    <row r="16">
      <c r="A16" s="5" t="inlineStr">
        <is>
          <t>Pownal</t>
        </is>
      </c>
      <c r="B16" s="6">
        <f>'I-Enrollment'!F12</f>
        <v/>
      </c>
      <c r="C16" s="6">
        <f>B11</f>
        <v/>
      </c>
      <c r="D16" s="6">
        <f>B12</f>
        <v/>
      </c>
      <c r="E16" s="11">
        <f>SUM(B16:D16)</f>
        <v/>
      </c>
    </row>
    <row r="17">
      <c r="A17" s="5" t="inlineStr">
        <is>
          <t>Durham</t>
        </is>
      </c>
      <c r="B17" s="6">
        <f>'I-Enrollment'!F13</f>
        <v/>
      </c>
      <c r="C17" s="5" t="n">
        <v>0</v>
      </c>
      <c r="D17" s="6">
        <f>C12</f>
        <v/>
      </c>
      <c r="E17" s="11">
        <f>SUM(B17:D17)</f>
        <v/>
      </c>
    </row>
    <row r="18">
      <c r="A18" s="5" t="inlineStr">
        <is>
          <t>Freeport</t>
        </is>
      </c>
      <c r="B18" s="6">
        <f>'I-Enrollment'!F10+'I-Enrollment'!F11</f>
        <v/>
      </c>
      <c r="C18" s="6">
        <f>D11</f>
        <v/>
      </c>
      <c r="D18" s="6">
        <f>D12</f>
        <v/>
      </c>
      <c r="E18" s="11">
        <f>SUM(B18:D18)</f>
        <v/>
      </c>
    </row>
    <row r="19">
      <c r="A19" s="8" t="inlineStr">
        <is>
          <t>DISTRICT TOTAL</t>
        </is>
      </c>
      <c r="E19" s="54">
        <f>E16+E17+E18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CALC: Budget Summary &amp; School Direct Costs</t>
        </is>
      </c>
    </row>
    <row r="3">
      <c r="A3" s="2" t="inlineStr">
        <is>
          <t>All values are SUM formulas referencing I-Budget input sheet.</t>
        </is>
      </c>
    </row>
    <row r="5">
      <c r="A5" s="3" t="inlineStr">
        <is>
          <t>School Direct Costs (sum of all articles per school)</t>
        </is>
      </c>
    </row>
    <row r="6">
      <c r="A6" s="4" t="inlineStr">
        <is>
          <t>School</t>
        </is>
      </c>
      <c r="B6" s="4" t="inlineStr">
        <is>
          <t>DCS</t>
        </is>
      </c>
      <c r="C6" s="4" t="inlineStr">
        <is>
          <t>MSS</t>
        </is>
      </c>
      <c r="D6" s="4" t="inlineStr">
        <is>
          <t>PES</t>
        </is>
      </c>
      <c r="E6" s="4" t="inlineStr">
        <is>
          <t>MLS</t>
        </is>
      </c>
      <c r="F6" s="4" t="inlineStr">
        <is>
          <t>FMS</t>
        </is>
      </c>
      <c r="G6" s="4" t="inlineStr">
        <is>
          <t>FHS</t>
        </is>
      </c>
    </row>
    <row r="7">
      <c r="A7" s="55" t="inlineStr">
        <is>
          <t>Direct Cost</t>
        </is>
      </c>
      <c r="B7" s="6">
        <f>SUM('I-Budget'!B9:B14)</f>
        <v/>
      </c>
      <c r="C7" s="6">
        <f>SUM('I-Budget'!C9:C14)</f>
        <v/>
      </c>
      <c r="D7" s="6">
        <f>SUM('I-Budget'!D9:D14)</f>
        <v/>
      </c>
      <c r="E7" s="6">
        <f>SUM('I-Budget'!E9:E14)</f>
        <v/>
      </c>
      <c r="F7" s="6">
        <f>SUM('I-Budget'!F9:F14)</f>
        <v/>
      </c>
      <c r="G7" s="6">
        <f>SUM('I-Budget'!G9:G14)</f>
        <v/>
      </c>
    </row>
    <row r="8">
      <c r="A8" s="5" t="inlineStr">
        <is>
          <t>Per Student</t>
        </is>
      </c>
      <c r="B8" s="6">
        <f>B7/'I-Enrollment'!F13</f>
        <v/>
      </c>
      <c r="C8" s="6">
        <f>C7/'I-Enrollment'!F10</f>
        <v/>
      </c>
      <c r="D8" s="6">
        <f>D7/'I-Enrollment'!F12</f>
        <v/>
      </c>
      <c r="E8" s="6">
        <f>E7/'I-Enrollment'!F11</f>
        <v/>
      </c>
      <c r="F8" s="6">
        <f>F7/'I-Enrollment'!F14</f>
        <v/>
      </c>
      <c r="G8" s="6">
        <f>G7/'I-Enrollment'!F15</f>
        <v/>
      </c>
    </row>
    <row r="10">
      <c r="A10" s="3" t="inlineStr">
        <is>
          <t>System-Wide Pool</t>
        </is>
      </c>
    </row>
    <row r="11">
      <c r="A11" s="5" t="inlineStr">
        <is>
          <t>System-only articles total</t>
        </is>
      </c>
      <c r="B11" s="6">
        <f>SUM('I-Budget'!B20:'I-Budget'!B24)</f>
        <v/>
      </c>
    </row>
    <row r="12">
      <c r="A12" s="5" t="inlineStr">
        <is>
          <t>SYS/K8/912/CTRL from school articles</t>
        </is>
      </c>
      <c r="B12" s="6">
        <f>SUM('I-Budget'!H9:'I-Budget'!H14)+SUM('I-Budget'!I9:'I-Budget'!I14)+SUM('I-Budget'!J9:'I-Budget'!J14)+SUM('I-Budget'!K9:'I-Budget'!K14)</f>
        <v/>
      </c>
    </row>
    <row r="13">
      <c r="A13" s="8" t="inlineStr">
        <is>
          <t>TOTAL SYSTEM-WIDE POOL</t>
        </is>
      </c>
      <c r="B13" s="54">
        <f>B11+B12</f>
        <v/>
      </c>
    </row>
    <row r="15">
      <c r="A15" s="8" t="inlineStr">
        <is>
          <t>GRAND TOTAL (Articles 1-11)</t>
        </is>
      </c>
      <c r="B15" s="54">
        <f>B7+C7+D7+E7+F7+G7+B13</f>
        <v/>
      </c>
    </row>
    <row r="16">
      <c r="A16" s="8" t="inlineStr">
        <is>
          <t>FY27 TOTAL OPERATING (+ Adult Ed)</t>
        </is>
      </c>
      <c r="B16" s="54">
        <f>B15+'I-Budget'!B31</f>
        <v/>
      </c>
    </row>
    <row r="17">
      <c r="A17" s="5" t="inlineStr">
        <is>
          <t>FY27 Increase ($) from FY26</t>
        </is>
      </c>
      <c r="B17" s="6">
        <f>B16-'I-Budget'!B32</f>
        <v/>
      </c>
    </row>
    <row r="18">
      <c r="A18" s="5" t="inlineStr">
        <is>
          <t>FY27 Increase (%)</t>
        </is>
      </c>
      <c r="B18" s="7">
        <f>B17/'I-Budget'!B32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8" customWidth="1" min="4" max="4"/>
  </cols>
  <sheetData>
    <row r="1">
      <c r="A1" s="1" t="inlineStr">
        <is>
          <t>CALC: Budget Consumption by Town of Origin</t>
        </is>
      </c>
    </row>
    <row r="3">
      <c r="A3" s="2" t="inlineStr">
        <is>
          <t>Direct costs -&gt; 100% to town. FMS/FHS -&gt; proportional. System -&gt; by student count.</t>
        </is>
      </c>
    </row>
    <row r="5">
      <c r="A5" s="3" t="inlineStr">
        <is>
          <t>Pownal Consumption</t>
        </is>
      </c>
    </row>
    <row r="6">
      <c r="A6" s="4" t="inlineStr">
        <is>
          <t>Component</t>
        </is>
      </c>
      <c r="B6" s="4" t="inlineStr">
        <is>
          <t>School Total</t>
        </is>
      </c>
      <c r="C6" s="4" t="inlineStr">
        <is>
          <t>Share %</t>
        </is>
      </c>
      <c r="D6" s="4" t="inlineStr">
        <is>
          <t>Town's Share</t>
        </is>
      </c>
    </row>
    <row r="7">
      <c r="A7" s="5" t="inlineStr">
        <is>
          <t>PES (100%)</t>
        </is>
      </c>
      <c r="B7" s="6">
        <f>'C-Budget'!D7</f>
        <v/>
      </c>
      <c r="C7" s="18">
        <f>1</f>
        <v/>
      </c>
      <c r="D7" s="6">
        <f>B7*C7</f>
        <v/>
      </c>
    </row>
    <row r="8">
      <c r="A8" s="5" t="inlineStr">
        <is>
          <t>FMS (Pownal share)</t>
        </is>
      </c>
      <c r="B8" s="6">
        <f>'C-Budget'!F7</f>
        <v/>
      </c>
      <c r="C8" s="18">
        <f>'C-Enrollment'!B11/'I-Enrollment'!F14</f>
        <v/>
      </c>
      <c r="D8" s="6">
        <f>B8*C8</f>
        <v/>
      </c>
    </row>
    <row r="9">
      <c r="A9" s="5" t="inlineStr">
        <is>
          <t>FHS (Pownal share)</t>
        </is>
      </c>
      <c r="B9" s="6">
        <f>'C-Budget'!G7</f>
        <v/>
      </c>
      <c r="C9" s="18">
        <f>'C-Enrollment'!B12/'I-Enrollment'!F15</f>
        <v/>
      </c>
      <c r="D9" s="6">
        <f>B9*C9</f>
        <v/>
      </c>
    </row>
    <row r="10">
      <c r="A10" s="5" t="inlineStr">
        <is>
          <t>System (Pownal share)</t>
        </is>
      </c>
      <c r="B10" s="6">
        <f>'C-Budget'!B13</f>
        <v/>
      </c>
      <c r="C10" s="18">
        <f>'C-Enrollment'!E16/'C-Enrollment'!E19</f>
        <v/>
      </c>
      <c r="D10" s="6">
        <f>B10*C10</f>
        <v/>
      </c>
    </row>
    <row r="11">
      <c r="A11" s="8" t="inlineStr">
        <is>
          <t>Pownal TOTAL</t>
        </is>
      </c>
      <c r="D11" s="54">
        <f>SUM(D7:D10)</f>
        <v/>
      </c>
    </row>
    <row r="12">
      <c r="A12" s="5" t="inlineStr">
        <is>
          <t>Pownal Per Student</t>
        </is>
      </c>
      <c r="D12" s="6">
        <f>D11/'C-Enrollment'!E16</f>
        <v/>
      </c>
    </row>
    <row r="14">
      <c r="A14" s="3" t="inlineStr">
        <is>
          <t>Durham Consumption</t>
        </is>
      </c>
    </row>
    <row r="15">
      <c r="A15" s="4" t="inlineStr">
        <is>
          <t>Component</t>
        </is>
      </c>
      <c r="B15" s="4" t="inlineStr">
        <is>
          <t>School Total</t>
        </is>
      </c>
      <c r="C15" s="4" t="inlineStr">
        <is>
          <t>Share %</t>
        </is>
      </c>
      <c r="D15" s="4" t="inlineStr">
        <is>
          <t>Town's Share</t>
        </is>
      </c>
    </row>
    <row r="16">
      <c r="A16" s="5" t="inlineStr">
        <is>
          <t>DCS (100%)</t>
        </is>
      </c>
      <c r="B16" s="6">
        <f>'C-Budget'!B7</f>
        <v/>
      </c>
      <c r="C16" s="18">
        <f>1</f>
        <v/>
      </c>
      <c r="D16" s="6">
        <f>B16*C16</f>
        <v/>
      </c>
    </row>
    <row r="17">
      <c r="A17" s="5" t="inlineStr">
        <is>
          <t>FHS (Durham share)</t>
        </is>
      </c>
      <c r="B17" s="6">
        <f>'C-Budget'!G7</f>
        <v/>
      </c>
      <c r="C17" s="18">
        <f>'C-Enrollment'!C12/'I-Enrollment'!F15</f>
        <v/>
      </c>
      <c r="D17" s="6">
        <f>B17*C17</f>
        <v/>
      </c>
    </row>
    <row r="18">
      <c r="A18" s="5" t="inlineStr">
        <is>
          <t>System (Durham share)</t>
        </is>
      </c>
      <c r="B18" s="6">
        <f>'C-Budget'!B13</f>
        <v/>
      </c>
      <c r="C18" s="18">
        <f>'C-Enrollment'!E17/'C-Enrollment'!E19</f>
        <v/>
      </c>
      <c r="D18" s="6">
        <f>B18*C18</f>
        <v/>
      </c>
    </row>
    <row r="19">
      <c r="A19" s="8" t="inlineStr">
        <is>
          <t>Durham TOTAL</t>
        </is>
      </c>
      <c r="D19" s="54">
        <f>SUM(D16:D18)</f>
        <v/>
      </c>
    </row>
    <row r="20">
      <c r="A20" s="5" t="inlineStr">
        <is>
          <t>Durham Per Student</t>
        </is>
      </c>
      <c r="D20" s="6">
        <f>D19/'C-Enrollment'!E17</f>
        <v/>
      </c>
    </row>
    <row r="22">
      <c r="A22" s="3" t="inlineStr">
        <is>
          <t>Freeport Consumption</t>
        </is>
      </c>
    </row>
    <row r="23">
      <c r="A23" s="4" t="inlineStr">
        <is>
          <t>Component</t>
        </is>
      </c>
      <c r="B23" s="4" t="inlineStr">
        <is>
          <t>School Total</t>
        </is>
      </c>
      <c r="C23" s="4" t="inlineStr">
        <is>
          <t>Share %</t>
        </is>
      </c>
      <c r="D23" s="4" t="inlineStr">
        <is>
          <t>Town's Share</t>
        </is>
      </c>
    </row>
    <row r="24">
      <c r="A24" s="5" t="inlineStr">
        <is>
          <t>MSS (100%)</t>
        </is>
      </c>
      <c r="B24" s="6">
        <f>'C-Budget'!C7</f>
        <v/>
      </c>
      <c r="C24" s="18">
        <f>1</f>
        <v/>
      </c>
      <c r="D24" s="6">
        <f>B24*C24</f>
        <v/>
      </c>
    </row>
    <row r="25">
      <c r="A25" s="5" t="inlineStr">
        <is>
          <t>MLS (100%)</t>
        </is>
      </c>
      <c r="B25" s="6">
        <f>'C-Budget'!E7</f>
        <v/>
      </c>
      <c r="C25" s="18">
        <f>1</f>
        <v/>
      </c>
      <c r="D25" s="6">
        <f>B25*C25</f>
        <v/>
      </c>
    </row>
    <row r="26">
      <c r="A26" s="5" t="inlineStr">
        <is>
          <t>FMS (Freeport share)</t>
        </is>
      </c>
      <c r="B26" s="6">
        <f>'C-Budget'!F7</f>
        <v/>
      </c>
      <c r="C26" s="18">
        <f>'C-Enrollment'!D11/'I-Enrollment'!F14</f>
        <v/>
      </c>
      <c r="D26" s="6">
        <f>B26*C26</f>
        <v/>
      </c>
    </row>
    <row r="27">
      <c r="A27" s="5" t="inlineStr">
        <is>
          <t>FHS (Freeport share)</t>
        </is>
      </c>
      <c r="B27" s="6">
        <f>'C-Budget'!G7</f>
        <v/>
      </c>
      <c r="C27" s="18">
        <f>'C-Enrollment'!D12/'I-Enrollment'!F15</f>
        <v/>
      </c>
      <c r="D27" s="6">
        <f>B27*C27</f>
        <v/>
      </c>
    </row>
    <row r="28">
      <c r="A28" s="5" t="inlineStr">
        <is>
          <t>System (Freeport share)</t>
        </is>
      </c>
      <c r="B28" s="6">
        <f>'C-Budget'!B13</f>
        <v/>
      </c>
      <c r="C28" s="18">
        <f>'C-Enrollment'!E18/'C-Enrollment'!E19</f>
        <v/>
      </c>
      <c r="D28" s="6">
        <f>B28*C28</f>
        <v/>
      </c>
    </row>
    <row r="29">
      <c r="A29" s="8" t="inlineStr">
        <is>
          <t>Freeport TOTAL</t>
        </is>
      </c>
      <c r="D29" s="54">
        <f>SUM(D24:D28)</f>
        <v/>
      </c>
    </row>
    <row r="30">
      <c r="A30" s="5" t="inlineStr">
        <is>
          <t>Freeport Per Student</t>
        </is>
      </c>
      <c r="D30" s="6">
        <f>D29/'C-Enrollment'!E18</f>
        <v/>
      </c>
    </row>
    <row r="33">
      <c r="A33" s="3" t="inlineStr">
        <is>
          <t>Integrity Check</t>
        </is>
      </c>
    </row>
    <row r="34">
      <c r="A34" s="8" t="inlineStr">
        <is>
          <t>Sum of Town Consumption</t>
        </is>
      </c>
      <c r="D34" s="54">
        <f>D11+D19+D29</f>
        <v/>
      </c>
    </row>
    <row r="35">
      <c r="A35" s="12" t="inlineStr">
        <is>
          <t>Budget Total (should match)</t>
        </is>
      </c>
      <c r="D35" s="11">
        <f>'C-Budget'!B15</f>
        <v/>
      </c>
    </row>
    <row r="36">
      <c r="A36" s="12" t="inlineStr">
        <is>
          <t>Variance</t>
        </is>
      </c>
      <c r="D36" s="11">
        <f>D34-D35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CALC: Revenue &amp; Net Fiscal Position</t>
        </is>
      </c>
    </row>
    <row r="3">
      <c r="A3" s="2" t="inlineStr">
        <is>
          <t>All values reference I-Revenue and C-Enrollment.</t>
        </is>
      </c>
    </row>
    <row r="5">
      <c r="A5" s="3" t="inlineStr">
        <is>
          <t>ALM Percentage (computed)</t>
        </is>
      </c>
    </row>
    <row r="6">
      <c r="A6" s="5" t="inlineStr">
        <is>
          <t>Pownal ALM %</t>
        </is>
      </c>
      <c r="B6" s="7">
        <f>'I-Revenue'!B10/('I-Revenue'!B10+'I-Revenue'!C10+'I-Revenue'!D10)</f>
        <v/>
      </c>
    </row>
    <row r="7">
      <c r="A7" s="5" t="inlineStr">
        <is>
          <t>Durham ALM %</t>
        </is>
      </c>
      <c r="B7" s="7">
        <f>'I-Revenue'!C10/('I-Revenue'!B10+'I-Revenue'!C10+'I-Revenue'!D10)</f>
        <v/>
      </c>
    </row>
    <row r="8">
      <c r="A8" s="5" t="inlineStr">
        <is>
          <t>Freeport ALM %</t>
        </is>
      </c>
      <c r="B8" s="7">
        <f>'I-Revenue'!D10/('I-Revenue'!B10+'I-Revenue'!C10+'I-Revenue'!D10)</f>
        <v/>
      </c>
    </row>
    <row r="10">
      <c r="A10" s="3" t="inlineStr">
        <is>
          <t>Total Revenue by Town</t>
        </is>
      </c>
    </row>
    <row r="11">
      <c r="A11" s="4" t="inlineStr">
        <is>
          <t>Component</t>
        </is>
      </c>
      <c r="B11" s="4" t="inlineStr">
        <is>
          <t>Pownal</t>
        </is>
      </c>
      <c r="C11" s="4" t="inlineStr">
        <is>
          <t>Durham</t>
        </is>
      </c>
      <c r="D11" s="4" t="inlineStr">
        <is>
          <t>Freeport</t>
        </is>
      </c>
    </row>
    <row r="12">
      <c r="A12" s="5" t="inlineStr">
        <is>
          <t>Total Contribution</t>
        </is>
      </c>
      <c r="B12" s="6">
        <f>SUM('I-Revenue'!B9:'I-Revenue'!B12)</f>
        <v/>
      </c>
      <c r="C12" s="6">
        <f>SUM('I-Revenue'!C9:'I-Revenue'!C12)</f>
        <v/>
      </c>
      <c r="D12" s="6">
        <f>SUM('I-Revenue'!D9:'I-Revenue'!D12)</f>
        <v/>
      </c>
    </row>
    <row r="13">
      <c r="A13" s="5" t="inlineStr">
        <is>
          <t>Shared Revenue</t>
        </is>
      </c>
      <c r="B13" s="6">
        <f>'I-Revenue'!B14*B6</f>
        <v/>
      </c>
      <c r="C13" s="6">
        <f>'I-Revenue'!B14*B7</f>
        <v/>
      </c>
      <c r="D13" s="6">
        <f>'I-Revenue'!B14*B8</f>
        <v/>
      </c>
    </row>
    <row r="14">
      <c r="A14" s="8" t="inlineStr">
        <is>
          <t>TOTAL REVENUE</t>
        </is>
      </c>
      <c r="B14" s="54">
        <f>B12+B13</f>
        <v/>
      </c>
      <c r="C14" s="54">
        <f>C12+C13</f>
        <v/>
      </c>
      <c r="D14" s="54">
        <f>D12+D13</f>
        <v/>
      </c>
    </row>
    <row r="16">
      <c r="A16" s="3" t="inlineStr">
        <is>
          <t>Net Fiscal Position</t>
        </is>
      </c>
    </row>
    <row r="17">
      <c r="A17" s="4" t="inlineStr">
        <is>
          <t>Town</t>
        </is>
      </c>
      <c r="B17" s="4" t="inlineStr">
        <is>
          <t>Revenue</t>
        </is>
      </c>
      <c r="C17" s="4" t="inlineStr">
        <is>
          <t>Consumption</t>
        </is>
      </c>
      <c r="D17" s="4" t="inlineStr">
        <is>
          <t>Net Position</t>
        </is>
      </c>
      <c r="E17" s="4" t="inlineStr">
        <is>
          <t>Students</t>
        </is>
      </c>
      <c r="F17" s="4" t="inlineStr">
        <is>
          <t>Rev/Stu</t>
        </is>
      </c>
      <c r="G17" s="4" t="inlineStr">
        <is>
          <t>Cost/Stu</t>
        </is>
      </c>
    </row>
    <row r="18">
      <c r="A18" s="5" t="inlineStr">
        <is>
          <t>Pownal</t>
        </is>
      </c>
      <c r="B18" s="6">
        <f>B14</f>
        <v/>
      </c>
      <c r="C18" s="6">
        <f>'C-Consumption'!D11</f>
        <v/>
      </c>
      <c r="D18" s="14">
        <f>B18-C18</f>
        <v/>
      </c>
      <c r="E18" s="6">
        <f>'C-Enrollment'!E16</f>
        <v/>
      </c>
      <c r="F18" s="6">
        <f>B18/E18</f>
        <v/>
      </c>
      <c r="G18" s="6">
        <f>C18/E18</f>
        <v/>
      </c>
    </row>
    <row r="19">
      <c r="A19" s="5" t="inlineStr">
        <is>
          <t>Durham</t>
        </is>
      </c>
      <c r="B19" s="6">
        <f>C14</f>
        <v/>
      </c>
      <c r="C19" s="6">
        <f>'C-Consumption'!D19</f>
        <v/>
      </c>
      <c r="D19" s="14">
        <f>B19-C19</f>
        <v/>
      </c>
      <c r="E19" s="6">
        <f>'C-Enrollment'!E17</f>
        <v/>
      </c>
      <c r="F19" s="6">
        <f>B19/E19</f>
        <v/>
      </c>
      <c r="G19" s="6">
        <f>C19/E19</f>
        <v/>
      </c>
    </row>
    <row r="20">
      <c r="A20" s="5" t="inlineStr">
        <is>
          <t>Freeport</t>
        </is>
      </c>
      <c r="B20" s="6">
        <f>D14</f>
        <v/>
      </c>
      <c r="C20" s="6">
        <f>'C-Consumption'!D29</f>
        <v/>
      </c>
      <c r="D20" s="14">
        <f>B20-C20</f>
        <v/>
      </c>
      <c r="E20" s="6">
        <f>'C-Enrollment'!E18</f>
        <v/>
      </c>
      <c r="F20" s="6">
        <f>B20/E20</f>
        <v/>
      </c>
      <c r="G20" s="6">
        <f>C20/E20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CALC: Tax Analysis</t>
        </is>
      </c>
    </row>
    <row r="3">
      <c r="A3" s="2" t="inlineStr">
        <is>
          <t>All values reference I-Tax and I-Revenue input sheets.</t>
        </is>
      </c>
    </row>
    <row r="5">
      <c r="A5" s="3" t="inlineStr">
        <is>
          <t>RSU Net Tax Impact (RLC + ALM + Non-Shared Debt)</t>
        </is>
      </c>
    </row>
    <row r="6">
      <c r="A6" s="5" t="inlineStr">
        <is>
          <t>Pownal</t>
        </is>
      </c>
      <c r="B6" s="6">
        <f>'I-Revenue'!B9+'I-Revenue'!B10+'I-Revenue'!B12</f>
        <v/>
      </c>
    </row>
    <row r="7">
      <c r="A7" s="5" t="inlineStr">
        <is>
          <t>Durham</t>
        </is>
      </c>
      <c r="B7" s="6">
        <f>'I-Revenue'!C9+'I-Revenue'!C10+'I-Revenue'!C12</f>
        <v/>
      </c>
    </row>
    <row r="8">
      <c r="A8" s="5" t="inlineStr">
        <is>
          <t>Freeport</t>
        </is>
      </c>
      <c r="B8" s="6">
        <f>'I-Revenue'!D9+'I-Revenue'!D10+'I-Revenue'!D12</f>
        <v/>
      </c>
    </row>
    <row r="10">
      <c r="A10" s="3" t="inlineStr">
        <is>
          <t>Equalized School Mil Rates</t>
        </is>
      </c>
    </row>
    <row r="11">
      <c r="A11" s="4" t="inlineStr">
        <is>
          <t>Town</t>
        </is>
      </c>
      <c r="B11" s="4" t="inlineStr">
        <is>
          <t>RSU Net Tax</t>
        </is>
      </c>
      <c r="C11" s="4" t="inlineStr">
        <is>
          <t>State Val</t>
        </is>
      </c>
      <c r="D11" s="4" t="inlineStr">
        <is>
          <t>Eq School Mil</t>
        </is>
      </c>
      <c r="E11" s="4" t="inlineStr">
        <is>
          <t>Local Mil</t>
        </is>
      </c>
      <c r="F11" s="4" t="inlineStr">
        <is>
          <t>Assessment Ratio</t>
        </is>
      </c>
    </row>
    <row r="12">
      <c r="A12" s="5" t="inlineStr">
        <is>
          <t>Pownal</t>
        </is>
      </c>
      <c r="B12" s="6">
        <f>B6</f>
        <v/>
      </c>
      <c r="C12" s="6">
        <f>'I-Tax'!B14</f>
        <v/>
      </c>
      <c r="D12" s="56">
        <f>B12/C12*1000</f>
        <v/>
      </c>
      <c r="E12" s="56">
        <f>B12/'I-Tax'!B13*1000</f>
        <v/>
      </c>
      <c r="F12" s="18">
        <f>'I-Tax'!B13/'I-Tax'!B14</f>
        <v/>
      </c>
    </row>
    <row r="13">
      <c r="A13" s="5" t="inlineStr">
        <is>
          <t>Durham</t>
        </is>
      </c>
      <c r="B13" s="6">
        <f>B7</f>
        <v/>
      </c>
      <c r="C13" s="6">
        <f>'I-Tax'!B35</f>
        <v/>
      </c>
      <c r="D13" s="56">
        <f>B13/C13*1000</f>
        <v/>
      </c>
      <c r="E13" s="56">
        <f>B13/'I-Tax'!B34*1000</f>
        <v/>
      </c>
      <c r="F13" s="18">
        <f>'I-Tax'!B34/'I-Tax'!B35</f>
        <v/>
      </c>
    </row>
    <row r="14">
      <c r="A14" s="5" t="inlineStr">
        <is>
          <t>Freeport</t>
        </is>
      </c>
      <c r="B14" s="6">
        <f>B8</f>
        <v/>
      </c>
      <c r="C14" s="6">
        <f>'I-Tax'!B25</f>
        <v/>
      </c>
      <c r="D14" s="56">
        <f>B14/C14*1000</f>
        <v/>
      </c>
      <c r="E14" s="56">
        <f>B14/'I-Tax'!B24*1000</f>
        <v/>
      </c>
      <c r="F14" s="18">
        <f>'I-Tax'!B24/'I-Tax'!B25</f>
        <v/>
      </c>
    </row>
    <row r="16">
      <c r="A16" s="3" t="inlineStr">
        <is>
          <t>Per-Student Tax Burden</t>
        </is>
      </c>
    </row>
    <row r="17">
      <c r="A17" s="4" t="inlineStr">
        <is>
          <t>Town</t>
        </is>
      </c>
      <c r="B17" s="4" t="inlineStr">
        <is>
          <t>RSU Net Tax</t>
        </is>
      </c>
      <c r="C17" s="4" t="inlineStr">
        <is>
          <t>Students</t>
        </is>
      </c>
      <c r="D17" s="4" t="inlineStr">
        <is>
          <t>Tax/Student</t>
        </is>
      </c>
    </row>
    <row r="18">
      <c r="A18" s="5" t="inlineStr">
        <is>
          <t>Pownal</t>
        </is>
      </c>
      <c r="B18" s="6">
        <f>B6</f>
        <v/>
      </c>
      <c r="C18" s="6">
        <f>'C-Enrollment'!E16</f>
        <v/>
      </c>
      <c r="D18" s="9">
        <f>B18/C18</f>
        <v/>
      </c>
    </row>
    <row r="19">
      <c r="A19" s="5" t="inlineStr">
        <is>
          <t>Durham</t>
        </is>
      </c>
      <c r="B19" s="6">
        <f>B7</f>
        <v/>
      </c>
      <c r="C19" s="6">
        <f>'C-Enrollment'!E17</f>
        <v/>
      </c>
      <c r="D19" s="9">
        <f>B19/C19</f>
        <v/>
      </c>
    </row>
    <row r="20">
      <c r="A20" s="5" t="inlineStr">
        <is>
          <t>Freeport</t>
        </is>
      </c>
      <c r="B20" s="6">
        <f>B8</f>
        <v/>
      </c>
      <c r="C20" s="6">
        <f>'C-Enrollment'!E18</f>
        <v/>
      </c>
      <c r="D20" s="9">
        <f>B20/C20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CALC: PES Per-Student Cost Premium</t>
        </is>
      </c>
    </row>
    <row r="3">
      <c r="A3" s="2" t="inlineStr">
        <is>
          <t>Compares PES per-student cost vs average of DCS, MSS, MLS from I-Budget.</t>
        </is>
      </c>
    </row>
    <row r="5">
      <c r="A5" s="4" t="inlineStr">
        <is>
          <t>Article</t>
        </is>
      </c>
      <c r="B5" s="4" t="inlineStr">
        <is>
          <t>PES $/Stu</t>
        </is>
      </c>
      <c r="C5" s="4" t="inlineStr">
        <is>
          <t>DCS $/Stu</t>
        </is>
      </c>
      <c r="D5" s="4" t="inlineStr">
        <is>
          <t>MSS $/Stu</t>
        </is>
      </c>
      <c r="E5" s="4" t="inlineStr">
        <is>
          <t>MLS $/Stu</t>
        </is>
      </c>
      <c r="F5" s="4" t="inlineStr">
        <is>
          <t>Other Avg</t>
        </is>
      </c>
      <c r="G5" s="4" t="inlineStr">
        <is>
          <t>PES Premium</t>
        </is>
      </c>
    </row>
    <row r="6">
      <c r="A6" s="5" t="inlineStr">
        <is>
          <t>Art 1 - Regular Instr.</t>
        </is>
      </c>
      <c r="B6" s="6">
        <f>'I-Budget'!D9/'I-Enrollment'!F12</f>
        <v/>
      </c>
      <c r="C6" s="6">
        <f>'I-Budget'!B9/'I-Enrollment'!F13</f>
        <v/>
      </c>
      <c r="D6" s="6">
        <f>'I-Budget'!C9/'I-Enrollment'!F10</f>
        <v/>
      </c>
      <c r="E6" s="6">
        <f>'I-Budget'!E9/'I-Enrollment'!F11</f>
        <v/>
      </c>
      <c r="F6" s="6">
        <f>AVERAGE(C6:E6)</f>
        <v/>
      </c>
      <c r="G6" s="10">
        <f>B6-F6</f>
        <v/>
      </c>
    </row>
    <row r="7">
      <c r="A7" s="5" t="inlineStr">
        <is>
          <t>Art 2 - Special Ed</t>
        </is>
      </c>
      <c r="B7" s="6">
        <f>'I-Budget'!D10/'I-Enrollment'!F12</f>
        <v/>
      </c>
      <c r="C7" s="6">
        <f>'I-Budget'!B10/'I-Enrollment'!F13</f>
        <v/>
      </c>
      <c r="D7" s="6">
        <f>'I-Budget'!C10/'I-Enrollment'!F10</f>
        <v/>
      </c>
      <c r="E7" s="6">
        <f>'I-Budget'!E10/'I-Enrollment'!F11</f>
        <v/>
      </c>
      <c r="F7" s="6">
        <f>AVERAGE(C7:E7)</f>
        <v/>
      </c>
      <c r="G7" s="10">
        <f>B7-F7</f>
        <v/>
      </c>
    </row>
    <row r="8">
      <c r="A8" s="5" t="inlineStr">
        <is>
          <t>Art 4 - Other Instr.</t>
        </is>
      </c>
      <c r="B8" s="6">
        <f>'I-Budget'!D11/'I-Enrollment'!F12</f>
        <v/>
      </c>
      <c r="C8" s="6">
        <f>'I-Budget'!B11/'I-Enrollment'!F13</f>
        <v/>
      </c>
      <c r="D8" s="6">
        <f>'I-Budget'!C11/'I-Enrollment'!F10</f>
        <v/>
      </c>
      <c r="E8" s="6">
        <f>'I-Budget'!E11/'I-Enrollment'!F11</f>
        <v/>
      </c>
      <c r="F8" s="6">
        <f>AVERAGE(C8:E8)</f>
        <v/>
      </c>
      <c r="G8" s="10">
        <f>B8-F8</f>
        <v/>
      </c>
    </row>
    <row r="9">
      <c r="A9" s="5" t="inlineStr">
        <is>
          <t>Art 5 - Student Support</t>
        </is>
      </c>
      <c r="B9" s="6">
        <f>'I-Budget'!D12/'I-Enrollment'!F12</f>
        <v/>
      </c>
      <c r="C9" s="6">
        <f>'I-Budget'!B12/'I-Enrollment'!F13</f>
        <v/>
      </c>
      <c r="D9" s="6">
        <f>'I-Budget'!C12/'I-Enrollment'!F10</f>
        <v/>
      </c>
      <c r="E9" s="6">
        <f>'I-Budget'!E12/'I-Enrollment'!F11</f>
        <v/>
      </c>
      <c r="F9" s="6">
        <f>AVERAGE(C9:E9)</f>
        <v/>
      </c>
      <c r="G9" s="10">
        <f>B9-F9</f>
        <v/>
      </c>
    </row>
    <row r="10">
      <c r="A10" s="5" t="inlineStr">
        <is>
          <t>Art 7 - Administration</t>
        </is>
      </c>
      <c r="B10" s="6">
        <f>'I-Budget'!D13/'I-Enrollment'!F12</f>
        <v/>
      </c>
      <c r="C10" s="6">
        <f>'I-Budget'!B13/'I-Enrollment'!F13</f>
        <v/>
      </c>
      <c r="D10" s="6">
        <f>'I-Budget'!C13/'I-Enrollment'!F10</f>
        <v/>
      </c>
      <c r="E10" s="6">
        <f>'I-Budget'!E13/'I-Enrollment'!F11</f>
        <v/>
      </c>
      <c r="F10" s="6">
        <f>AVERAGE(C10:E10)</f>
        <v/>
      </c>
      <c r="G10" s="10">
        <f>B10-F10</f>
        <v/>
      </c>
    </row>
    <row r="11">
      <c r="A11" s="5" t="inlineStr">
        <is>
          <t>Art 9 - Facilities</t>
        </is>
      </c>
      <c r="B11" s="6">
        <f>'I-Budget'!D14/'I-Enrollment'!F12</f>
        <v/>
      </c>
      <c r="C11" s="6">
        <f>'I-Budget'!B14/'I-Enrollment'!F13</f>
        <v/>
      </c>
      <c r="D11" s="6">
        <f>'I-Budget'!C14/'I-Enrollment'!F10</f>
        <v/>
      </c>
      <c r="E11" s="6">
        <f>'I-Budget'!E14/'I-Enrollment'!F11</f>
        <v/>
      </c>
      <c r="F11" s="6">
        <f>AVERAGE(C11:E11)</f>
        <v/>
      </c>
      <c r="G11" s="10">
        <f>B11-F11</f>
        <v/>
      </c>
    </row>
    <row r="12">
      <c r="A12" s="8" t="inlineStr">
        <is>
          <t>TOTAL</t>
        </is>
      </c>
      <c r="B12" s="11">
        <f>SUM(B6:B11)</f>
        <v/>
      </c>
      <c r="F12" s="11">
        <f>SUM(F6:F11)</f>
        <v/>
      </c>
      <c r="G12" s="14">
        <f>B12-F12</f>
        <v/>
      </c>
    </row>
    <row r="14">
      <c r="A14" s="8" t="inlineStr">
        <is>
          <t>Total Gap (premium x PES enrollment)</t>
        </is>
      </c>
      <c r="B14" s="9">
        <f>G12*'I-Enrollment'!F12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0AD47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CALC: Middle School Consolidation</t>
        </is>
      </c>
    </row>
    <row r="3">
      <c r="A3" s="2" t="inlineStr">
        <is>
          <t>References I-FTE for current staffing, I-Enrollment for student counts, I-Assumptions for targets.</t>
        </is>
      </c>
    </row>
    <row r="5">
      <c r="A5" s="3" t="inlineStr">
        <is>
          <t>Student Movement</t>
        </is>
      </c>
    </row>
    <row r="6">
      <c r="A6" s="5" t="inlineStr">
        <is>
          <t>Pownal 6th graders (est.)</t>
        </is>
      </c>
      <c r="B6" s="6">
        <f>ROUND('C-Enrollment'!B6,0)</f>
        <v/>
      </c>
    </row>
    <row r="7">
      <c r="A7" s="5" t="inlineStr">
        <is>
          <t>Freeport 6th graders (est.)</t>
        </is>
      </c>
      <c r="B7" s="6">
        <f>'I-Enrollment'!B38-B6</f>
        <v/>
      </c>
    </row>
    <row r="8">
      <c r="A8" s="5" t="inlineStr">
        <is>
          <t>New FMS total (district 7-8)</t>
        </is>
      </c>
      <c r="B8" s="6">
        <f>'I-Enrollment'!B39+'I-Enrollment'!B40+'I-Enrollment'!B32+'I-Enrollment'!B33</f>
        <v/>
      </c>
    </row>
    <row r="9">
      <c r="A9" s="5" t="inlineStr">
        <is>
          <t>New DCS 6th total (district-wide)</t>
        </is>
      </c>
      <c r="B9" s="6">
        <f>'I-Enrollment'!B31+'I-Enrollment'!B38</f>
        <v/>
      </c>
    </row>
    <row r="11">
      <c r="A11" s="3" t="inlineStr">
        <is>
          <t>Staffing Impact</t>
        </is>
      </c>
    </row>
    <row r="12">
      <c r="A12" s="4" t="inlineStr">
        <is>
          <t>Grade Level</t>
        </is>
      </c>
      <c r="B12" s="4" t="inlineStr">
        <is>
          <t>Current FTE</t>
        </is>
      </c>
      <c r="C12" s="4" t="inlineStr">
        <is>
          <t>Proposed FTE</t>
        </is>
      </c>
      <c r="D12" s="4" t="inlineStr">
        <is>
          <t>Change</t>
        </is>
      </c>
    </row>
    <row r="13">
      <c r="A13" s="5" t="inlineStr">
        <is>
          <t>Grades 7-8</t>
        </is>
      </c>
      <c r="B13" s="16">
        <f>'I-FTE'!C22+'I-FTE'!C28</f>
        <v/>
      </c>
      <c r="C13" s="16">
        <f>B8/'I-Assumptions'!B9</f>
        <v/>
      </c>
      <c r="D13" s="15">
        <f>C13-B13</f>
        <v/>
      </c>
    </row>
    <row r="14">
      <c r="A14" s="5" t="inlineStr">
        <is>
          <t>Grade 6</t>
        </is>
      </c>
      <c r="B14" s="16">
        <f>'I-FTE'!C21+'I-FTE'!C27</f>
        <v/>
      </c>
      <c r="C14" s="16">
        <f>B9/'I-Assumptions'!B10</f>
        <v/>
      </c>
      <c r="D14" s="15">
        <f>C14-B14</f>
        <v/>
      </c>
    </row>
    <row r="15">
      <c r="A15" s="8" t="inlineStr">
        <is>
          <t>NET</t>
        </is>
      </c>
      <c r="B15" s="25">
        <f>B13+B14</f>
        <v/>
      </c>
      <c r="C15" s="25">
        <f>C13+C14</f>
        <v/>
      </c>
      <c r="D15" s="26">
        <f>C15-B15</f>
        <v/>
      </c>
    </row>
    <row r="17">
      <c r="A17" s="3" t="inlineStr">
        <is>
          <t>Financial Summary</t>
        </is>
      </c>
    </row>
    <row r="18">
      <c r="A18" s="5" t="inlineStr">
        <is>
          <t>Net FTE Saved</t>
        </is>
      </c>
      <c r="B18" s="16">
        <f>-D15</f>
        <v/>
      </c>
    </row>
    <row r="19">
      <c r="A19" s="5" t="inlineStr">
        <is>
          <t>Teacher Savings</t>
        </is>
      </c>
      <c r="B19" s="6">
        <f>B18*'I-Assumptions'!B8</f>
        <v/>
      </c>
    </row>
    <row r="20">
      <c r="A20" s="5" t="inlineStr">
        <is>
          <t>Extracurricular Savings</t>
        </is>
      </c>
      <c r="B20" s="6">
        <f>'I-Assumptions'!B11</f>
        <v/>
      </c>
    </row>
    <row r="21">
      <c r="A21" s="8" t="inlineStr">
        <is>
          <t>TOTAL MS CONSOLIDATION SAVINGS</t>
        </is>
      </c>
      <c r="B21" s="9">
        <f>B19+B20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AD47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CALC: EC Net Cost Analysis</t>
        </is>
      </c>
    </row>
    <row r="3">
      <c r="A3" s="2" t="inlineStr">
        <is>
          <t>References I-ECCosts for staff costs and offsets.</t>
        </is>
      </c>
    </row>
    <row r="4">
      <c r="A4" s="2" t="inlineStr">
        <is>
          <t>NOTE: EC costs are FY28 expenses (begin July 2027), not FY27.</t>
        </is>
      </c>
    </row>
    <row r="6">
      <c r="A6" s="55" t="inlineStr">
        <is>
          <t>Option 1 Gross Cost</t>
        </is>
      </c>
      <c r="B6" s="6">
        <f>SUM('I-ECCosts'!D12:'I-ECCosts'!D19)+'I-ECCosts'!D21</f>
        <v/>
      </c>
    </row>
    <row r="7">
      <c r="A7" s="5" t="inlineStr">
        <is>
          <t>Offsets (high -&gt; low net cost)</t>
        </is>
      </c>
      <c r="B7" s="6">
        <f>SUM('I-ECCosts'!C29:'I-ECCosts'!C31)</f>
        <v/>
      </c>
    </row>
    <row r="8">
      <c r="A8" s="5" t="inlineStr">
        <is>
          <t>Offsets (low -&gt; high net cost)</t>
        </is>
      </c>
      <c r="B8" s="6">
        <f>SUM('I-ECCosts'!B29:'I-ECCosts'!B31)</f>
        <v/>
      </c>
    </row>
    <row r="9">
      <c r="A9" s="5" t="inlineStr">
        <is>
          <t>Offsets (midpoint)</t>
        </is>
      </c>
      <c r="B9" s="6">
        <f>AVERAGE(B7,B8)</f>
        <v/>
      </c>
    </row>
    <row r="11">
      <c r="A11" s="4" t="inlineStr"/>
      <c r="B11" s="4" t="inlineStr">
        <is>
          <t>Low</t>
        </is>
      </c>
      <c r="C11" s="4" t="inlineStr">
        <is>
          <t>High</t>
        </is>
      </c>
      <c r="D11" s="4" t="inlineStr">
        <is>
          <t>Midpoint</t>
        </is>
      </c>
    </row>
    <row r="12">
      <c r="A12" s="8" t="inlineStr">
        <is>
          <t>NET EC COST (annual, FY28+)</t>
        </is>
      </c>
      <c r="B12" s="11">
        <f>B6-B7</f>
        <v/>
      </c>
      <c r="C12" s="11">
        <f>B6-B8</f>
        <v/>
      </c>
      <c r="D12" s="9">
        <f>B6-B9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FFC000"/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A1" s="1" t="inlineStr">
        <is>
          <t>INPUT: Per-Town Equity &amp; Cost-Sharing Data</t>
        </is>
      </c>
    </row>
    <row r="3">
      <c r="A3" s="57" t="inlineStr">
        <is>
          <t>Data for analyzing fairness of RSU 5 cost allocation across Pownal, Durham, and Freeport.</t>
        </is>
      </c>
    </row>
    <row r="4">
      <c r="A4" s="57" t="inlineStr">
        <is>
          <t>Combines enrollment attribution, assessment history, EPS allocation, and cost-sharing formula.</t>
        </is>
      </c>
    </row>
    <row r="5">
      <c r="A5" s="57" t="inlineStr">
        <is>
          <t>NOTE: FMS and FHS serve multiple towns; per-town estimates use cohort-based attribution.</t>
        </is>
      </c>
    </row>
    <row r="6">
      <c r="A6" s="57" t="inlineStr">
        <is>
          <t>Sources cited per item. See Sources sheet for full citations.</t>
        </is>
      </c>
    </row>
    <row r="8">
      <c r="A8" s="3" t="inlineStr">
        <is>
          <t>1. ENROLLMENT BY TOWN (FY27 Projected) [Fn 1]</t>
        </is>
      </c>
    </row>
    <row r="9">
      <c r="A9" s="57" t="inlineStr">
        <is>
          <t>SOURCE: FY27 Budget Handbook enrollment table [Fn 1], PES grade data [Fn 1].</t>
        </is>
      </c>
    </row>
    <row r="10">
      <c r="A10" s="57" t="inlineStr">
        <is>
          <t>PES and DCS are single-town schools. MSS and MLS serve Freeport only.</t>
        </is>
      </c>
    </row>
    <row r="11">
      <c r="A11" s="57" t="inlineStr">
        <is>
          <t>FMS (6-8) serves Freeport + Pownal. FHS (9-12) serves all three towns.</t>
        </is>
      </c>
    </row>
    <row r="12">
      <c r="A12" s="57" t="inlineStr">
        <is>
          <t>Secondary attribution is ESTIMATED from cohort sizes at each town's elementary school.</t>
        </is>
      </c>
    </row>
    <row r="13">
      <c r="A13" s="4" t="inlineStr">
        <is>
          <t>School / Segment</t>
        </is>
      </c>
      <c r="B13" s="4" t="inlineStr">
        <is>
          <t>Pownal</t>
        </is>
      </c>
      <c r="C13" s="4" t="inlineStr">
        <is>
          <t>Durham</t>
        </is>
      </c>
      <c r="D13" s="4" t="inlineStr">
        <is>
          <t>Freeport</t>
        </is>
      </c>
      <c r="E13" s="4" t="inlineStr">
        <is>
          <t>Total</t>
        </is>
      </c>
      <c r="F13" s="4" t="inlineStr">
        <is>
          <t>Basis</t>
        </is>
      </c>
    </row>
    <row r="14">
      <c r="A14" s="29" t="inlineStr">
        <is>
          <t>PES (PreK-5)</t>
        </is>
      </c>
      <c r="B14" s="49" t="n">
        <v>105</v>
      </c>
      <c r="C14" s="49" t="n">
        <v>0</v>
      </c>
      <c r="D14" s="49" t="n">
        <v>0</v>
      </c>
      <c r="E14" s="49" t="n">
        <v>105</v>
      </c>
      <c r="F14" s="30" t="inlineStr">
        <is>
          <t>PES enrollment, 100% Pownal [Fn 1]</t>
        </is>
      </c>
    </row>
    <row r="15">
      <c r="A15" s="29" t="inlineStr">
        <is>
          <t>DCS (PreK-8)</t>
        </is>
      </c>
      <c r="B15" s="49" t="n">
        <v>0</v>
      </c>
      <c r="C15" s="49" t="n">
        <v>467</v>
      </c>
      <c r="D15" s="49" t="n">
        <v>0</v>
      </c>
      <c r="E15" s="49" t="n">
        <v>467</v>
      </c>
      <c r="F15" s="30" t="inlineStr">
        <is>
          <t>DCS enrollment, 100% Durham [Fn 1]</t>
        </is>
      </c>
    </row>
    <row r="16">
      <c r="A16" s="29" t="inlineStr">
        <is>
          <t>MSS (PreK-2)</t>
        </is>
      </c>
      <c r="B16" s="49" t="n">
        <v>0</v>
      </c>
      <c r="C16" s="49" t="n">
        <v>0</v>
      </c>
      <c r="D16" s="49" t="n">
        <v>274</v>
      </c>
      <c r="E16" s="49" t="n">
        <v>274</v>
      </c>
      <c r="F16" s="30" t="inlineStr">
        <is>
          <t>MSS enrollment, 100% Freeport [Fn 1]</t>
        </is>
      </c>
    </row>
    <row r="17">
      <c r="A17" s="29" t="inlineStr">
        <is>
          <t>MLS (3-5)</t>
        </is>
      </c>
      <c r="B17" s="49" t="n">
        <v>0</v>
      </c>
      <c r="C17" s="49" t="n">
        <v>0</v>
      </c>
      <c r="D17" s="49" t="n">
        <v>264</v>
      </c>
      <c r="E17" s="49" t="n">
        <v>264</v>
      </c>
      <c r="F17" s="30" t="inlineStr">
        <is>
          <t>MLS enrollment, 100% Freeport [Fn 1]</t>
        </is>
      </c>
    </row>
    <row r="18">
      <c r="A18" s="29" t="inlineStr">
        <is>
          <t>FMS (6-8) - Pownal residents</t>
        </is>
      </c>
      <c r="B18" s="49" t="n">
        <v>45</v>
      </c>
      <c r="C18" s="49" t="n">
        <v>0</v>
      </c>
      <c r="D18" s="49" t="n">
        <v>0</v>
      </c>
      <c r="E18" s="49" t="n">
        <v>45</v>
      </c>
      <c r="F18" s="30" t="inlineStr">
        <is>
          <t>Est: PES avg 15/grade × 3 grades [Fn 1]</t>
        </is>
      </c>
    </row>
    <row r="19">
      <c r="A19" s="29" t="inlineStr">
        <is>
          <t>FMS (6-8) - Freeport residents</t>
        </is>
      </c>
      <c r="B19" s="49" t="n">
        <v>0</v>
      </c>
      <c r="C19" s="49" t="n">
        <v>0</v>
      </c>
      <c r="D19" s="49" t="n">
        <v>261</v>
      </c>
      <c r="E19" s="49" t="n">
        <v>261</v>
      </c>
      <c r="F19" s="30" t="inlineStr">
        <is>
          <t>306 total FMS minus 45 Pownal est.</t>
        </is>
      </c>
    </row>
    <row r="20">
      <c r="A20" s="29" t="inlineStr">
        <is>
          <t>FHS (9-12) - Pownal residents</t>
        </is>
      </c>
      <c r="B20" s="49" t="n">
        <v>55</v>
      </c>
      <c r="C20" s="49" t="n">
        <v>0</v>
      </c>
      <c r="D20" s="49" t="n">
        <v>0</v>
      </c>
      <c r="E20" s="49" t="n">
        <v>55</v>
      </c>
      <c r="F20" s="30" t="inlineStr">
        <is>
          <t>Est: PES avg cohort × 4 grades [Fn 1]</t>
        </is>
      </c>
    </row>
    <row r="21">
      <c r="A21" s="29" t="inlineStr">
        <is>
          <t>FHS (9-12) - Durham residents</t>
        </is>
      </c>
      <c r="B21" s="49" t="n">
        <v>0</v>
      </c>
      <c r="C21" s="49" t="n">
        <v>225</v>
      </c>
      <c r="D21" s="49" t="n">
        <v>0</v>
      </c>
      <c r="E21" s="49" t="n">
        <v>225</v>
      </c>
      <c r="F21" s="30" t="inlineStr">
        <is>
          <t>Est: DCS avg ~56/grade × 4 grades [Fn 1]</t>
        </is>
      </c>
    </row>
    <row r="22">
      <c r="A22" s="29" t="inlineStr">
        <is>
          <t>FHS (9-12) - Freeport residents</t>
        </is>
      </c>
      <c r="B22" s="49" t="n">
        <v>0</v>
      </c>
      <c r="C22" s="49" t="n">
        <v>0</v>
      </c>
      <c r="D22" s="49" t="n">
        <v>274</v>
      </c>
      <c r="E22" s="49" t="n">
        <v>274</v>
      </c>
      <c r="F22" s="30" t="inlineStr">
        <is>
          <t>554 total FHS minus 55 POW minus 225 DUR</t>
        </is>
      </c>
    </row>
    <row r="24">
      <c r="A24" s="8" t="inlineStr">
        <is>
          <t>TOTAL STUDENTS - Pownal</t>
        </is>
      </c>
      <c r="B24" s="58">
        <f>SUM(B14:B22)</f>
        <v/>
      </c>
    </row>
    <row r="25">
      <c r="A25" s="8" t="inlineStr">
        <is>
          <t>TOTAL STUDENTS - Durham</t>
        </is>
      </c>
      <c r="C25" s="58">
        <f>SUM(C14:C22)</f>
        <v/>
      </c>
    </row>
    <row r="26">
      <c r="A26" s="8" t="inlineStr">
        <is>
          <t>TOTAL STUDENTS - Freeport</t>
        </is>
      </c>
      <c r="D26" s="58">
        <f>SUM(D14:D22)</f>
        <v/>
      </c>
    </row>
    <row r="27">
      <c r="A27" s="8" t="inlineStr">
        <is>
          <t>TOTAL STUDENTS - All Towns</t>
        </is>
      </c>
      <c r="E27" s="58">
        <f>SUM(E14:E22)</f>
        <v/>
      </c>
    </row>
    <row r="29">
      <c r="A29" s="3" t="inlineStr">
        <is>
          <t>2. FY27 PROPOSED ASSESSMENT BY TOWN [Fn 3]</t>
        </is>
      </c>
    </row>
    <row r="30">
      <c r="A30" s="57" t="inlineStr">
        <is>
          <t>SOURCE: FY27 Budget Handbook, pp.9-10, Budget Impact Summary (02/11/2026) [Fn 3]</t>
        </is>
      </c>
    </row>
    <row r="31">
      <c r="A31" s="57" t="inlineStr">
        <is>
          <t>RLC = Required Local Contribution (set by Maine DOE via EPS formula).</t>
        </is>
      </c>
    </row>
    <row r="32">
      <c r="A32" s="57" t="inlineStr">
        <is>
          <t>ALM = Additional Local Monies (allocated by RSU 5 cost-sharing formula).</t>
        </is>
      </c>
    </row>
    <row r="33">
      <c r="A33" s="57" t="inlineStr">
        <is>
          <t>State Aid = EPS state subsidy (flows directly to RSU, not through town).</t>
        </is>
      </c>
    </row>
    <row r="34">
      <c r="A34" s="4" t="inlineStr">
        <is>
          <t>Component</t>
        </is>
      </c>
      <c r="B34" s="4" t="inlineStr">
        <is>
          <t>Pownal</t>
        </is>
      </c>
      <c r="C34" s="4" t="inlineStr">
        <is>
          <t>Durham</t>
        </is>
      </c>
      <c r="D34" s="4" t="inlineStr">
        <is>
          <t>Freeport</t>
        </is>
      </c>
      <c r="E34" s="4" t="inlineStr">
        <is>
          <t>Total</t>
        </is>
      </c>
    </row>
    <row r="35">
      <c r="A35" s="29" t="inlineStr">
        <is>
          <t>Required Local Contribution (RLC)</t>
        </is>
      </c>
      <c r="B35" s="48" t="n">
        <v>2257247</v>
      </c>
      <c r="C35" s="48" t="n">
        <v>3910950</v>
      </c>
      <c r="D35" s="48" t="n">
        <v>14173184</v>
      </c>
      <c r="E35" s="59">
        <f>B35+C35+D35</f>
        <v/>
      </c>
    </row>
    <row r="36">
      <c r="A36" s="29" t="inlineStr">
        <is>
          <t>Additional Local Monies (ALM)</t>
        </is>
      </c>
      <c r="B36" s="48" t="n">
        <v>2190978</v>
      </c>
      <c r="C36" s="48" t="n">
        <v>3724663</v>
      </c>
      <c r="D36" s="48" t="n">
        <v>11473075</v>
      </c>
      <c r="E36" s="59">
        <f>B36+C36+D36</f>
        <v/>
      </c>
    </row>
    <row r="37">
      <c r="A37" s="29" t="inlineStr">
        <is>
          <t>State Aid</t>
        </is>
      </c>
      <c r="B37" s="48" t="n">
        <v>567180</v>
      </c>
      <c r="C37" s="48" t="n">
        <v>5991564</v>
      </c>
      <c r="D37" s="48" t="n">
        <v>1463889</v>
      </c>
      <c r="E37" s="59">
        <f>B37+C37+D37</f>
        <v/>
      </c>
    </row>
    <row r="39">
      <c r="A39" s="8" t="inlineStr">
        <is>
          <t>LOCAL TAX ASSESSMENT (RLC + ALM)</t>
        </is>
      </c>
      <c r="B39" s="9">
        <f>B35+B36</f>
        <v/>
      </c>
      <c r="C39" s="9">
        <f>C35+C36</f>
        <v/>
      </c>
      <c r="D39" s="9">
        <f>D35+D36</f>
        <v/>
      </c>
      <c r="E39" s="9">
        <f>E35+E36</f>
        <v/>
      </c>
    </row>
    <row r="40">
      <c r="A40" s="8" t="inlineStr">
        <is>
          <t>TOTAL FUNDING (Local + State Aid)</t>
        </is>
      </c>
      <c r="B40" s="9">
        <f>B39+B37</f>
        <v/>
      </c>
      <c r="C40" s="9">
        <f>C39+C37</f>
        <v/>
      </c>
      <c r="D40" s="9">
        <f>D39+D37</f>
        <v/>
      </c>
      <c r="E40" s="9">
        <f>E39+E37</f>
        <v/>
      </c>
    </row>
    <row r="42">
      <c r="A42" s="3" t="inlineStr">
        <is>
          <t>3. EPS ALLOCATION BY TOWN (FY25-26) [Fn 8]</t>
        </is>
      </c>
    </row>
    <row r="43">
      <c r="A43" s="57" t="inlineStr">
        <is>
          <t>SOURCE: Maine DOE Warrant Article F, FY25-26 Education Subsidy (09/09/2025) [Fn 8]</t>
        </is>
      </c>
    </row>
    <row r="44">
      <c r="A44" s="57" t="inlineStr">
        <is>
          <t>EPS allocation = the state's calculated cost of educating each town's students.</t>
        </is>
      </c>
    </row>
    <row r="45">
      <c r="A45" s="57" t="inlineStr">
        <is>
          <t>Local contribution = minimum local share required to receive state subsidy.</t>
        </is>
      </c>
    </row>
    <row r="46">
      <c r="A46" s="57" t="inlineStr">
        <is>
          <t>State share = EPS allocation minus local contribution.</t>
        </is>
      </c>
    </row>
    <row r="47">
      <c r="A47" s="4" t="inlineStr"/>
      <c r="B47" s="4" t="inlineStr">
        <is>
          <t>Pownal</t>
        </is>
      </c>
      <c r="C47" s="4" t="inlineStr">
        <is>
          <t>Durham</t>
        </is>
      </c>
      <c r="D47" s="4" t="inlineStr">
        <is>
          <t>Freeport</t>
        </is>
      </c>
      <c r="E47" s="4" t="inlineStr">
        <is>
          <t>RSU Total</t>
        </is>
      </c>
    </row>
    <row r="48">
      <c r="A48" s="29" t="inlineStr">
        <is>
          <t>EPS Total Allocation</t>
        </is>
      </c>
      <c r="B48" s="48" t="n">
        <v>2682829</v>
      </c>
      <c r="C48" s="48" t="n">
        <v>9123077</v>
      </c>
      <c r="D48" s="48" t="n">
        <v>15033673</v>
      </c>
      <c r="E48" s="59">
        <f>B48+C48+D48</f>
        <v/>
      </c>
    </row>
    <row r="49">
      <c r="A49" s="29" t="inlineStr">
        <is>
          <t>EPS Local Contribution</t>
        </is>
      </c>
      <c r="B49" s="48" t="n">
        <v>2179327</v>
      </c>
      <c r="C49" s="48" t="n">
        <v>3655120</v>
      </c>
      <c r="D49" s="48" t="n">
        <v>13799841</v>
      </c>
      <c r="E49" s="59">
        <f>B49+C49+D49</f>
        <v/>
      </c>
    </row>
    <row r="50">
      <c r="A50" s="29" t="inlineStr">
        <is>
          <t>EPS State Share</t>
        </is>
      </c>
      <c r="B50" s="48" t="n">
        <v>503502</v>
      </c>
      <c r="C50" s="48" t="n">
        <v>5467957</v>
      </c>
      <c r="D50" s="48" t="n">
        <v>1233833</v>
      </c>
      <c r="E50" s="59">
        <f>B50+C50+D50</f>
        <v/>
      </c>
    </row>
    <row r="51">
      <c r="A51" s="29" t="inlineStr">
        <is>
          <t>State Share %</t>
        </is>
      </c>
      <c r="B51" s="60">
        <f>B50/B48</f>
        <v/>
      </c>
      <c r="C51" s="60">
        <f>C50/C48</f>
        <v/>
      </c>
      <c r="D51" s="60">
        <f>D50/D48</f>
        <v/>
      </c>
      <c r="E51" s="60">
        <f>E50/E48</f>
        <v/>
      </c>
    </row>
    <row r="53">
      <c r="A53" s="2" t="inlineStr">
        <is>
          <t>Durham receives 59.9% state share vs. Freeport 8.2% and Pownal 18.8%.</t>
        </is>
      </c>
    </row>
    <row r="54">
      <c r="A54" s="2" t="inlineStr">
        <is>
          <t>This is because Durham's property values are LOW relative to its student count,</t>
        </is>
      </c>
    </row>
    <row r="55">
      <c r="A55" s="2" t="inlineStr">
        <is>
          <t>so the state subsidizes more. Freeport is 'property-rich' so gets minimal state aid.</t>
        </is>
      </c>
    </row>
    <row r="57">
      <c r="A57" s="3" t="inlineStr">
        <is>
          <t>4. STATE VALUATIONS (FY27 Budget Handbook) [Fn 3]</t>
        </is>
      </c>
    </row>
    <row r="58">
      <c r="A58" s="4" t="inlineStr"/>
      <c r="B58" s="4" t="inlineStr">
        <is>
          <t>Pownal</t>
        </is>
      </c>
      <c r="C58" s="4" t="inlineStr">
        <is>
          <t>Durham</t>
        </is>
      </c>
      <c r="D58" s="4" t="inlineStr">
        <is>
          <t>Freeport</t>
        </is>
      </c>
      <c r="E58" s="4" t="inlineStr">
        <is>
          <t>Total</t>
        </is>
      </c>
    </row>
    <row r="59">
      <c r="A59" s="29" t="inlineStr">
        <is>
          <t>State Valuation</t>
        </is>
      </c>
      <c r="B59" s="48" t="n">
        <v>399866667</v>
      </c>
      <c r="C59" s="48" t="n">
        <v>692816667</v>
      </c>
      <c r="D59" s="48" t="n">
        <v>2510750000</v>
      </c>
      <c r="E59" s="59">
        <f>B59+C59+D59</f>
        <v/>
      </c>
    </row>
    <row r="60">
      <c r="A60" s="29" t="inlineStr">
        <is>
          <t>% of Total State Valuation</t>
        </is>
      </c>
      <c r="B60" s="60">
        <f>B59/E59</f>
        <v/>
      </c>
      <c r="C60" s="60">
        <f>C59/E59</f>
        <v/>
      </c>
      <c r="D60" s="60">
        <f>D59/E59</f>
        <v/>
      </c>
    </row>
    <row r="62">
      <c r="A62" s="3" t="inlineStr">
        <is>
          <t>5. RSU 5 COST-SHARING FORMULA [Fn 41][Fn 42]</t>
        </is>
      </c>
    </row>
    <row r="63">
      <c r="A63" s="57" t="inlineStr">
        <is>
          <t>SOURCE: Portland Press Herald, 10/29/2019: 'RSU 5 looks at new cost-sharing formula.' [Fn 41]</t>
        </is>
      </c>
    </row>
    <row r="64">
      <c r="A64" s="57" t="inlineStr">
        <is>
          <t>RSU 5 Finance Committee proposed: ALM = 85% state valuation + 15% enrollment. [Fn 41]</t>
        </is>
      </c>
    </row>
    <row r="65">
      <c r="A65" s="57" t="inlineStr">
        <is>
          <t>Under Title 20-A §1481-A(3), RSU reorganization plans may specify alternate formulas. [Fn 42]</t>
        </is>
      </c>
    </row>
    <row r="66">
      <c r="A66" s="57" t="inlineStr">
        <is>
          <t>RLC is always allocated by state valuation per the EPS formula (Maine DOE). [Fn 8]</t>
        </is>
      </c>
    </row>
    <row r="67">
      <c r="A67" s="57" t="inlineStr">
        <is>
          <t>NOTE: The 85/15 formula was proposed in 2019. Actual adopted formula should be confirmed.</t>
        </is>
      </c>
    </row>
    <row r="68">
      <c r="A68" s="4" t="inlineStr"/>
      <c r="B68" s="4" t="inlineStr">
        <is>
          <t>Pownal</t>
        </is>
      </c>
      <c r="C68" s="4" t="inlineStr">
        <is>
          <t>Durham</t>
        </is>
      </c>
      <c r="D68" s="4" t="inlineStr">
        <is>
          <t>Freeport</t>
        </is>
      </c>
    </row>
    <row r="69">
      <c r="A69" s="29" t="inlineStr">
        <is>
          <t>Enrollment share (students/total)</t>
        </is>
      </c>
      <c r="B69" s="60">
        <f>B24/E27</f>
        <v/>
      </c>
      <c r="C69" s="60">
        <f>C25/E27</f>
        <v/>
      </c>
      <c r="D69" s="60">
        <f>D26/E27</f>
        <v/>
      </c>
    </row>
    <row r="70">
      <c r="A70" s="29" t="inlineStr">
        <is>
          <t>State valuation share</t>
        </is>
      </c>
      <c r="B70" s="60">
        <f>B59/E59</f>
        <v/>
      </c>
      <c r="C70" s="60">
        <f>C59/E59</f>
        <v/>
      </c>
      <c r="D70" s="60">
        <f>D59/E59</f>
        <v/>
      </c>
    </row>
    <row r="71">
      <c r="A71" s="8" t="inlineStr">
        <is>
          <t>Weighted share (85% val + 15% enroll)</t>
        </is>
      </c>
      <c r="B71" s="13">
        <f>0.85*B70+0.15*B69</f>
        <v/>
      </c>
      <c r="C71" s="13">
        <f>0.85*C70+0.15*C69</f>
        <v/>
      </c>
      <c r="D71" s="13">
        <f>0.85*D70+0.15*D69</f>
        <v/>
      </c>
    </row>
    <row r="72">
      <c r="A72" s="29" t="inlineStr">
        <is>
          <t>ACTUAL ALM share (from budget data)</t>
        </is>
      </c>
      <c r="B72" s="60">
        <f>B36/(B36+C36+D36)</f>
        <v/>
      </c>
      <c r="C72" s="60">
        <f>C36/(B36+C36+D36)</f>
        <v/>
      </c>
      <c r="D72" s="60">
        <f>D36/(B36+C36+D36)</f>
        <v/>
      </c>
    </row>
    <row r="74">
      <c r="A74" s="2" t="inlineStr">
        <is>
          <t>If weighted share ≈ actual ALM share, the 85/15 formula is confirmed.</t>
        </is>
      </c>
    </row>
    <row r="75">
      <c r="A75" s="2" t="inlineStr">
        <is>
          <t>Any discrepancy may indicate a different formula or adjustment factor.</t>
        </is>
      </c>
    </row>
    <row r="77">
      <c r="A77" s="3" t="inlineStr">
        <is>
          <t>6. HISTORICAL POWNAL EDUCATION ASSESSMENT [Fn 9][Fn 4][Fn 43]</t>
        </is>
      </c>
    </row>
    <row r="78">
      <c r="A78" s="57" t="inlineStr">
        <is>
          <t>SOURCE: Pownal 2025 Annual Report, FY24 audit (year ending June 30, 2024) [Fn 43].</t>
        </is>
      </c>
    </row>
    <row r="79">
      <c r="A79" s="57" t="inlineStr">
        <is>
          <t>FY26 corroborated: (1) 58.4% RSU × $6.0M levy [Fn 4][Fn 12], (2) consistent with</t>
        </is>
      </c>
    </row>
    <row r="80">
      <c r="A80" s="57" t="inlineStr">
        <is>
          <t xml:space="preserve">  RSU Q&amp;A total FY26 taxation of $35,600,800 at ~9.85% Pownal share [Fn 44],</t>
        </is>
      </c>
    </row>
    <row r="81">
      <c r="A81" s="57" t="inlineStr">
        <is>
          <t xml:space="preserve">  (3) FY26 handbook pp.8-9 contains per-town data (PDF image, not text-extractable).</t>
        </is>
      </c>
    </row>
    <row r="82">
      <c r="A82" s="57" t="inlineStr">
        <is>
          <t>FY27 from Budget Handbook pp.9-10 [Fn 3]. Direct figure from RSU 5 documents.</t>
        </is>
      </c>
    </row>
    <row r="83">
      <c r="A83" s="4" t="inlineStr">
        <is>
          <t>Fiscal Year</t>
        </is>
      </c>
      <c r="B83" s="4" t="inlineStr">
        <is>
          <t>Pownal Assessment</t>
        </is>
      </c>
      <c r="C83" s="4" t="inlineStr">
        <is>
          <t>RSU Budget</t>
        </is>
      </c>
      <c r="D83" s="4" t="inlineStr">
        <is>
          <t>Pownal % of Budget</t>
        </is>
      </c>
      <c r="E83" s="4" t="inlineStr">
        <is>
          <t>Source</t>
        </is>
      </c>
    </row>
    <row r="84">
      <c r="A84" s="29" t="inlineStr">
        <is>
          <t>FY24 (2023-2024)</t>
        </is>
      </c>
      <c r="B84" s="48" t="n">
        <v>3427607</v>
      </c>
      <c r="C84" s="48" t="n">
        <v>39080569</v>
      </c>
      <c r="D84" s="60">
        <f>B84/C84</f>
        <v/>
      </c>
      <c r="E84" s="30" t="inlineStr">
        <is>
          <t>Audited [Fn 43]</t>
        </is>
      </c>
    </row>
    <row r="85">
      <c r="A85" s="29" t="inlineStr">
        <is>
          <t>FY25 (2024-2025)</t>
        </is>
      </c>
      <c r="C85" s="48" t="n">
        <v>41612460</v>
      </c>
      <c r="E85" s="30" t="inlineStr">
        <is>
          <t>Budget only [Fn 9]</t>
        </is>
      </c>
    </row>
    <row r="86">
      <c r="A86" s="29" t="inlineStr">
        <is>
          <t>FY26 (2025-2026)</t>
        </is>
      </c>
      <c r="B86" s="48" t="n">
        <v>3506157</v>
      </c>
      <c r="C86" s="48" t="n">
        <v>44455929</v>
      </c>
      <c r="D86" s="60">
        <f>B86/C86</f>
        <v/>
      </c>
      <c r="E86" s="30" t="inlineStr">
        <is>
          <t>Corroborated [Fn 4][Fn 12][Fn 44]</t>
        </is>
      </c>
    </row>
    <row r="87">
      <c r="A87" s="29" t="inlineStr">
        <is>
          <t>FY27 (2026-2027)</t>
        </is>
      </c>
      <c r="B87" s="48" t="n">
        <v>4448225</v>
      </c>
      <c r="C87" s="48" t="n">
        <v>47357441</v>
      </c>
      <c r="D87" s="60">
        <f>B87/C87</f>
        <v/>
      </c>
      <c r="E87" s="30" t="inlineStr">
        <is>
          <t>Budget Handbook [Fn 3]</t>
        </is>
      </c>
    </row>
    <row r="89">
      <c r="A89" s="29" t="inlineStr">
        <is>
          <t>FY26 Total RSU Taxation (all towns)</t>
        </is>
      </c>
      <c r="B89" s="48" t="n">
        <v>35600800</v>
      </c>
      <c r="E89" s="30" t="inlineStr">
        <is>
          <t>Q&amp;A Budget Doc [Fn 44]</t>
        </is>
      </c>
    </row>
    <row r="90">
      <c r="A90" s="29" t="inlineStr">
        <is>
          <t>Pownal % of FY26 total taxation</t>
        </is>
      </c>
      <c r="B90" s="60">
        <f>B86/B89</f>
        <v/>
      </c>
      <c r="E90" s="30" t="inlineStr">
        <is>
          <t>Crosscheck: $3.51M / $35.6M = 9.85%</t>
        </is>
      </c>
    </row>
    <row r="91">
      <c r="A91" s="8" t="inlineStr">
        <is>
          <t>3-YEAR INCREASE (FY24→FY27)</t>
        </is>
      </c>
      <c r="B91" s="9">
        <f>B87-B84</f>
        <v/>
      </c>
      <c r="D91" s="13">
        <f>B91/B84</f>
        <v/>
      </c>
      <c r="E91" s="30" t="inlineStr">
        <is>
          <t>Pownal assessment grew 29.8% over 3 years</t>
        </is>
      </c>
    </row>
    <row r="92">
      <c r="A92" s="8" t="inlineStr">
        <is>
          <t>1-YEAR INCREASE (FY26→FY27)</t>
        </is>
      </c>
      <c r="B92" s="9">
        <f>B87-B86</f>
        <v/>
      </c>
      <c r="D92" s="13">
        <f>B92/B86</f>
        <v/>
      </c>
      <c r="E92" s="30" t="inlineStr">
        <is>
          <t>FY26 corroborated via 3 methods [Fn 4][Fn 12][Fn 44]</t>
        </is>
      </c>
    </row>
    <row r="93">
      <c r="A93" s="2" t="inlineStr">
        <is>
          <t>FY26→FY27 jump driven by Pownal's revaluation feeding into the 85/15 ALM formula.</t>
        </is>
      </c>
    </row>
    <row r="94">
      <c r="A94" s="2" t="inlineStr">
        <is>
          <t>Pownal's assessed values rose ~20% via revaluation; state valuation followed,</t>
        </is>
      </c>
    </row>
    <row r="95">
      <c r="A95" s="2" t="inlineStr">
        <is>
          <t>shifting more ALM to Pownal under the valuation-weighted cost-sharing formula.</t>
        </is>
      </c>
    </row>
    <row r="97">
      <c r="A97" s="3" t="inlineStr">
        <is>
          <t>7. PROPERTY TAX CONTEXT [Fn 4][Fn 5][Fn 7]</t>
        </is>
      </c>
    </row>
    <row r="98">
      <c r="A98" s="4" t="inlineStr"/>
      <c r="B98" s="4" t="inlineStr">
        <is>
          <t>Pownal</t>
        </is>
      </c>
      <c r="C98" s="4" t="inlineStr">
        <is>
          <t>Durham</t>
        </is>
      </c>
      <c r="D98" s="4" t="inlineStr">
        <is>
          <t>Freeport</t>
        </is>
      </c>
    </row>
    <row r="99">
      <c r="A99" s="29" t="inlineStr">
        <is>
          <t>Total mil rate (FY26)</t>
        </is>
      </c>
      <c r="B99" s="61" t="n">
        <v>15.3</v>
      </c>
      <c r="C99" s="61" t="n">
        <v>33.58</v>
      </c>
      <c r="D99" s="61" t="n">
        <v>13.85</v>
      </c>
    </row>
    <row r="100">
      <c r="A100" s="29" t="inlineStr">
        <is>
          <t>Assessment ratio</t>
        </is>
      </c>
      <c r="B100" s="37" t="n">
        <v>1</v>
      </c>
      <c r="C100" s="37" t="n">
        <v>0.53</v>
      </c>
      <c r="D100" s="37" t="n">
        <v>1</v>
      </c>
    </row>
    <row r="101">
      <c r="A101" s="29" t="inlineStr">
        <is>
          <t>Taxable valuation</t>
        </is>
      </c>
      <c r="B101" s="48" t="n">
        <v>392398240</v>
      </c>
      <c r="C101" s="48" t="n">
        <v>389646650</v>
      </c>
      <c r="D101" s="48" t="n">
        <v>2613679115</v>
      </c>
    </row>
    <row r="102">
      <c r="A102" s="29" t="inlineStr">
        <is>
          <t>RSU share of tax bill (FY26)</t>
        </is>
      </c>
      <c r="B102" s="37" t="n">
        <v>0.584</v>
      </c>
      <c r="C102" s="29" t="inlineStr">
        <is>
          <t>N/A</t>
        </is>
      </c>
      <c r="D102" s="37" t="n">
        <v>0.716</v>
      </c>
    </row>
    <row r="103">
      <c r="A103" s="29" t="inlineStr">
        <is>
          <t>Total tax levy</t>
        </is>
      </c>
      <c r="B103" s="59">
        <f>B99*B101/1000</f>
        <v/>
      </c>
      <c r="C103" s="59">
        <f>C99*C101/1000</f>
        <v/>
      </c>
      <c r="D103" s="59">
        <f>D99*D101/1000</f>
        <v/>
      </c>
    </row>
    <row r="104">
      <c r="A104" s="29" t="inlineStr">
        <is>
          <t>Housing units (est.)</t>
        </is>
      </c>
      <c r="B104" s="49" t="n">
        <v>636</v>
      </c>
      <c r="C104" s="49" t="n">
        <v>1650</v>
      </c>
      <c r="D104" s="49" t="n">
        <v>4100</v>
      </c>
    </row>
    <row r="106">
      <c r="A106" s="3" t="inlineStr">
        <is>
          <t>8. RLC vs. ALM: WHAT THEY ARE [Fn 8][Fn 42]</t>
        </is>
      </c>
    </row>
    <row r="107">
      <c r="A107" s="2" t="inlineStr">
        <is>
          <t>RLC (Required Local Contribution):</t>
        </is>
      </c>
    </row>
    <row r="108">
      <c r="A108" s="2" t="inlineStr">
        <is>
          <t xml:space="preserve">  - Set by Maine DOE under the EPS formula (Title 20-A §15688) [Fn 8]</t>
        </is>
      </c>
    </row>
    <row r="109">
      <c r="A109" s="2" t="inlineStr">
        <is>
          <t xml:space="preserve">  - Based on each town's STATE VALUATION and the statewide mill rate expectation</t>
        </is>
      </c>
    </row>
    <row r="110">
      <c r="A110" s="2" t="inlineStr">
        <is>
          <t xml:space="preserve">  - Represents the MINIMUM local investment required to receive state subsidies</t>
        </is>
      </c>
    </row>
    <row r="111">
      <c r="A111" s="2" t="inlineStr">
        <is>
          <t xml:space="preserve">  - The RSU has NO discretion over RLC amounts; they are state-mandated</t>
        </is>
      </c>
    </row>
    <row r="113">
      <c r="A113" s="2" t="inlineStr">
        <is>
          <t>ALM (Additional Local Monies):</t>
        </is>
      </c>
    </row>
    <row r="114">
      <c r="A114" s="2" t="inlineStr">
        <is>
          <t xml:space="preserve">  - Everything the RSU spends ABOVE the EPS-required minimum</t>
        </is>
      </c>
    </row>
    <row r="115">
      <c r="A115" s="2" t="inlineStr">
        <is>
          <t xml:space="preserve">  - Allocated by RSU 5's cost-sharing formula from the reorganization plan [Fn 42]</t>
        </is>
      </c>
    </row>
    <row r="116">
      <c r="A116" s="2" t="inlineStr">
        <is>
          <t xml:space="preserve">  - RSU 5 proposed 85% state valuation / 15% enrollment (2019 review) [Fn 41]</t>
        </is>
      </c>
    </row>
    <row r="117">
      <c r="A117" s="2" t="inlineStr">
        <is>
          <t xml:space="preserve">  - This means high-valuation towns (Freeport, Pownal) pay disproportionately MORE</t>
        </is>
      </c>
    </row>
    <row r="119">
      <c r="A119" s="2" t="inlineStr">
        <is>
          <t>What shows on property tax bills:</t>
        </is>
      </c>
    </row>
    <row r="120">
      <c r="A120" s="2" t="inlineStr">
        <is>
          <t xml:space="preserve">  - The RSU % (e.g., 58.4% for Pownal) = (RLC + ALM) / total tax levy</t>
        </is>
      </c>
    </row>
    <row r="121">
      <c r="A121" s="2" t="inlineStr">
        <is>
          <t xml:space="preserve">  - State Aid does NOT flow through the town; it goes directly to the RSU</t>
        </is>
      </c>
    </row>
    <row r="122">
      <c r="A122" s="2" t="inlineStr">
        <is>
          <t xml:space="preserve">  - The % changes annually based on RSU assessment, town budget, and county tax</t>
        </is>
      </c>
    </row>
  </sheetData>
  <mergeCells count="26">
    <mergeCell ref="A46:F46"/>
    <mergeCell ref="A66:F66"/>
    <mergeCell ref="A80:F80"/>
    <mergeCell ref="A12:F12"/>
    <mergeCell ref="A3:F3"/>
    <mergeCell ref="A33:F33"/>
    <mergeCell ref="A5:F5"/>
    <mergeCell ref="A32:F32"/>
    <mergeCell ref="A4:F4"/>
    <mergeCell ref="A43:F43"/>
    <mergeCell ref="A81:F81"/>
    <mergeCell ref="A63:F63"/>
    <mergeCell ref="A10:F10"/>
    <mergeCell ref="A44:F44"/>
    <mergeCell ref="A9:F9"/>
    <mergeCell ref="A67:F67"/>
    <mergeCell ref="A31:F31"/>
    <mergeCell ref="A30:F30"/>
    <mergeCell ref="A64:F64"/>
    <mergeCell ref="A11:F11"/>
    <mergeCell ref="A82:F82"/>
    <mergeCell ref="A45:F45"/>
    <mergeCell ref="A79:F79"/>
    <mergeCell ref="A6:F6"/>
    <mergeCell ref="A78:F78"/>
    <mergeCell ref="A65:F6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C000"/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60" customWidth="1" min="3" max="3"/>
  </cols>
  <sheetData>
    <row r="1">
      <c r="A1" s="1" t="inlineStr">
        <is>
          <t>INPUT: RSU 5 Withdrawal &amp; Independence Data</t>
        </is>
      </c>
    </row>
    <row r="3">
      <c r="A3" s="57" t="inlineStr">
        <is>
          <t>Data for modeling Pownal's options if RSU 5 proceeds with PES conversion.</t>
        </is>
      </c>
    </row>
    <row r="4">
      <c r="A4" s="57" t="inlineStr">
        <is>
          <t>Includes current RSU assessment, independent operating estimates, tuition rates,</t>
        </is>
      </c>
    </row>
    <row r="5">
      <c r="A5" s="57" t="inlineStr">
        <is>
          <t>EPS allocations, withdrawal process costs, and legal challenge estimates.</t>
        </is>
      </c>
    </row>
    <row r="6">
      <c r="A6" s="57" t="inlineStr">
        <is>
          <t>Sources cited per item. See Sources sheet for full citations.</t>
        </is>
      </c>
    </row>
    <row r="8">
      <c r="A8" s="3" t="inlineStr">
        <is>
          <t>1. POWNAL'S CURRENT RSU 5 POSITION [Fn 3][Fn 8]</t>
        </is>
      </c>
    </row>
    <row r="9">
      <c r="A9" s="4" t="inlineStr">
        <is>
          <t>Item</t>
        </is>
      </c>
      <c r="B9" s="4" t="inlineStr">
        <is>
          <t>Value</t>
        </is>
      </c>
      <c r="C9" s="4" t="inlineStr">
        <is>
          <t>Source</t>
        </is>
      </c>
    </row>
    <row r="10">
      <c r="A10" s="29" t="inlineStr">
        <is>
          <t>Pownal Required Local Contribution (RLC)</t>
        </is>
      </c>
      <c r="B10" s="48" t="n">
        <v>2257247</v>
      </c>
      <c r="C10" s="29" t="inlineStr">
        <is>
          <t>FY27 Budget Handbook [Fn 3]</t>
        </is>
      </c>
    </row>
    <row r="11">
      <c r="A11" s="29" t="inlineStr">
        <is>
          <t>Pownal Additional Local Monies (ALM)</t>
        </is>
      </c>
      <c r="B11" s="48" t="n">
        <v>2190978</v>
      </c>
      <c r="C11" s="29" t="inlineStr">
        <is>
          <t>FY27 Budget Handbook [Fn 3]</t>
        </is>
      </c>
    </row>
    <row r="12">
      <c r="A12" s="29" t="inlineStr">
        <is>
          <t>Pownal LOCAL Tax (RLC + ALM)</t>
        </is>
      </c>
      <c r="B12" s="59">
        <f>B10+B11</f>
        <v/>
      </c>
      <c r="C12" s="29" t="inlineStr">
        <is>
          <t>What Pownal taxpayers actually pay</t>
        </is>
      </c>
    </row>
    <row r="13">
      <c r="A13" s="29" t="inlineStr">
        <is>
          <t>Pownal State Aid</t>
        </is>
      </c>
      <c r="B13" s="48" t="n">
        <v>567180</v>
      </c>
      <c r="C13" s="29" t="inlineStr">
        <is>
          <t>FY27 Budget Handbook [Fn 3]</t>
        </is>
      </c>
    </row>
    <row r="14">
      <c r="A14" s="29" t="inlineStr">
        <is>
          <t>Pownal Total Contribution (local + state)</t>
        </is>
      </c>
      <c r="B14" s="48" t="n">
        <v>5015405</v>
      </c>
      <c r="C14" s="29" t="inlineStr">
        <is>
          <t>RLC + ALM + State Aid [Fn 3]</t>
        </is>
      </c>
    </row>
    <row r="15">
      <c r="A15" s="29" t="inlineStr">
        <is>
          <t>Pownal Share of RSU 5 Budget</t>
        </is>
      </c>
      <c r="B15" s="37" t="n">
        <v>0.106</v>
      </c>
      <c r="C15" s="29" t="inlineStr">
        <is>
          <t>~10.6% of $47.36M total [Fn 25]</t>
        </is>
      </c>
    </row>
    <row r="17">
      <c r="A17" s="3" t="inlineStr">
        <is>
          <t>2. PES CURRENT OPERATING COST [Fn 2]</t>
        </is>
      </c>
    </row>
    <row r="18">
      <c r="A18" s="57" t="inlineStr">
        <is>
          <t>PES budget detail from I-Budget sheet. These are the costs RSU 5 currently spends on PES.</t>
        </is>
      </c>
    </row>
    <row r="19">
      <c r="A19" s="4" t="inlineStr">
        <is>
          <t>Budget Article</t>
        </is>
      </c>
      <c r="B19" s="4" t="inlineStr">
        <is>
          <t>PES Amount</t>
        </is>
      </c>
      <c r="C19" s="4" t="inlineStr">
        <is>
          <t>Source</t>
        </is>
      </c>
    </row>
    <row r="20">
      <c r="A20" s="29" t="inlineStr">
        <is>
          <t>Art 1 - Regular Instruction</t>
        </is>
      </c>
      <c r="B20" s="48" t="n">
        <v>1196683</v>
      </c>
      <c r="C20" s="29" t="inlineStr">
        <is>
          <t>I-Budget [Fn 2]</t>
        </is>
      </c>
    </row>
    <row r="21">
      <c r="A21" s="29" t="inlineStr">
        <is>
          <t>Art 2 - Special Education</t>
        </is>
      </c>
      <c r="B21" s="48" t="n">
        <v>329115</v>
      </c>
      <c r="C21" s="29" t="inlineStr">
        <is>
          <t>I-Budget [Fn 2]</t>
        </is>
      </c>
    </row>
    <row r="22">
      <c r="A22" s="29" t="inlineStr">
        <is>
          <t>Art 4 - Other Instruction</t>
        </is>
      </c>
      <c r="B22" s="48" t="n">
        <v>13125</v>
      </c>
      <c r="C22" s="29" t="inlineStr">
        <is>
          <t>I-Budget [Fn 2]</t>
        </is>
      </c>
    </row>
    <row r="23">
      <c r="A23" s="29" t="inlineStr">
        <is>
          <t>Art 5 - Student &amp; Staff Support</t>
        </is>
      </c>
      <c r="B23" s="48" t="n">
        <v>219819</v>
      </c>
      <c r="C23" s="29" t="inlineStr">
        <is>
          <t>I-Budget [Fn 2]</t>
        </is>
      </c>
    </row>
    <row r="24">
      <c r="A24" s="29" t="inlineStr">
        <is>
          <t>Art 7 - School Administration</t>
        </is>
      </c>
      <c r="B24" s="48" t="n">
        <v>257979</v>
      </c>
      <c r="C24" s="29" t="inlineStr">
        <is>
          <t>I-Budget [Fn 2]</t>
        </is>
      </c>
    </row>
    <row r="25">
      <c r="A25" s="29" t="inlineStr">
        <is>
          <t>Art 9 - Facilities &amp; Maintenance</t>
        </is>
      </c>
      <c r="B25" s="48" t="n">
        <v>253384</v>
      </c>
      <c r="C25" s="29" t="inlineStr">
        <is>
          <t>I-Budget [Fn 2]</t>
        </is>
      </c>
    </row>
    <row r="26">
      <c r="A26" s="8" t="inlineStr">
        <is>
          <t>PES School-Level Subtotal</t>
        </is>
      </c>
      <c r="B26" s="9">
        <f>SUM(B20:B25)</f>
        <v/>
      </c>
    </row>
    <row r="27">
      <c r="A27" s="29" t="inlineStr">
        <is>
          <t>PES Enrollment (FY27)</t>
        </is>
      </c>
      <c r="B27" s="49" t="n">
        <v>89</v>
      </c>
      <c r="C27" s="29" t="inlineStr">
        <is>
          <t>Budget Handbook [Fn 1]</t>
        </is>
      </c>
    </row>
    <row r="28">
      <c r="A28" s="12" t="inlineStr">
        <is>
          <t>PES Cost Per Student</t>
        </is>
      </c>
      <c r="B28" s="11">
        <f>B26/B27</f>
        <v/>
      </c>
    </row>
    <row r="30">
      <c r="A30" s="3" t="inlineStr">
        <is>
          <t>3. INDEPENDENT OPERATION: ADDITIONAL COSTS [Fn 37][Fn 35]</t>
        </is>
      </c>
    </row>
    <row r="31">
      <c r="A31" s="57" t="inlineStr">
        <is>
          <t>Costs Pownal would incur beyond PES school-level budget if operating independently.</t>
        </is>
      </c>
    </row>
    <row r="32">
      <c r="A32" s="57" t="inlineStr">
        <is>
          <t>Estimates derived from comparable Maine independent school units and state averages.</t>
        </is>
      </c>
    </row>
    <row r="33">
      <c r="A33" s="57" t="inlineStr">
        <is>
          <t>SOURCE: Maine Monitor withdrawal explainer [Fn 37]; DOE tuition rates [Fn 36].</t>
        </is>
      </c>
    </row>
    <row r="34">
      <c r="A34" s="4" t="inlineStr">
        <is>
          <t>Cost Category</t>
        </is>
      </c>
      <c r="B34" s="4" t="inlineStr">
        <is>
          <t>Annual Estimate</t>
        </is>
      </c>
      <c r="C34" s="4" t="inlineStr">
        <is>
          <t>Basis / Source</t>
        </is>
      </c>
    </row>
    <row r="35">
      <c r="A35" s="29" t="inlineStr">
        <is>
          <t>Superintendent (shared or part-time)</t>
        </is>
      </c>
      <c r="B35" s="48" t="n">
        <v>95000</v>
      </c>
      <c r="C35" s="29" t="inlineStr">
        <is>
          <t>50% of ~$190K salary+benefits; comparable AOS arrangements [Fn 37]</t>
        </is>
      </c>
    </row>
    <row r="36">
      <c r="A36" s="29" t="inlineStr">
        <is>
          <t>Business Manager / Finance</t>
        </is>
      </c>
      <c r="B36" s="48" t="n">
        <v>75000</v>
      </c>
      <c r="C36" s="29" t="inlineStr">
        <is>
          <t>Part-time or shared; required for SAU reporting</t>
        </is>
      </c>
    </row>
    <row r="37">
      <c r="A37" s="29" t="inlineStr">
        <is>
          <t>SpEd Director (shared or contracted)</t>
        </is>
      </c>
      <c r="B37" s="48" t="n">
        <v>65000</v>
      </c>
      <c r="C37" s="29" t="inlineStr">
        <is>
          <t>50% of ~$130K; can share via AOS or contract with neighboring SAU</t>
        </is>
      </c>
    </row>
    <row r="38">
      <c r="A38" s="29" t="inlineStr">
        <is>
          <t>Central office support (HR, payroll, records)</t>
        </is>
      </c>
      <c r="B38" s="48" t="n">
        <v>55000</v>
      </c>
      <c r="C38" s="29" t="inlineStr">
        <is>
          <t>1 FTE clerical + systems; comparable small-town SAUs</t>
        </is>
      </c>
    </row>
    <row r="39">
      <c r="A39" s="29" t="inlineStr">
        <is>
          <t>Transportation (K-5 PES routes)</t>
        </is>
      </c>
      <c r="B39" s="48" t="n">
        <v>225000</v>
      </c>
      <c r="C39" s="29" t="inlineStr">
        <is>
          <t>3 routes at $75K/route; current RSU 5 Pownal allocation est.</t>
        </is>
      </c>
    </row>
    <row r="40">
      <c r="A40" s="29" t="inlineStr">
        <is>
          <t>Transportation (6-12 secondary routes)</t>
        </is>
      </c>
      <c r="B40" s="48" t="n">
        <v>100000</v>
      </c>
      <c r="C40" s="29" t="inlineStr">
        <is>
          <t>Est. 1-2 routes Pownal-&gt;Freeport, ~12mi each way, $50-75K/route</t>
        </is>
      </c>
    </row>
    <row r="41">
      <c r="A41" s="5" t="inlineStr">
        <is>
          <t>Secondary tuition (6-12)</t>
        </is>
      </c>
      <c r="B41" s="6">
        <f>B76*B64</f>
        <v/>
      </c>
      <c r="C41" s="29">
        <f> total secondary students x state avg rate [Fn 36]</f>
        <v/>
      </c>
    </row>
    <row r="42">
      <c r="A42" s="29" t="inlineStr">
        <is>
          <t>Facilities/maintenance supplement</t>
        </is>
      </c>
      <c r="B42" s="48" t="n">
        <v>50000</v>
      </c>
      <c r="C42" s="29" t="inlineStr">
        <is>
          <t>Beyond Art 9 in PES budget; insurance, grounds, capital reserve</t>
        </is>
      </c>
    </row>
    <row r="43">
      <c r="A43" s="29" t="inlineStr">
        <is>
          <t>Curriculum, technology, assessment</t>
        </is>
      </c>
      <c r="B43" s="48" t="n">
        <v>40000</v>
      </c>
      <c r="C43" s="29" t="inlineStr">
        <is>
          <t>Standardized testing, materials, IT support</t>
        </is>
      </c>
    </row>
    <row r="44">
      <c r="A44" s="29" t="inlineStr">
        <is>
          <t>Board/governance costs</t>
        </is>
      </c>
      <c r="B44" s="48" t="n">
        <v>15000</v>
      </c>
      <c r="C44" s="29" t="inlineStr">
        <is>
          <t>Legal counsel retainer, meeting costs, elections</t>
        </is>
      </c>
    </row>
    <row r="45">
      <c r="A45" s="29" t="inlineStr">
        <is>
          <t>Contingency (5% of above)</t>
        </is>
      </c>
      <c r="B45" s="48">
        <f>SUM(B35:B44)*0.05</f>
        <v/>
      </c>
      <c r="C45" s="29" t="inlineStr">
        <is>
          <t>Calculated below as formula</t>
        </is>
      </c>
    </row>
    <row r="46">
      <c r="A46" s="8" t="inlineStr">
        <is>
          <t>TOTAL ADDITIONAL COSTS (independence)</t>
        </is>
      </c>
      <c r="B46" s="9">
        <f>SUM(B35:B45)</f>
        <v/>
      </c>
    </row>
    <row r="48">
      <c r="A48" s="3" t="inlineStr">
        <is>
          <t>4. AOS SHARED SERVICES SAVINGS ESTIMATE</t>
        </is>
      </c>
    </row>
    <row r="49">
      <c r="A49" s="57" t="inlineStr">
        <is>
          <t>If Pownal joins an Alternative Organizational Structure (AOS), admin costs are shared.</t>
        </is>
      </c>
    </row>
    <row r="50">
      <c r="A50" s="57" t="inlineStr">
        <is>
          <t>AOS #94 model: 6 communities share superintendent, SpEd, business office.</t>
        </is>
      </c>
    </row>
    <row r="51">
      <c r="A51" s="57" t="inlineStr">
        <is>
          <t>Bristol/South Bristol formed 2-town ESC after leaving AOS 93 (2025). [Fn 37]</t>
        </is>
      </c>
    </row>
    <row r="52">
      <c r="A52" s="4" t="inlineStr">
        <is>
          <t>Shared Service</t>
        </is>
      </c>
      <c r="B52" s="4" t="inlineStr">
        <is>
          <t>Estimated Savings</t>
        </is>
      </c>
      <c r="C52" s="4" t="inlineStr">
        <is>
          <t>Rationale</t>
        </is>
      </c>
    </row>
    <row r="53">
      <c r="A53" s="29" t="inlineStr">
        <is>
          <t>Superintendent cost reduction</t>
        </is>
      </c>
      <c r="B53" s="48" t="n">
        <v>47500</v>
      </c>
      <c r="C53" s="29" t="inlineStr">
        <is>
          <t>Share with 1-2 other towns -&gt; 50% of $95K</t>
        </is>
      </c>
    </row>
    <row r="54">
      <c r="A54" s="29" t="inlineStr">
        <is>
          <t>SpEd director cost reduction</t>
        </is>
      </c>
      <c r="B54" s="48" t="n">
        <v>32500</v>
      </c>
      <c r="C54" s="29" t="inlineStr">
        <is>
          <t>Share with partner town(s) -&gt; 50% of $65K</t>
        </is>
      </c>
    </row>
    <row r="55">
      <c r="A55" s="29" t="inlineStr">
        <is>
          <t>Business office cost reduction</t>
        </is>
      </c>
      <c r="B55" s="48" t="n">
        <v>25000</v>
      </c>
      <c r="C55" s="29" t="inlineStr">
        <is>
          <t>Share finance/HR -&gt; ~33% of $75K</t>
        </is>
      </c>
    </row>
    <row r="56">
      <c r="A56" s="29" t="inlineStr">
        <is>
          <t>Transportation coordination</t>
        </is>
      </c>
      <c r="B56" s="48" t="n">
        <v>15000</v>
      </c>
      <c r="C56" s="29" t="inlineStr">
        <is>
          <t>Shared routing/dispatch with partner</t>
        </is>
      </c>
    </row>
    <row r="57">
      <c r="A57" s="8" t="inlineStr">
        <is>
          <t>TOTAL AOS SAVINGS</t>
        </is>
      </c>
      <c r="B57" s="9">
        <f>SUM(B53:B56)</f>
        <v/>
      </c>
    </row>
    <row r="59">
      <c r="A59" s="3" t="inlineStr">
        <is>
          <t>5. MAINE SECONDARY TUITION RATES (FY25) [Fn 36]</t>
        </is>
      </c>
    </row>
    <row r="60">
      <c r="A60" s="57" t="inlineStr">
        <is>
          <t>SOURCE: Maine DOE Public School Secondary Tuition Rates (12/16/2024) [Fn 36]</t>
        </is>
      </c>
    </row>
    <row r="61">
      <c r="A61" s="57" t="inlineStr">
        <is>
          <t>URL: https://www.maine.gov/doe/funding/reports/tuition</t>
        </is>
      </c>
    </row>
    <row r="62">
      <c r="A62" s="57" t="inlineStr">
        <is>
          <t>Pownal would tuition secondary students (6-12) to Freeport or other districts.</t>
        </is>
      </c>
    </row>
    <row r="63">
      <c r="A63" s="4" t="inlineStr">
        <is>
          <t>Item</t>
        </is>
      </c>
      <c r="B63" s="4" t="inlineStr">
        <is>
          <t>Rate</t>
        </is>
      </c>
      <c r="C63" s="4" t="inlineStr">
        <is>
          <t>Source</t>
        </is>
      </c>
    </row>
    <row r="64">
      <c r="A64" s="29" t="inlineStr">
        <is>
          <t>State average secondary tuition</t>
        </is>
      </c>
      <c r="B64" s="48" t="n">
        <v>14081</v>
      </c>
      <c r="C64" s="29" t="inlineStr">
        <is>
          <t>Maine DOE FY25 [Fn 36]</t>
        </is>
      </c>
    </row>
    <row r="65">
      <c r="A65" s="29" t="inlineStr">
        <is>
          <t>Freeport/RSU 5 secondary tuition (est.)</t>
        </is>
      </c>
      <c r="B65" s="48" t="n">
        <v>14081</v>
      </c>
      <c r="C65" s="29" t="inlineStr">
        <is>
          <t>Capped at state average [Fn 36]</t>
        </is>
      </c>
    </row>
    <row r="66">
      <c r="A66" s="29" t="inlineStr">
        <is>
          <t>Elementary tuition rate (if needed)</t>
        </is>
      </c>
      <c r="B66" s="48" t="n">
        <v>10500</v>
      </c>
      <c r="C66" s="29" t="inlineStr">
        <is>
          <t>State avg elementary rate est. [Fn 36]</t>
        </is>
      </c>
    </row>
    <row r="68">
      <c r="A68" s="3" t="inlineStr">
        <is>
          <t>6. POWNAL SECONDARY STUDENTS [Fn 1]</t>
        </is>
      </c>
    </row>
    <row r="69">
      <c r="A69" s="57" t="inlineStr">
        <is>
          <t>Estimated from PES cohort size. PES has ~15 students/grade historically.</t>
        </is>
      </c>
    </row>
    <row r="70">
      <c r="A70" s="57" t="inlineStr">
        <is>
          <t>Current 6-12 students entered PES when enrollment was lower (~89-97).</t>
        </is>
      </c>
    </row>
    <row r="71">
      <c r="A71" s="57" t="inlineStr">
        <is>
          <t>As PES grows (now 105), future steady-state secondary count will be higher.</t>
        </is>
      </c>
    </row>
    <row r="72">
      <c r="A72" s="57" t="inlineStr">
        <is>
          <t>Matches I-Equity attribution methodology for consistency.</t>
        </is>
      </c>
    </row>
    <row r="73">
      <c r="A73" s="4" t="inlineStr">
        <is>
          <t>Grade Band</t>
        </is>
      </c>
      <c r="B73" s="4" t="inlineStr">
        <is>
          <t>Count</t>
        </is>
      </c>
      <c r="C73" s="4" t="inlineStr">
        <is>
          <t>Source</t>
        </is>
      </c>
    </row>
    <row r="74">
      <c r="A74" s="29" t="inlineStr">
        <is>
          <t>Grades 6-8 (Pownal residents at FMS)</t>
        </is>
      </c>
      <c r="B74" s="49" t="n">
        <v>45</v>
      </c>
      <c r="C74" s="29" t="inlineStr">
        <is>
          <t>PES avg ~15/grade x 3 grades [Fn 1]; matches I-Equity</t>
        </is>
      </c>
    </row>
    <row r="75">
      <c r="A75" s="29" t="inlineStr">
        <is>
          <t>Grades 9-12 (Pownal residents at FHS)</t>
        </is>
      </c>
      <c r="B75" s="49" t="n">
        <v>55</v>
      </c>
      <c r="C75" s="29" t="inlineStr">
        <is>
          <t>PES avg ~14/grade x 4 grades [Fn 1]; matches I-Equity</t>
        </is>
      </c>
    </row>
    <row r="76">
      <c r="A76" s="12" t="inlineStr">
        <is>
          <t>Total secondary students (current)</t>
        </is>
      </c>
      <c r="B76" s="28">
        <f>SUM(B74:B75)</f>
        <v/>
      </c>
    </row>
    <row r="77">
      <c r="A77" s="5" t="inlineStr">
        <is>
          <t>Steady-state estimate (at PES 105 enrollment)</t>
        </is>
      </c>
      <c r="B77" s="49" t="n">
        <v>123</v>
      </c>
      <c r="C77" s="29" t="inlineStr">
        <is>
          <t>105/6 grades ~ 18/grade; 18x3=54 MS + 18x4=72 HS. Higher than current.</t>
        </is>
      </c>
    </row>
    <row r="78">
      <c r="A78" s="2" t="inlineStr">
        <is>
          <t>SENSITIVITY: If actual count is 100-123, tuition cost = $1.41M-$1.73M.</t>
        </is>
      </c>
    </row>
    <row r="79">
      <c r="A79" s="2" t="inlineStr">
        <is>
          <t>This is the largest variable in the independence budget.</t>
        </is>
      </c>
    </row>
    <row r="81">
      <c r="A81" s="3" t="inlineStr">
        <is>
          <t>7. WITHDRAWAL PROCESS COSTS [Fn 32][Fn 37]</t>
        </is>
      </c>
    </row>
    <row r="82">
      <c r="A82" s="57" t="inlineStr">
        <is>
          <t>One-time costs to execute the 22-step withdrawal process under Title 20-A §1466.</t>
        </is>
      </c>
    </row>
    <row r="83">
      <c r="A83" s="57" t="inlineStr">
        <is>
          <t>Embden (RSU 74) authorized $50K; Phillips authorized $50K. [Fn 37]</t>
        </is>
      </c>
    </row>
    <row r="84">
      <c r="A84" s="57" t="inlineStr">
        <is>
          <t>Freeport's 2014 RSU 5 withdrawal committee incurred similar costs. [Fn 33]</t>
        </is>
      </c>
    </row>
    <row r="85">
      <c r="A85" s="4" t="inlineStr">
        <is>
          <t>Item</t>
        </is>
      </c>
      <c r="B85" s="4" t="inlineStr">
        <is>
          <t>Estimate</t>
        </is>
      </c>
      <c r="C85" s="4" t="inlineStr">
        <is>
          <t>Source</t>
        </is>
      </c>
    </row>
    <row r="86">
      <c r="A86" s="29" t="inlineStr">
        <is>
          <t>Legal counsel (withdrawal committee)</t>
        </is>
      </c>
      <c r="B86" s="48" t="n">
        <v>35000</v>
      </c>
      <c r="C86" s="29" t="inlineStr">
        <is>
          <t>Comparable to Embden/Phillips [Fn 37]</t>
        </is>
      </c>
    </row>
    <row r="87">
      <c r="A87" s="29" t="inlineStr">
        <is>
          <t>Financial analysis and consulting</t>
        </is>
      </c>
      <c r="B87" s="48" t="n">
        <v>10000</v>
      </c>
      <c r="C87" s="29" t="inlineStr">
        <is>
          <t>Budget modeling, EPS projections</t>
        </is>
      </c>
    </row>
    <row r="88">
      <c r="A88" s="29" t="inlineStr">
        <is>
          <t>Public hearings and elections</t>
        </is>
      </c>
      <c r="B88" s="48" t="n">
        <v>5000</v>
      </c>
      <c r="C88" s="29" t="inlineStr">
        <is>
          <t>2-3 votes required by statute [Fn 32]</t>
        </is>
      </c>
    </row>
    <row r="89">
      <c r="A89" s="29" t="inlineStr">
        <is>
          <t>Negotiations with RSU 5 Board</t>
        </is>
      </c>
      <c r="B89" s="48" t="n">
        <v>5000</v>
      </c>
      <c r="C89" s="29" t="inlineStr">
        <is>
          <t>Committee time, meeting costs</t>
        </is>
      </c>
    </row>
    <row r="90">
      <c r="A90" s="29" t="inlineStr">
        <is>
          <t>Administrative setup (new SAU)</t>
        </is>
      </c>
      <c r="B90" s="48" t="n">
        <v>15000</v>
      </c>
      <c r="C90" s="29" t="inlineStr">
        <is>
          <t>Payroll systems, reporting, accounts</t>
        </is>
      </c>
    </row>
    <row r="91">
      <c r="A91" s="8" t="inlineStr">
        <is>
          <t>TOTAL PROCESS COSTS</t>
        </is>
      </c>
      <c r="B91" s="9">
        <f>SUM(B86:B90)</f>
        <v/>
      </c>
    </row>
    <row r="93">
      <c r="A93" s="3" t="inlineStr">
        <is>
          <t>8. LEGAL CHALLENGE COST ESTIMATES [Fn 30][Fn 39]</t>
        </is>
      </c>
    </row>
    <row r="94">
      <c r="A94" s="57" t="inlineStr">
        <is>
          <t>If Pownal challenges the 'reconfiguration vs. closure' framing under §1512.</t>
        </is>
      </c>
    </row>
    <row r="95">
      <c r="A95" s="57" t="inlineStr">
        <is>
          <t>Legal costs for petition to Commissioner or court challenge.</t>
        </is>
      </c>
    </row>
    <row r="96">
      <c r="A96" s="4" t="inlineStr">
        <is>
          <t>Item</t>
        </is>
      </c>
      <c r="B96" s="4" t="inlineStr">
        <is>
          <t>Low</t>
        </is>
      </c>
      <c r="C96" s="4" t="inlineStr">
        <is>
          <t>High</t>
        </is>
      </c>
    </row>
    <row r="97">
      <c r="A97" s="29" t="inlineStr">
        <is>
          <t>Legal counsel for §1512 challenge</t>
        </is>
      </c>
      <c r="B97" s="48" t="n">
        <v>15000</v>
      </c>
      <c r="C97" s="48" t="n">
        <v>50000</v>
      </c>
    </row>
    <row r="98">
      <c r="A98" s="29" t="inlineStr">
        <is>
          <t>Expert witness / education law consultant</t>
        </is>
      </c>
      <c r="B98" s="48" t="n">
        <v>5000</v>
      </c>
      <c r="C98" s="48" t="n">
        <v>20000</v>
      </c>
    </row>
    <row r="99">
      <c r="A99" s="29" t="inlineStr">
        <is>
          <t>Court filing and process costs</t>
        </is>
      </c>
      <c r="B99" s="48" t="n">
        <v>2000</v>
      </c>
      <c r="C99" s="48" t="n">
        <v>10000</v>
      </c>
    </row>
    <row r="100">
      <c r="A100" s="29" t="inlineStr">
        <is>
          <t>Commissioner petition preparation</t>
        </is>
      </c>
      <c r="B100" s="48" t="n">
        <v>3000</v>
      </c>
      <c r="C100" s="48" t="n">
        <v>8000</v>
      </c>
    </row>
    <row r="101">
      <c r="A101" s="8" t="inlineStr">
        <is>
          <t>TOTAL LEGAL CHALLENGE COSTS</t>
        </is>
      </c>
      <c r="B101" s="9">
        <f>SUM(B97:B100)</f>
        <v/>
      </c>
      <c r="C101" s="9">
        <f>SUM(C97:C100)</f>
        <v/>
      </c>
    </row>
    <row r="103">
      <c r="A103" s="3" t="inlineStr">
        <is>
          <t>9. EPS ALLOCATION IF INDEPENDENT [Fn 8]</t>
        </is>
      </c>
    </row>
    <row r="104">
      <c r="A104" s="57" t="inlineStr">
        <is>
          <t>Pownal's EPS allocation would follow the student. Current RSU 5 allocation shown.</t>
        </is>
      </c>
    </row>
    <row r="105">
      <c r="A105" s="57" t="inlineStr">
        <is>
          <t>Isolated small school adjustment may apply (&lt;200 students). [Fn 8]</t>
        </is>
      </c>
    </row>
    <row r="106">
      <c r="A106" s="57" t="inlineStr">
        <is>
          <t>State share depends on property valuation vs. enrollment weighting.</t>
        </is>
      </c>
    </row>
    <row r="107">
      <c r="A107" s="4" t="inlineStr">
        <is>
          <t>Item</t>
        </is>
      </c>
      <c r="B107" s="4" t="inlineStr">
        <is>
          <t>Value</t>
        </is>
      </c>
      <c r="C107" s="4" t="inlineStr">
        <is>
          <t>Source</t>
        </is>
      </c>
    </row>
    <row r="108">
      <c r="A108" s="29" t="inlineStr">
        <is>
          <t>Pownal total EPS allocation (FY25-26)</t>
        </is>
      </c>
      <c r="B108" s="48" t="n">
        <v>2682829</v>
      </c>
      <c r="C108" s="29" t="inlineStr">
        <is>
          <t>Warrant Article F [Fn 8]</t>
        </is>
      </c>
    </row>
    <row r="109">
      <c r="A109" s="29" t="inlineStr">
        <is>
          <t>Pownal EPS state share (FY25-26)</t>
        </is>
      </c>
      <c r="B109" s="48" t="n">
        <v>503502</v>
      </c>
      <c r="C109" s="29" t="inlineStr">
        <is>
          <t>Warrant Article F [Fn 8]</t>
        </is>
      </c>
    </row>
    <row r="110">
      <c r="A110" s="29" t="inlineStr">
        <is>
          <t>Isolated small school adjustment (est.)</t>
        </is>
      </c>
      <c r="B110" s="48" t="n">
        <v>75000</v>
      </c>
      <c r="C110" s="29" t="inlineStr">
        <is>
          <t>Analyst est.; DOE formula for &lt;200 students [Fn 8]</t>
        </is>
      </c>
    </row>
    <row r="111">
      <c r="A111" s="29" t="inlineStr">
        <is>
          <t>Pownal taxable valuation</t>
        </is>
      </c>
      <c r="B111" s="48" t="n">
        <v>392398240</v>
      </c>
      <c r="C111" s="29" t="inlineStr">
        <is>
          <t>Commitment Book [Fn 4]</t>
        </is>
      </c>
    </row>
    <row r="112">
      <c r="A112" s="29" t="inlineStr">
        <is>
          <t>Housing units (ACS 2023)</t>
        </is>
      </c>
      <c r="B112" s="49" t="n">
        <v>636</v>
      </c>
      <c r="C112" s="29" t="inlineStr">
        <is>
          <t>Census ACS [Fn 27]</t>
        </is>
      </c>
    </row>
    <row r="113">
      <c r="A113" s="29" t="inlineStr">
        <is>
          <t>Current total mil rate</t>
        </is>
      </c>
      <c r="B113" s="61" t="n">
        <v>15.3</v>
      </c>
      <c r="C113" s="29" t="inlineStr">
        <is>
          <t>Commitment Book [Fn 4]</t>
        </is>
      </c>
    </row>
    <row r="114">
      <c r="A114" s="29" t="inlineStr">
        <is>
          <t>Current RSU share of mil rate</t>
        </is>
      </c>
      <c r="B114" s="61" t="n">
        <v>8.935</v>
      </c>
      <c r="C114" s="29" t="inlineStr">
        <is>
          <t>15.300 x 58.4% [Fn 4][Fn 12]</t>
        </is>
      </c>
    </row>
    <row r="116">
      <c r="A116" s="3" t="inlineStr">
        <is>
          <t>10. WITHDRAWAL PRECEDENTS [Fn 33][Fn 34][Fn 35]</t>
        </is>
      </c>
    </row>
    <row r="117">
      <c r="A117" s="4" t="inlineStr">
        <is>
          <t>Town / District</t>
        </is>
      </c>
      <c r="B117" s="4" t="inlineStr">
        <is>
          <t>Year</t>
        </is>
      </c>
      <c r="C117" s="4" t="inlineStr">
        <is>
          <t>Enrollment</t>
        </is>
      </c>
      <c r="D117" s="4" t="inlineStr">
        <is>
          <t>Mil Rate Change</t>
        </is>
      </c>
      <c r="E117" s="4" t="inlineStr">
        <is>
          <t>Budget Impact</t>
        </is>
      </c>
    </row>
    <row r="118">
      <c r="A118" s="29" t="inlineStr">
        <is>
          <t>Freeport / RSU 5 (FAILED)</t>
        </is>
      </c>
      <c r="B118" s="29" t="inlineStr">
        <is>
          <t>2014</t>
        </is>
      </c>
      <c r="C118" s="29" t="inlineStr">
        <is>
          <t>N/A</t>
        </is>
      </c>
      <c r="D118" s="29" t="inlineStr">
        <is>
          <t>N/A</t>
        </is>
      </c>
      <c r="E118" s="29" t="inlineStr">
        <is>
          <t>Vote failed 2152-2228 (76 margin) [Fn 33]</t>
        </is>
      </c>
    </row>
    <row r="119">
      <c r="A119" s="29" t="inlineStr">
        <is>
          <t>Andover / SAD 44</t>
        </is>
      </c>
      <c r="B119" s="29" t="inlineStr">
        <is>
          <t>2015</t>
        </is>
      </c>
      <c r="C119" s="29" t="inlineStr">
        <is>
          <t>~30 K-5</t>
        </is>
      </c>
      <c r="D119" s="29" t="inlineStr">
        <is>
          <t>15.6 -&gt; 19.6</t>
        </is>
      </c>
      <c r="E119" s="29" t="inlineStr">
        <is>
          <t>Budget $700K -&gt; $1.5M; full independence</t>
        </is>
      </c>
    </row>
    <row r="120">
      <c r="A120" s="29" t="inlineStr">
        <is>
          <t>Dayton / RSU 23</t>
        </is>
      </c>
      <c r="B120" s="29" t="inlineStr">
        <is>
          <t>2014</t>
        </is>
      </c>
      <c r="C120" s="29" t="inlineStr">
        <is>
          <t>~200 K-5</t>
        </is>
      </c>
      <c r="D120" s="29" t="inlineStr">
        <is>
          <t>18.47 -&gt; 20.85</t>
        </is>
      </c>
      <c r="E120" s="29" t="inlineStr">
        <is>
          <t>Budget to $2.9M; gained full control</t>
        </is>
      </c>
    </row>
    <row r="121">
      <c r="A121" s="29" t="inlineStr">
        <is>
          <t>Athens / SAD 59</t>
        </is>
      </c>
      <c r="B121" s="29" t="inlineStr">
        <is>
          <t>2013</t>
        </is>
      </c>
      <c r="C121" s="29" t="inlineStr">
        <is>
          <t>small</t>
        </is>
      </c>
      <c r="D121" s="29" t="inlineStr">
        <is>
          <t>N/A</t>
        </is>
      </c>
      <c r="E121" s="29" t="inlineStr">
        <is>
          <t>Successfully withdrew</t>
        </is>
      </c>
    </row>
    <row r="122">
      <c r="A122" s="29" t="inlineStr">
        <is>
          <t>Embden / RSU 74</t>
        </is>
      </c>
      <c r="B122" s="29" t="inlineStr">
        <is>
          <t>2025</t>
        </is>
      </c>
      <c r="C122" s="29" t="inlineStr">
        <is>
          <t>~50</t>
        </is>
      </c>
      <c r="D122" s="29" t="inlineStr">
        <is>
          <t>TBD</t>
        </is>
      </c>
      <c r="E122" s="29" t="inlineStr">
        <is>
          <t>Process ongoing; authorized $50K [Fn 37]</t>
        </is>
      </c>
    </row>
    <row r="123">
      <c r="A123" s="29" t="inlineStr">
        <is>
          <t>Buckfield+Hartford+Sumner / RSU 10</t>
        </is>
      </c>
      <c r="B123" s="29" t="inlineStr">
        <is>
          <t>2025</t>
        </is>
      </c>
      <c r="C123" s="29" t="inlineStr">
        <is>
          <t>~150 combined</t>
        </is>
      </c>
      <c r="D123" s="29" t="inlineStr">
        <is>
          <t>TBD</t>
        </is>
      </c>
      <c r="E123" s="29" t="inlineStr">
        <is>
          <t>3-town withdrawal in progress [Fn 37]</t>
        </is>
      </c>
    </row>
    <row r="125">
      <c r="A125" s="3" t="inlineStr">
        <is>
          <t>11. K-8 PES EXPANSION OPTION (Scenario E inputs)</t>
        </is>
      </c>
    </row>
    <row r="126">
      <c r="A126" s="57" t="inlineStr">
        <is>
          <t>If PES expands from K-5 to K-8, Pownal only tuitions grades 9-12.</t>
        </is>
      </c>
    </row>
    <row r="127">
      <c r="A127" s="57" t="inlineStr">
        <is>
          <t>PES capacity: designed for ~180 students; K-8 at ~150-160 would fit.</t>
        </is>
      </c>
    </row>
    <row r="128">
      <c r="A128" s="57" t="inlineStr">
        <is>
          <t>Requires DOE approval, middle school content teachers, possible facility upgrades.</t>
        </is>
      </c>
    </row>
    <row r="129">
      <c r="A129" s="57" t="inlineStr">
        <is>
          <t>Tradeoff: higher operating cost vs. lower tuition spend and more local control.</t>
        </is>
      </c>
    </row>
    <row r="130">
      <c r="A130" s="4" t="inlineStr">
        <is>
          <t>Item</t>
        </is>
      </c>
      <c r="B130" s="4" t="inlineStr">
        <is>
          <t>Value</t>
        </is>
      </c>
      <c r="C130" s="4" t="inlineStr">
        <is>
          <t>Source / Rationale</t>
        </is>
      </c>
    </row>
    <row r="131">
      <c r="A131" s="29" t="inlineStr">
        <is>
          <t>Grades 6-8 Pownal students (current)</t>
        </is>
      </c>
      <c r="B131" s="17">
        <f>B74</f>
        <v/>
      </c>
      <c r="C131" s="29" t="inlineStr">
        <is>
          <t>From Section 6 above</t>
        </is>
      </c>
    </row>
    <row r="132">
      <c r="A132" s="29" t="inlineStr">
        <is>
          <t>Additional teaching FTE for grades 6-8</t>
        </is>
      </c>
      <c r="B132" s="62" t="n">
        <v>5</v>
      </c>
      <c r="C132" s="29" t="inlineStr">
        <is>
          <t>Core: ELA, Math, Science, Social Studies + 1 specials FTE</t>
        </is>
      </c>
    </row>
    <row r="133">
      <c r="A133" s="29" t="inlineStr">
        <is>
          <t>Cost per FTE (salary + benefits)</t>
        </is>
      </c>
      <c r="B133" s="48" t="n">
        <v>108000</v>
      </c>
      <c r="C133" s="29" t="inlineStr">
        <is>
          <t>RSU 5 average compensation [Fn 2]</t>
        </is>
      </c>
    </row>
    <row r="134">
      <c r="A134" s="29" t="inlineStr">
        <is>
          <t>Annual staffing cost (6-8 teachers)</t>
        </is>
      </c>
      <c r="B134" s="6">
        <f>B132*B133</f>
        <v/>
      </c>
      <c r="C134" s="29">
        <f> FTE x cost per FTE (formula)</f>
        <v/>
      </c>
    </row>
    <row r="135">
      <c r="A135" s="29" t="inlineStr">
        <is>
          <t>Curriculum / materials (one-time startup)</t>
        </is>
      </c>
      <c r="B135" s="48" t="n">
        <v>60000</v>
      </c>
      <c r="C135" s="29" t="inlineStr">
        <is>
          <t>Middle school curriculum, textbooks, lab supplies, technology</t>
        </is>
      </c>
    </row>
    <row r="136">
      <c r="A136" s="29" t="inlineStr">
        <is>
          <t>Curriculum / materials (ongoing annual)</t>
        </is>
      </c>
      <c r="B136" s="48" t="n">
        <v>15000</v>
      </c>
      <c r="C136" s="29" t="inlineStr">
        <is>
          <t>Annual replenishment, testing, software licenses</t>
        </is>
      </c>
    </row>
    <row r="137">
      <c r="A137" s="29" t="inlineStr">
        <is>
          <t>Facility modifications (one-time)</t>
        </is>
      </c>
      <c r="B137" s="48" t="n">
        <v>75000</v>
      </c>
      <c r="C137" s="29" t="inlineStr">
        <is>
          <t>Science lab upgrade, lockers, minor reconfiguration for MS</t>
        </is>
      </c>
    </row>
    <row r="138">
      <c r="A138" s="29" t="inlineStr">
        <is>
          <t>Additional extracurricular / athletics</t>
        </is>
      </c>
      <c r="B138" s="48" t="n">
        <v>25000</v>
      </c>
      <c r="C138" s="29" t="inlineStr">
        <is>
          <t>MS sports, clubs; limited by small cohort size (~45 students)</t>
        </is>
      </c>
    </row>
    <row r="139">
      <c r="A139" s="8" t="inlineStr">
        <is>
          <t>TOTAL ANNUAL ADDED COST (K-8 vs K-5)</t>
        </is>
      </c>
      <c r="B139" s="9">
        <f>B134+B136+B138</f>
        <v/>
      </c>
    </row>
    <row r="140">
      <c r="A140" s="5" t="inlineStr">
        <is>
          <t>Remaining HS-only students (9-12)</t>
        </is>
      </c>
      <c r="B140" s="17">
        <f>B75</f>
        <v/>
      </c>
    </row>
    <row r="141">
      <c r="A141" s="5" t="inlineStr">
        <is>
          <t>HS tuition cost (9-12 only)</t>
        </is>
      </c>
      <c r="B141" s="6">
        <f>B140*B64</f>
        <v/>
      </c>
    </row>
    <row r="142">
      <c r="A142" s="8" t="inlineStr">
        <is>
          <t>MS tuition saved (6-8 no longer tuitioned)</t>
        </is>
      </c>
      <c r="B142" s="9">
        <f>B131*B64</f>
        <v/>
      </c>
    </row>
    <row r="143">
      <c r="A143" s="2" t="inlineStr">
        <is>
          <t>K-8 tradeoffs: More local control through 8th grade; limited MS course variety</t>
        </is>
      </c>
    </row>
    <row r="144">
      <c r="A144" s="2" t="inlineStr">
        <is>
          <t>(no French, Latin, band at scale); small cohort for MS sports/activities;</t>
        </is>
      </c>
    </row>
    <row r="145">
      <c r="A145" s="2" t="inlineStr">
        <is>
          <t>PES facility has capacity but may need science lab and reconfiguration.</t>
        </is>
      </c>
    </row>
  </sheetData>
  <mergeCells count="30">
    <mergeCell ref="A84:F84"/>
    <mergeCell ref="A128:F128"/>
    <mergeCell ref="A105:F105"/>
    <mergeCell ref="A18:F18"/>
    <mergeCell ref="A50:F50"/>
    <mergeCell ref="A3:F3"/>
    <mergeCell ref="A104:F104"/>
    <mergeCell ref="A95:F95"/>
    <mergeCell ref="A33:F33"/>
    <mergeCell ref="A71:F71"/>
    <mergeCell ref="A129:F129"/>
    <mergeCell ref="A5:F5"/>
    <mergeCell ref="A32:F32"/>
    <mergeCell ref="A126:F126"/>
    <mergeCell ref="A106:F106"/>
    <mergeCell ref="A4:F4"/>
    <mergeCell ref="A62:F62"/>
    <mergeCell ref="A72:F72"/>
    <mergeCell ref="A31:F31"/>
    <mergeCell ref="A83:F83"/>
    <mergeCell ref="A127:F127"/>
    <mergeCell ref="A49:F49"/>
    <mergeCell ref="A51:F51"/>
    <mergeCell ref="A82:F82"/>
    <mergeCell ref="A60:F60"/>
    <mergeCell ref="A94:F94"/>
    <mergeCell ref="A70:F70"/>
    <mergeCell ref="A61:F61"/>
    <mergeCell ref="A6:F6"/>
    <mergeCell ref="A69:F6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FFC000"/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INPUT: Maine DOE Historical Staffing (FTE)</t>
        </is>
      </c>
    </row>
    <row r="3">
      <c r="A3" s="57" t="inlineStr">
        <is>
          <t>SOURCE: Maine DOE NEO Staff Historical Dec 1 Headcount Data [Fn 45]</t>
        </is>
      </c>
    </row>
    <row r="4">
      <c r="A4" s="57" t="inlineStr">
        <is>
          <t>Dataset: [Fed_Reporting].Reports.StaffHistoricalDec1, SAUOrgId=1449 (RSU 5)</t>
        </is>
      </c>
    </row>
    <row r="5">
      <c r="A5" s="57" t="inlineStr">
        <is>
          <t>Requested by Mark Dohle (03/04/2026); fulfilled by Maine DOE Data Team (03/09/2026).</t>
        </is>
      </c>
    </row>
    <row r="6">
      <c r="A6" s="57" t="inlineStr">
        <is>
          <t>DOE Issue #66636. Raw data file: 'MDohle RSU 5 Staff by FTE.xlsx'</t>
        </is>
      </c>
    </row>
    <row r="7">
      <c r="A7" s="57" t="inlineStr">
        <is>
          <t>FTE = total sum of time staff is employed, as reported Dec 1 each year.</t>
        </is>
      </c>
    </row>
    <row r="9">
      <c r="A9" s="3" t="inlineStr">
        <is>
          <t>1. Total FTE by School (All Position Categories)</t>
        </is>
      </c>
    </row>
    <row r="10">
      <c r="A10" s="4" t="inlineStr">
        <is>
          <t>School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  <c r="L10" s="4" t="inlineStr">
        <is>
          <t>2026</t>
        </is>
      </c>
    </row>
    <row r="11">
      <c r="A11" s="29" t="inlineStr">
        <is>
          <t>PES (Pownal Elementary)</t>
        </is>
      </c>
      <c r="B11" s="62" t="n">
        <v>26.3</v>
      </c>
      <c r="C11" s="62" t="n">
        <v>33.8</v>
      </c>
      <c r="D11" s="62" t="n">
        <v>29.6</v>
      </c>
      <c r="E11" s="62" t="n">
        <v>28</v>
      </c>
      <c r="F11" s="62" t="n">
        <v>27.7</v>
      </c>
      <c r="G11" s="62" t="n">
        <v>27.3</v>
      </c>
      <c r="H11" s="62" t="n">
        <v>24.5</v>
      </c>
      <c r="I11" s="62" t="n">
        <v>22.5</v>
      </c>
      <c r="J11" s="62" t="n">
        <v>22.9</v>
      </c>
      <c r="K11" s="62" t="n">
        <v>21.5</v>
      </c>
      <c r="L11" s="62" t="n">
        <v>24.2</v>
      </c>
    </row>
    <row r="12">
      <c r="A12" s="29" t="inlineStr">
        <is>
          <t>DCS (Durham Community)</t>
        </is>
      </c>
      <c r="B12" s="62" t="n">
        <v>71.59999999999999</v>
      </c>
      <c r="C12" s="62" t="n">
        <v>88</v>
      </c>
      <c r="D12" s="62" t="n">
        <v>84.8</v>
      </c>
      <c r="E12" s="62" t="n">
        <v>92.09999999999999</v>
      </c>
      <c r="F12" s="62" t="n">
        <v>94.2</v>
      </c>
      <c r="G12" s="62" t="n">
        <v>93</v>
      </c>
      <c r="H12" s="62" t="n">
        <v>87.59999999999999</v>
      </c>
      <c r="I12" s="62" t="n">
        <v>83.5</v>
      </c>
      <c r="J12" s="62" t="n">
        <v>78.40000000000001</v>
      </c>
      <c r="K12" s="62" t="n">
        <v>88.8</v>
      </c>
      <c r="L12" s="62" t="n">
        <v>85.7</v>
      </c>
    </row>
    <row r="13">
      <c r="A13" s="29" t="inlineStr">
        <is>
          <t>MSS (Morse Street)</t>
        </is>
      </c>
      <c r="B13" s="62" t="n">
        <v>42.1</v>
      </c>
      <c r="C13" s="62" t="n">
        <v>42.7</v>
      </c>
      <c r="D13" s="62" t="n">
        <v>50.5</v>
      </c>
      <c r="E13" s="62" t="n">
        <v>57.1</v>
      </c>
      <c r="F13" s="62" t="n">
        <v>55.7</v>
      </c>
      <c r="G13" s="62" t="n">
        <v>55.5</v>
      </c>
      <c r="H13" s="62" t="n">
        <v>60.8</v>
      </c>
      <c r="I13" s="62" t="n">
        <v>58.5</v>
      </c>
      <c r="J13" s="62" t="n">
        <v>59.8</v>
      </c>
      <c r="K13" s="62" t="n">
        <v>64.7</v>
      </c>
      <c r="L13" s="62" t="n">
        <v>55</v>
      </c>
    </row>
    <row r="14">
      <c r="A14" s="29" t="inlineStr">
        <is>
          <t>MLS (Mast Landing)</t>
        </is>
      </c>
      <c r="B14" s="62" t="n">
        <v>37</v>
      </c>
      <c r="C14" s="62" t="n">
        <v>48.2</v>
      </c>
      <c r="D14" s="62" t="n">
        <v>46.4</v>
      </c>
      <c r="E14" s="62" t="n">
        <v>50.2</v>
      </c>
      <c r="F14" s="62" t="n">
        <v>55.2</v>
      </c>
      <c r="G14" s="62" t="n">
        <v>46.4</v>
      </c>
      <c r="H14" s="62" t="n">
        <v>50.5</v>
      </c>
      <c r="I14" s="62" t="n">
        <v>49.1</v>
      </c>
      <c r="J14" s="62" t="n">
        <v>45.7</v>
      </c>
      <c r="K14" s="62" t="n">
        <v>53.8</v>
      </c>
      <c r="L14" s="62" t="n">
        <v>50.5</v>
      </c>
    </row>
    <row r="15">
      <c r="A15" s="29" t="inlineStr">
        <is>
          <t>FMS (Freeport Middle)</t>
        </is>
      </c>
      <c r="B15" s="62" t="n">
        <v>63.9</v>
      </c>
      <c r="C15" s="62" t="n">
        <v>71.40000000000001</v>
      </c>
      <c r="D15" s="62" t="n">
        <v>75.7</v>
      </c>
      <c r="E15" s="62" t="n">
        <v>74.59999999999999</v>
      </c>
      <c r="F15" s="62" t="n">
        <v>71.7</v>
      </c>
      <c r="G15" s="62" t="n">
        <v>58.9</v>
      </c>
      <c r="H15" s="62" t="n">
        <v>67.8</v>
      </c>
      <c r="I15" s="62" t="n">
        <v>69.7</v>
      </c>
      <c r="J15" s="62" t="n">
        <v>62.8</v>
      </c>
      <c r="K15" s="62" t="n">
        <v>64.90000000000001</v>
      </c>
      <c r="L15" s="62" t="n">
        <v>66.40000000000001</v>
      </c>
    </row>
    <row r="16">
      <c r="A16" s="29" t="inlineStr">
        <is>
          <t>FHS (Freeport High)</t>
        </is>
      </c>
      <c r="B16" s="62" t="n">
        <v>102</v>
      </c>
      <c r="C16" s="62" t="n">
        <v>112.5</v>
      </c>
      <c r="D16" s="62" t="n">
        <v>106</v>
      </c>
      <c r="E16" s="62" t="n">
        <v>124.1</v>
      </c>
      <c r="F16" s="62" t="n">
        <v>123.1</v>
      </c>
      <c r="G16" s="62" t="n">
        <v>112.4</v>
      </c>
      <c r="H16" s="62" t="n">
        <v>100.4</v>
      </c>
      <c r="I16" s="62" t="n">
        <v>100</v>
      </c>
      <c r="J16" s="62" t="n">
        <v>97.40000000000001</v>
      </c>
      <c r="K16" s="62" t="n">
        <v>108</v>
      </c>
      <c r="L16" s="62" t="n">
        <v>98.5</v>
      </c>
    </row>
    <row r="17">
      <c r="A17" s="29" t="inlineStr">
        <is>
          <t>District-wide</t>
        </is>
      </c>
      <c r="B17" s="62" t="n">
        <v>103.9</v>
      </c>
      <c r="C17" s="62" t="n">
        <v>123.4</v>
      </c>
      <c r="D17" s="62" t="n">
        <v>111.4</v>
      </c>
      <c r="E17" s="62" t="n">
        <v>125.4</v>
      </c>
      <c r="F17" s="62" t="n">
        <v>115.4</v>
      </c>
      <c r="G17" s="62" t="n">
        <v>118.9</v>
      </c>
      <c r="H17" s="62" t="n">
        <v>119.8</v>
      </c>
      <c r="I17" s="62" t="n">
        <v>129.9</v>
      </c>
      <c r="J17" s="62" t="n">
        <v>116.2</v>
      </c>
      <c r="K17" s="62" t="n">
        <v>144.3</v>
      </c>
      <c r="L17" s="62" t="n">
        <v>139.8</v>
      </c>
    </row>
    <row r="18">
      <c r="A18" s="55" t="inlineStr">
        <is>
          <t>GRAND TOTAL</t>
        </is>
      </c>
      <c r="B18" s="16">
        <f>SUM(B11:B17)</f>
        <v/>
      </c>
      <c r="C18" s="16">
        <f>SUM(C11:C17)</f>
        <v/>
      </c>
      <c r="D18" s="16">
        <f>SUM(D11:D17)</f>
        <v/>
      </c>
      <c r="E18" s="16">
        <f>SUM(E11:E17)</f>
        <v/>
      </c>
      <c r="F18" s="16">
        <f>SUM(F11:F17)</f>
        <v/>
      </c>
      <c r="G18" s="16">
        <f>SUM(G11:G17)</f>
        <v/>
      </c>
      <c r="H18" s="16">
        <f>SUM(H11:H17)</f>
        <v/>
      </c>
      <c r="I18" s="16">
        <f>SUM(I11:I17)</f>
        <v/>
      </c>
      <c r="J18" s="16">
        <f>SUM(J11:J17)</f>
        <v/>
      </c>
      <c r="K18" s="16">
        <f>SUM(K11:K17)</f>
        <v/>
      </c>
      <c r="L18" s="16">
        <f>SUM(L11:L17)</f>
        <v/>
      </c>
    </row>
    <row r="20">
      <c r="A20" s="3" t="inlineStr">
        <is>
          <t>2. Classroom Teacher FTE by School</t>
        </is>
      </c>
    </row>
    <row r="21">
      <c r="A21" s="2" t="inlineStr">
        <is>
          <t>DOE 'Classroom Teacher' includes all certified teaching positions (core + specialists).</t>
        </is>
      </c>
    </row>
    <row r="22">
      <c r="A22" s="4" t="inlineStr">
        <is>
          <t>School</t>
        </is>
      </c>
      <c r="B22" s="4" t="inlineStr">
        <is>
          <t>2016</t>
        </is>
      </c>
      <c r="C22" s="4" t="inlineStr">
        <is>
          <t>2017</t>
        </is>
      </c>
      <c r="D22" s="4" t="inlineStr">
        <is>
          <t>2018</t>
        </is>
      </c>
      <c r="E22" s="4" t="inlineStr">
        <is>
          <t>2019</t>
        </is>
      </c>
      <c r="F22" s="4" t="inlineStr">
        <is>
          <t>2020</t>
        </is>
      </c>
      <c r="G22" s="4" t="inlineStr">
        <is>
          <t>2021</t>
        </is>
      </c>
      <c r="H22" s="4" t="inlineStr">
        <is>
          <t>2022</t>
        </is>
      </c>
      <c r="I22" s="4" t="inlineStr">
        <is>
          <t>2023</t>
        </is>
      </c>
      <c r="J22" s="4" t="inlineStr">
        <is>
          <t>2024</t>
        </is>
      </c>
      <c r="K22" s="4" t="inlineStr">
        <is>
          <t>2025</t>
        </is>
      </c>
      <c r="L22" s="4" t="inlineStr">
        <is>
          <t>2026</t>
        </is>
      </c>
    </row>
    <row r="23">
      <c r="A23" s="29" t="inlineStr">
        <is>
          <t>PES</t>
        </is>
      </c>
      <c r="B23" s="62" t="n">
        <v>10.4</v>
      </c>
      <c r="C23" s="62" t="n">
        <v>10.2</v>
      </c>
      <c r="D23" s="62" t="n">
        <v>6.3</v>
      </c>
      <c r="E23" s="62" t="n">
        <v>8.300000000000001</v>
      </c>
      <c r="F23" s="62" t="n">
        <v>8.699999999999999</v>
      </c>
      <c r="G23" s="62" t="n">
        <v>10.2</v>
      </c>
      <c r="H23" s="62" t="n">
        <v>9.199999999999999</v>
      </c>
      <c r="I23" s="62" t="n">
        <v>10.8</v>
      </c>
      <c r="J23" s="62" t="n">
        <v>9.800000000000001</v>
      </c>
      <c r="K23" s="62" t="n">
        <v>10.2</v>
      </c>
      <c r="L23" s="62" t="n">
        <v>9.300000000000001</v>
      </c>
    </row>
    <row r="24">
      <c r="A24" s="29" t="inlineStr">
        <is>
          <t>DCS</t>
        </is>
      </c>
      <c r="B24" s="62" t="n">
        <v>26</v>
      </c>
      <c r="C24" s="62" t="n">
        <v>31.3</v>
      </c>
      <c r="D24" s="62" t="n">
        <v>25.5</v>
      </c>
      <c r="E24" s="62" t="n">
        <v>30</v>
      </c>
      <c r="F24" s="62" t="n">
        <v>31</v>
      </c>
      <c r="G24" s="62" t="n">
        <v>34</v>
      </c>
      <c r="H24" s="62" t="n">
        <v>33</v>
      </c>
      <c r="I24" s="62" t="n">
        <v>33.5</v>
      </c>
      <c r="J24" s="62" t="n">
        <v>34.5</v>
      </c>
      <c r="K24" s="62" t="n">
        <v>34.5</v>
      </c>
      <c r="L24" s="62" t="n">
        <v>35.5</v>
      </c>
    </row>
    <row r="25">
      <c r="A25" s="29" t="inlineStr">
        <is>
          <t>MSS</t>
        </is>
      </c>
      <c r="B25" s="62" t="n">
        <v>16</v>
      </c>
      <c r="C25" s="62" t="n">
        <v>16.2</v>
      </c>
      <c r="D25" s="62" t="n">
        <v>16.3</v>
      </c>
      <c r="E25" s="62" t="n">
        <v>18.5</v>
      </c>
      <c r="F25" s="62" t="n">
        <v>19.8</v>
      </c>
      <c r="G25" s="62" t="n">
        <v>20.8</v>
      </c>
      <c r="H25" s="62" t="n">
        <v>21.2</v>
      </c>
      <c r="I25" s="62" t="n">
        <v>20.6</v>
      </c>
      <c r="J25" s="62" t="n">
        <v>21.6</v>
      </c>
      <c r="K25" s="62" t="n">
        <v>21.2</v>
      </c>
      <c r="L25" s="62" t="n">
        <v>19.2</v>
      </c>
    </row>
    <row r="26">
      <c r="A26" s="29" t="inlineStr">
        <is>
          <t>MLS</t>
        </is>
      </c>
      <c r="B26" s="62" t="n">
        <v>14.6</v>
      </c>
      <c r="C26" s="62" t="n">
        <v>17.6</v>
      </c>
      <c r="D26" s="62" t="n">
        <v>16.5</v>
      </c>
      <c r="E26" s="62" t="n">
        <v>17.7</v>
      </c>
      <c r="F26" s="62" t="n">
        <v>16.7</v>
      </c>
      <c r="G26" s="62" t="n">
        <v>17.6</v>
      </c>
      <c r="H26" s="62" t="n">
        <v>16.6</v>
      </c>
      <c r="I26" s="62" t="n">
        <v>17.6</v>
      </c>
      <c r="J26" s="62" t="n">
        <v>16.6</v>
      </c>
      <c r="K26" s="62" t="n">
        <v>19.6</v>
      </c>
      <c r="L26" s="62" t="n">
        <v>19.6</v>
      </c>
    </row>
    <row r="27">
      <c r="A27" s="29" t="inlineStr">
        <is>
          <t>FMS</t>
        </is>
      </c>
      <c r="B27" s="62" t="n">
        <v>25.5</v>
      </c>
      <c r="C27" s="62" t="n">
        <v>26.2</v>
      </c>
      <c r="D27" s="62" t="n">
        <v>24.5</v>
      </c>
      <c r="E27" s="62" t="n">
        <v>24.5</v>
      </c>
      <c r="F27" s="62" t="n">
        <v>23.9</v>
      </c>
      <c r="G27" s="62" t="n">
        <v>22.1</v>
      </c>
      <c r="H27" s="62" t="n">
        <v>23.5</v>
      </c>
      <c r="I27" s="62" t="n">
        <v>23.5</v>
      </c>
      <c r="J27" s="62" t="n">
        <v>24</v>
      </c>
      <c r="K27" s="62" t="n">
        <v>23.5</v>
      </c>
      <c r="L27" s="62" t="n">
        <v>23.3</v>
      </c>
    </row>
    <row r="28">
      <c r="A28" s="29" t="inlineStr">
        <is>
          <t>FHS</t>
        </is>
      </c>
      <c r="B28" s="62" t="n">
        <v>37</v>
      </c>
      <c r="C28" s="62" t="n">
        <v>39.1</v>
      </c>
      <c r="D28" s="62" t="n">
        <v>34.5</v>
      </c>
      <c r="E28" s="62" t="n">
        <v>38.6</v>
      </c>
      <c r="F28" s="62" t="n">
        <v>40.7</v>
      </c>
      <c r="G28" s="62" t="n">
        <v>42.2</v>
      </c>
      <c r="H28" s="62" t="n">
        <v>42.2</v>
      </c>
      <c r="I28" s="62" t="n">
        <v>42.7</v>
      </c>
      <c r="J28" s="62" t="n">
        <v>42.7</v>
      </c>
      <c r="K28" s="62" t="n">
        <v>42.6</v>
      </c>
      <c r="L28" s="62" t="n">
        <v>41.7</v>
      </c>
    </row>
    <row r="30">
      <c r="A30" s="3" t="inlineStr">
        <is>
          <t>3. Special Education Teacher FTE by School</t>
        </is>
      </c>
    </row>
    <row r="31">
      <c r="A31" s="2" t="inlineStr">
        <is>
          <t>Includes Special Education Teacher + Special Education Consultant positions.</t>
        </is>
      </c>
    </row>
    <row r="32">
      <c r="A32" s="4" t="inlineStr">
        <is>
          <t>School</t>
        </is>
      </c>
      <c r="B32" s="4" t="inlineStr">
        <is>
          <t>2016</t>
        </is>
      </c>
      <c r="C32" s="4" t="inlineStr">
        <is>
          <t>2017</t>
        </is>
      </c>
      <c r="D32" s="4" t="inlineStr">
        <is>
          <t>2018</t>
        </is>
      </c>
      <c r="E32" s="4" t="inlineStr">
        <is>
          <t>2019</t>
        </is>
      </c>
      <c r="F32" s="4" t="inlineStr">
        <is>
          <t>2020</t>
        </is>
      </c>
      <c r="G32" s="4" t="inlineStr">
        <is>
          <t>2021</t>
        </is>
      </c>
      <c r="H32" s="4" t="inlineStr">
        <is>
          <t>2022</t>
        </is>
      </c>
      <c r="I32" s="4" t="inlineStr">
        <is>
          <t>2023</t>
        </is>
      </c>
      <c r="J32" s="4" t="inlineStr">
        <is>
          <t>2024</t>
        </is>
      </c>
      <c r="K32" s="4" t="inlineStr">
        <is>
          <t>2025</t>
        </is>
      </c>
      <c r="L32" s="4" t="inlineStr">
        <is>
          <t>2026</t>
        </is>
      </c>
    </row>
    <row r="33">
      <c r="A33" s="29" t="inlineStr">
        <is>
          <t>PES</t>
        </is>
      </c>
      <c r="B33" s="62" t="n">
        <v>1.8</v>
      </c>
      <c r="C33" s="62" t="n">
        <v>1.8</v>
      </c>
      <c r="D33" s="62" t="n">
        <v>2</v>
      </c>
      <c r="E33" s="62" t="n">
        <v>0.5</v>
      </c>
      <c r="F33" s="62" t="n">
        <v>1</v>
      </c>
      <c r="G33" s="62" t="n">
        <v>1</v>
      </c>
      <c r="H33" s="62" t="n">
        <v>1</v>
      </c>
      <c r="I33" s="62" t="n">
        <v>0</v>
      </c>
      <c r="J33" s="62" t="n">
        <v>0</v>
      </c>
      <c r="K33" s="62" t="n">
        <v>1</v>
      </c>
      <c r="L33" s="62" t="n">
        <v>1.5</v>
      </c>
    </row>
    <row r="34">
      <c r="A34" s="29" t="inlineStr">
        <is>
          <t>DCS</t>
        </is>
      </c>
      <c r="B34" s="62" t="n">
        <v>4</v>
      </c>
      <c r="C34" s="62" t="n">
        <v>5</v>
      </c>
      <c r="D34" s="62" t="n">
        <v>5</v>
      </c>
      <c r="E34" s="62" t="n">
        <v>4.5</v>
      </c>
      <c r="F34" s="62" t="n">
        <v>4</v>
      </c>
      <c r="G34" s="62" t="n">
        <v>4</v>
      </c>
      <c r="H34" s="62" t="n">
        <v>4</v>
      </c>
      <c r="I34" s="62" t="n">
        <v>4</v>
      </c>
      <c r="J34" s="62" t="n">
        <v>4</v>
      </c>
      <c r="K34" s="62" t="n">
        <v>5</v>
      </c>
      <c r="L34" s="62" t="n">
        <v>6.1</v>
      </c>
    </row>
    <row r="35">
      <c r="A35" s="29" t="inlineStr">
        <is>
          <t>MSS</t>
        </is>
      </c>
      <c r="B35" s="62" t="n">
        <v>2</v>
      </c>
      <c r="C35" s="62" t="n">
        <v>2</v>
      </c>
      <c r="D35" s="62" t="n">
        <v>2</v>
      </c>
      <c r="E35" s="62" t="n">
        <v>3</v>
      </c>
      <c r="F35" s="62" t="n">
        <v>3</v>
      </c>
      <c r="G35" s="62" t="n">
        <v>3</v>
      </c>
      <c r="H35" s="62" t="n">
        <v>3</v>
      </c>
      <c r="I35" s="62" t="n">
        <v>4.1</v>
      </c>
      <c r="J35" s="62" t="n">
        <v>4.1</v>
      </c>
      <c r="K35" s="62" t="n">
        <v>6</v>
      </c>
      <c r="L35" s="62" t="n">
        <v>4.9</v>
      </c>
    </row>
    <row r="36">
      <c r="A36" s="29" t="inlineStr">
        <is>
          <t>MLS</t>
        </is>
      </c>
      <c r="B36" s="62" t="n">
        <v>2</v>
      </c>
      <c r="C36" s="62" t="n">
        <v>2</v>
      </c>
      <c r="D36" s="62" t="n">
        <v>3</v>
      </c>
      <c r="E36" s="62" t="n">
        <v>2</v>
      </c>
      <c r="F36" s="62" t="n">
        <v>3</v>
      </c>
      <c r="G36" s="62" t="n">
        <v>3</v>
      </c>
      <c r="H36" s="62" t="n">
        <v>3</v>
      </c>
      <c r="I36" s="62" t="n">
        <v>3</v>
      </c>
      <c r="J36" s="62" t="n">
        <v>4</v>
      </c>
      <c r="K36" s="62" t="n">
        <v>4</v>
      </c>
      <c r="L36" s="62" t="n">
        <v>4.5</v>
      </c>
    </row>
    <row r="37">
      <c r="A37" s="29" t="inlineStr">
        <is>
          <t>FMS</t>
        </is>
      </c>
      <c r="B37" s="62" t="n">
        <v>4</v>
      </c>
      <c r="C37" s="62" t="n">
        <v>4</v>
      </c>
      <c r="D37" s="62" t="n">
        <v>4</v>
      </c>
      <c r="E37" s="62" t="n">
        <v>4</v>
      </c>
      <c r="F37" s="62" t="n">
        <v>3</v>
      </c>
      <c r="G37" s="62" t="n">
        <v>4</v>
      </c>
      <c r="H37" s="62" t="n">
        <v>4</v>
      </c>
      <c r="I37" s="62" t="n">
        <v>4</v>
      </c>
      <c r="J37" s="62" t="n">
        <v>4</v>
      </c>
      <c r="K37" s="62" t="n">
        <v>4</v>
      </c>
      <c r="L37" s="62" t="n">
        <v>4.5</v>
      </c>
    </row>
    <row r="38">
      <c r="A38" s="29" t="inlineStr">
        <is>
          <t>FHS</t>
        </is>
      </c>
      <c r="B38" s="62" t="n">
        <v>5</v>
      </c>
      <c r="C38" s="62" t="n">
        <v>6</v>
      </c>
      <c r="D38" s="62" t="n">
        <v>5</v>
      </c>
      <c r="E38" s="62" t="n">
        <v>5</v>
      </c>
      <c r="F38" s="62" t="n">
        <v>5</v>
      </c>
      <c r="G38" s="62" t="n">
        <v>5</v>
      </c>
      <c r="H38" s="62" t="n">
        <v>4</v>
      </c>
      <c r="I38" s="62" t="n">
        <v>4</v>
      </c>
      <c r="J38" s="62" t="n">
        <v>4</v>
      </c>
      <c r="K38" s="62" t="n">
        <v>5</v>
      </c>
      <c r="L38" s="62" t="n">
        <v>4.5</v>
      </c>
    </row>
    <row r="40">
      <c r="A40" s="3" t="inlineStr">
        <is>
          <t>4. Ed Tech FTE (I + II + III + Library/Media) by School</t>
        </is>
      </c>
    </row>
    <row r="41">
      <c r="A41" s="2" t="inlineStr">
        <is>
          <t>Includes Ed Tech I, Ed Tech II, Ed Tech II - Library/Media, Ed Tech III.</t>
        </is>
      </c>
    </row>
    <row r="42">
      <c r="A42" s="4" t="inlineStr">
        <is>
          <t>School</t>
        </is>
      </c>
      <c r="B42" s="4" t="inlineStr">
        <is>
          <t>2016</t>
        </is>
      </c>
      <c r="C42" s="4" t="inlineStr">
        <is>
          <t>2017</t>
        </is>
      </c>
      <c r="D42" s="4" t="inlineStr">
        <is>
          <t>2018</t>
        </is>
      </c>
      <c r="E42" s="4" t="inlineStr">
        <is>
          <t>2019</t>
        </is>
      </c>
      <c r="F42" s="4" t="inlineStr">
        <is>
          <t>2020</t>
        </is>
      </c>
      <c r="G42" s="4" t="inlineStr">
        <is>
          <t>2021</t>
        </is>
      </c>
      <c r="H42" s="4" t="inlineStr">
        <is>
          <t>2022</t>
        </is>
      </c>
      <c r="I42" s="4" t="inlineStr">
        <is>
          <t>2023</t>
        </is>
      </c>
      <c r="J42" s="4" t="inlineStr">
        <is>
          <t>2024</t>
        </is>
      </c>
      <c r="K42" s="4" t="inlineStr">
        <is>
          <t>2025</t>
        </is>
      </c>
      <c r="L42" s="4" t="inlineStr">
        <is>
          <t>2026</t>
        </is>
      </c>
    </row>
    <row r="43">
      <c r="A43" s="29" t="inlineStr">
        <is>
          <t>PES</t>
        </is>
      </c>
      <c r="B43" s="62" t="n">
        <v>6.4</v>
      </c>
      <c r="C43" s="62" t="n">
        <v>7.4</v>
      </c>
      <c r="D43" s="62" t="n">
        <v>5.7</v>
      </c>
      <c r="E43" s="62" t="n">
        <v>4.7</v>
      </c>
      <c r="F43" s="62" t="n">
        <v>4.2</v>
      </c>
      <c r="G43" s="62" t="n">
        <v>4.5</v>
      </c>
      <c r="H43" s="62" t="n">
        <v>3.1</v>
      </c>
      <c r="I43" s="62" t="n">
        <v>2.1</v>
      </c>
      <c r="J43" s="62" t="n">
        <v>5.1</v>
      </c>
      <c r="K43" s="62" t="n">
        <v>3.1</v>
      </c>
      <c r="L43" s="62" t="n">
        <v>4</v>
      </c>
    </row>
    <row r="44">
      <c r="A44" s="29" t="inlineStr">
        <is>
          <t>DCS</t>
        </is>
      </c>
      <c r="B44" s="62" t="n">
        <v>10</v>
      </c>
      <c r="C44" s="62" t="n">
        <v>11</v>
      </c>
      <c r="D44" s="62" t="n">
        <v>15</v>
      </c>
      <c r="E44" s="62" t="n">
        <v>13</v>
      </c>
      <c r="F44" s="62" t="n">
        <v>14</v>
      </c>
      <c r="G44" s="62" t="n">
        <v>14.5</v>
      </c>
      <c r="H44" s="62" t="n">
        <v>16</v>
      </c>
      <c r="I44" s="62" t="n">
        <v>14</v>
      </c>
      <c r="J44" s="62" t="n">
        <v>12</v>
      </c>
      <c r="K44" s="62" t="n">
        <v>13</v>
      </c>
      <c r="L44" s="62" t="n">
        <v>13.5</v>
      </c>
    </row>
    <row r="45">
      <c r="A45" s="29" t="inlineStr">
        <is>
          <t>MSS</t>
        </is>
      </c>
      <c r="B45" s="62" t="n">
        <v>8</v>
      </c>
      <c r="C45" s="62" t="n">
        <v>8</v>
      </c>
      <c r="D45" s="62" t="n">
        <v>13.4</v>
      </c>
      <c r="E45" s="62" t="n">
        <v>12.4</v>
      </c>
      <c r="F45" s="62" t="n">
        <v>12.5</v>
      </c>
      <c r="G45" s="62" t="n">
        <v>14</v>
      </c>
      <c r="H45" s="62" t="n">
        <v>15</v>
      </c>
      <c r="I45" s="62" t="n">
        <v>14.6</v>
      </c>
      <c r="J45" s="62" t="n">
        <v>16.6</v>
      </c>
      <c r="K45" s="62" t="n">
        <v>15</v>
      </c>
      <c r="L45" s="62" t="n">
        <v>12</v>
      </c>
    </row>
    <row r="46">
      <c r="A46" s="29" t="inlineStr">
        <is>
          <t>MLS</t>
        </is>
      </c>
      <c r="B46" s="62" t="n">
        <v>6.1</v>
      </c>
      <c r="C46" s="62" t="n">
        <v>5.6</v>
      </c>
      <c r="D46" s="62" t="n">
        <v>4.5</v>
      </c>
      <c r="E46" s="62" t="n">
        <v>3</v>
      </c>
      <c r="F46" s="62" t="n">
        <v>7</v>
      </c>
      <c r="G46" s="62" t="n">
        <v>6</v>
      </c>
      <c r="H46" s="62" t="n">
        <v>8</v>
      </c>
      <c r="I46" s="62" t="n">
        <v>6</v>
      </c>
      <c r="J46" s="62" t="n">
        <v>7</v>
      </c>
      <c r="K46" s="62" t="n">
        <v>11</v>
      </c>
      <c r="L46" s="62" t="n">
        <v>7</v>
      </c>
    </row>
    <row r="47">
      <c r="A47" s="29" t="inlineStr">
        <is>
          <t>FMS</t>
        </is>
      </c>
      <c r="B47" s="62" t="n">
        <v>8.5</v>
      </c>
      <c r="C47" s="62" t="n">
        <v>10.5</v>
      </c>
      <c r="D47" s="62" t="n">
        <v>13.5</v>
      </c>
      <c r="E47" s="62" t="n">
        <v>12.5</v>
      </c>
      <c r="F47" s="62" t="n">
        <v>11.5</v>
      </c>
      <c r="G47" s="62" t="n">
        <v>9.1</v>
      </c>
      <c r="H47" s="62" t="n">
        <v>11.2</v>
      </c>
      <c r="I47" s="62" t="n">
        <v>16.2</v>
      </c>
      <c r="J47" s="62" t="n">
        <v>14.2</v>
      </c>
      <c r="K47" s="62" t="n">
        <v>10.2</v>
      </c>
      <c r="L47" s="62" t="n">
        <v>11.1</v>
      </c>
    </row>
    <row r="48">
      <c r="A48" s="29" t="inlineStr">
        <is>
          <t>FHS</t>
        </is>
      </c>
      <c r="B48" s="62" t="n">
        <v>10</v>
      </c>
      <c r="C48" s="62" t="n">
        <v>11.3</v>
      </c>
      <c r="D48" s="62" t="n">
        <v>9</v>
      </c>
      <c r="E48" s="62" t="n">
        <v>8</v>
      </c>
      <c r="F48" s="62" t="n">
        <v>12</v>
      </c>
      <c r="G48" s="62" t="n">
        <v>10</v>
      </c>
      <c r="H48" s="62" t="n">
        <v>10</v>
      </c>
      <c r="I48" s="62" t="n">
        <v>8</v>
      </c>
      <c r="J48" s="62" t="n">
        <v>5.5</v>
      </c>
      <c r="K48" s="62" t="n">
        <v>9</v>
      </c>
      <c r="L48" s="62" t="n">
        <v>6</v>
      </c>
    </row>
  </sheetData>
  <mergeCells count="5"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C0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INPUT: Enrollment Data</t>
        </is>
      </c>
    </row>
    <row r="3">
      <c r="A3" s="57" t="inlineStr">
        <is>
          <t>SOURCE: FY27 Budget Handbook, RSU 5 Superintendent's Office, pp.3-4 (02/11/2026) [Fn 1]</t>
        </is>
      </c>
    </row>
    <row r="4">
      <c r="A4" s="57" t="inlineStr">
        <is>
          <t>"Projected Enrollment 2026-2027" table and Teacher/Class Size table.</t>
        </is>
      </c>
    </row>
    <row r="5">
      <c r="A5" s="57" t="inlineStr">
        <is>
          <t>URL: https://resources.finalsite.net/images/v1770852522/rsu5org/ytm49nnwpbrzi4oiwg4i/FY27BUDGETHANDBOOK02112026.pdf</t>
        </is>
      </c>
    </row>
    <row r="6">
      <c r="A6" s="57" t="inlineStr">
        <is>
          <t>All enrollment figures are October 1 counts as reported by RSU 5.</t>
        </is>
      </c>
    </row>
    <row r="8">
      <c r="A8" s="3" t="inlineStr">
        <is>
          <t>1A. Historical Enrollment by School</t>
        </is>
      </c>
    </row>
    <row r="9">
      <c r="A9" s="4" t="inlineStr">
        <is>
          <t>School</t>
        </is>
      </c>
      <c r="B9" s="4" t="inlineStr">
        <is>
          <t>Grades</t>
        </is>
      </c>
      <c r="C9" s="4" t="inlineStr">
        <is>
          <t>Oct 2023</t>
        </is>
      </c>
      <c r="D9" s="4" t="inlineStr">
        <is>
          <t>Oct 2024</t>
        </is>
      </c>
      <c r="E9" s="4" t="inlineStr">
        <is>
          <t>Oct 2025</t>
        </is>
      </c>
      <c r="F9" s="4" t="inlineStr">
        <is>
          <t>Oct 2026P</t>
        </is>
      </c>
    </row>
    <row r="10">
      <c r="A10" s="29" t="inlineStr">
        <is>
          <t>MSS (Morse Street)</t>
        </is>
      </c>
      <c r="B10" s="29" t="inlineStr">
        <is>
          <t>PreK-2</t>
        </is>
      </c>
      <c r="C10" s="48" t="n">
        <v>316</v>
      </c>
      <c r="D10" s="48" t="n">
        <v>288</v>
      </c>
      <c r="E10" s="48" t="n">
        <v>275</v>
      </c>
      <c r="F10" s="48" t="n">
        <v>274</v>
      </c>
    </row>
    <row r="11">
      <c r="A11" s="29" t="inlineStr">
        <is>
          <t>MLS (Mast Landing)</t>
        </is>
      </c>
      <c r="B11" s="29" t="inlineStr">
        <is>
          <t>3-5</t>
        </is>
      </c>
      <c r="C11" s="48" t="n">
        <v>281</v>
      </c>
      <c r="D11" s="48" t="n">
        <v>266</v>
      </c>
      <c r="E11" s="48" t="n">
        <v>282</v>
      </c>
      <c r="F11" s="48" t="n">
        <v>264</v>
      </c>
    </row>
    <row r="12">
      <c r="A12" s="29" t="inlineStr">
        <is>
          <t>PES (Pownal Elementary)</t>
        </is>
      </c>
      <c r="B12" s="29" t="inlineStr">
        <is>
          <t>PreK-5</t>
        </is>
      </c>
      <c r="C12" s="48" t="n">
        <v>89</v>
      </c>
      <c r="D12" s="48" t="n">
        <v>97</v>
      </c>
      <c r="E12" s="48" t="n">
        <v>98</v>
      </c>
      <c r="F12" s="48" t="n">
        <v>105</v>
      </c>
    </row>
    <row r="13">
      <c r="A13" s="29" t="inlineStr">
        <is>
          <t>DCS (Durham Community)</t>
        </is>
      </c>
      <c r="B13" s="29" t="inlineStr">
        <is>
          <t>PreK-8</t>
        </is>
      </c>
      <c r="C13" s="48" t="n">
        <v>473</v>
      </c>
      <c r="D13" s="48" t="n">
        <v>466</v>
      </c>
      <c r="E13" s="48" t="n">
        <v>453</v>
      </c>
      <c r="F13" s="48" t="n">
        <v>467</v>
      </c>
    </row>
    <row r="14">
      <c r="A14" s="29" t="inlineStr">
        <is>
          <t>FMS (Freeport Middle)</t>
        </is>
      </c>
      <c r="B14" s="29" t="inlineStr">
        <is>
          <t>6-8</t>
        </is>
      </c>
      <c r="C14" s="48" t="n">
        <v>293</v>
      </c>
      <c r="D14" s="48" t="n">
        <v>288</v>
      </c>
      <c r="E14" s="48" t="n">
        <v>286</v>
      </c>
      <c r="F14" s="48" t="n">
        <v>306</v>
      </c>
    </row>
    <row r="15">
      <c r="A15" s="29" t="inlineStr">
        <is>
          <t>FHS (Freeport High)</t>
        </is>
      </c>
      <c r="B15" s="29" t="inlineStr">
        <is>
          <t>9-12</t>
        </is>
      </c>
      <c r="C15" s="48" t="n">
        <v>632</v>
      </c>
      <c r="D15" s="48" t="n">
        <v>592</v>
      </c>
      <c r="E15" s="48" t="n">
        <v>577</v>
      </c>
      <c r="F15" s="48" t="n">
        <v>554</v>
      </c>
    </row>
    <row r="17">
      <c r="A17" s="3" t="inlineStr">
        <is>
          <t>1B. PES Grade-Level Enrollment (for cohort estimation)</t>
        </is>
      </c>
    </row>
    <row r="18">
      <c r="A18" s="2" t="inlineStr">
        <is>
          <t>Source: same Budget Handbook, Teacher/Class Size table, p.4</t>
        </is>
      </c>
    </row>
    <row r="19">
      <c r="A19" s="4" t="inlineStr">
        <is>
          <t>Grade</t>
        </is>
      </c>
      <c r="B19" s="4" t="inlineStr">
        <is>
          <t>Students</t>
        </is>
      </c>
      <c r="C19" s="4" t="inlineStr">
        <is>
          <t>Teachers</t>
        </is>
      </c>
    </row>
    <row r="20">
      <c r="A20" s="29" t="inlineStr">
        <is>
          <t>PreK</t>
        </is>
      </c>
      <c r="B20" s="48" t="n">
        <v>16</v>
      </c>
      <c r="C20" s="62" t="n">
        <v>0.5</v>
      </c>
    </row>
    <row r="21">
      <c r="A21" s="29" t="inlineStr">
        <is>
          <t>K</t>
        </is>
      </c>
      <c r="B21" s="48" t="n">
        <v>14</v>
      </c>
      <c r="C21" s="62" t="n">
        <v>1</v>
      </c>
    </row>
    <row r="22">
      <c r="A22" s="29" t="inlineStr">
        <is>
          <t>1</t>
        </is>
      </c>
      <c r="B22" s="48" t="n">
        <v>14</v>
      </c>
      <c r="C22" s="62" t="n">
        <v>1</v>
      </c>
    </row>
    <row r="23">
      <c r="A23" s="29" t="inlineStr">
        <is>
          <t>2</t>
        </is>
      </c>
      <c r="B23" s="48" t="n">
        <v>13</v>
      </c>
      <c r="C23" s="62" t="n">
        <v>1</v>
      </c>
    </row>
    <row r="24">
      <c r="A24" s="29" t="inlineStr">
        <is>
          <t>3</t>
        </is>
      </c>
      <c r="B24" s="48" t="n">
        <v>17</v>
      </c>
      <c r="C24" s="62" t="n">
        <v>1</v>
      </c>
    </row>
    <row r="25">
      <c r="A25" s="29" t="inlineStr">
        <is>
          <t>4</t>
        </is>
      </c>
      <c r="B25" s="48" t="n">
        <v>13</v>
      </c>
      <c r="C25" s="62" t="n">
        <v>1</v>
      </c>
    </row>
    <row r="26">
      <c r="A26" s="29" t="inlineStr">
        <is>
          <t>5</t>
        </is>
      </c>
      <c r="B26" s="48" t="n">
        <v>18</v>
      </c>
      <c r="C26" s="62" t="n">
        <v>1</v>
      </c>
    </row>
    <row r="28">
      <c r="A28" s="3" t="inlineStr">
        <is>
          <t>1C. DCS Middle-Grade Enrollment</t>
        </is>
      </c>
    </row>
    <row r="29">
      <c r="A29" s="2" t="inlineStr">
        <is>
          <t>Source: same Budget Handbook, Teacher/Class Size table</t>
        </is>
      </c>
    </row>
    <row r="30">
      <c r="A30" s="4" t="inlineStr">
        <is>
          <t>Grade</t>
        </is>
      </c>
      <c r="B30" s="4" t="inlineStr">
        <is>
          <t>Students</t>
        </is>
      </c>
    </row>
    <row r="31">
      <c r="A31" s="29" t="inlineStr">
        <is>
          <t>Grade 6</t>
        </is>
      </c>
      <c r="B31" s="48" t="n">
        <v>41</v>
      </c>
    </row>
    <row r="32">
      <c r="A32" s="29" t="inlineStr">
        <is>
          <t>Grade 7</t>
        </is>
      </c>
      <c r="B32" s="48" t="n">
        <v>46</v>
      </c>
    </row>
    <row r="33">
      <c r="A33" s="29" t="inlineStr">
        <is>
          <t>Grade 8</t>
        </is>
      </c>
      <c r="B33" s="48" t="n">
        <v>54</v>
      </c>
    </row>
    <row r="35">
      <c r="A35" s="3" t="inlineStr">
        <is>
          <t>1D. FMS Grade-Level Enrollment</t>
        </is>
      </c>
    </row>
    <row r="36">
      <c r="A36" s="2" t="inlineStr">
        <is>
          <t>Source: same Budget Handbook. FMS 6th total includes Pownal + Freeport students.</t>
        </is>
      </c>
    </row>
    <row r="37">
      <c r="A37" s="4" t="inlineStr">
        <is>
          <t>Grade</t>
        </is>
      </c>
      <c r="B37" s="4" t="inlineStr">
        <is>
          <t>Students</t>
        </is>
      </c>
    </row>
    <row r="38">
      <c r="A38" s="29" t="inlineStr">
        <is>
          <t>Grade 6 (all towns)</t>
        </is>
      </c>
      <c r="B38" s="48" t="n">
        <v>116</v>
      </c>
    </row>
    <row r="39">
      <c r="A39" s="29" t="inlineStr">
        <is>
          <t>Grade 7</t>
        </is>
      </c>
      <c r="B39" s="48" t="n">
        <v>95</v>
      </c>
    </row>
    <row r="40">
      <c r="A40" s="29" t="inlineStr">
        <is>
          <t>Grade 8</t>
        </is>
      </c>
      <c r="B40" s="48" t="n">
        <v>95</v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FFC000"/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INPUT: FY27 Proposed Budget by Cost Center</t>
        </is>
      </c>
    </row>
    <row r="3">
      <c r="A3" s="57" t="inlineStr">
        <is>
          <t>SOURCE: FY27 Superintendent's Proposed Budget Articles, 89-page line-item detail (02/11/2026) [Fn 2]</t>
        </is>
      </c>
    </row>
    <row r="4">
      <c r="A4" s="57" t="inlineStr">
        <is>
          <t>URL: https://resources.finalsite.net/images/v1770852540/rsu5org/spzuwjskm8vh3t9bjck8/2026-2027SuperintendentsRecommendedBudgetArticlesforWebsite02112026.pdf</t>
        </is>
      </c>
    </row>
    <row r="5">
      <c r="A5" s="57" t="inlineStr">
        <is>
          <t>Each cell value is the total for that school x article combination as reported in the budget articles.</t>
        </is>
      </c>
    </row>
    <row r="6">
      <c r="A6" s="57" t="inlineStr">
        <is>
          <t>SYS = system-wide allocation; K8 = K-8 allocation; 912 = 9-12 allocation; CTRL = central office.</t>
        </is>
      </c>
    </row>
    <row r="8">
      <c r="A8" s="4" t="inlineStr">
        <is>
          <t>Article</t>
        </is>
      </c>
      <c r="B8" s="4" t="inlineStr">
        <is>
          <t>DCS</t>
        </is>
      </c>
      <c r="C8" s="4" t="inlineStr">
        <is>
          <t>MSS</t>
        </is>
      </c>
      <c r="D8" s="4" t="inlineStr">
        <is>
          <t>PES</t>
        </is>
      </c>
      <c r="E8" s="4" t="inlineStr">
        <is>
          <t>MLS</t>
        </is>
      </c>
      <c r="F8" s="4" t="inlineStr">
        <is>
          <t>FMS</t>
        </is>
      </c>
      <c r="G8" s="4" t="inlineStr">
        <is>
          <t>FHS</t>
        </is>
      </c>
      <c r="H8" s="4" t="inlineStr">
        <is>
          <t>SYS</t>
        </is>
      </c>
      <c r="I8" s="4" t="inlineStr">
        <is>
          <t>K8</t>
        </is>
      </c>
      <c r="J8" s="4" t="inlineStr">
        <is>
          <t>912</t>
        </is>
      </c>
      <c r="K8" s="4" t="inlineStr">
        <is>
          <t>CTRL</t>
        </is>
      </c>
    </row>
    <row r="9">
      <c r="A9" s="29" t="inlineStr">
        <is>
          <t>Art 1 - Regular Instruction</t>
        </is>
      </c>
      <c r="B9" s="48" t="n">
        <v>4611862</v>
      </c>
      <c r="C9" s="48" t="n">
        <v>2506278</v>
      </c>
      <c r="D9" s="48" t="n">
        <v>1196683</v>
      </c>
      <c r="E9" s="48" t="n">
        <v>2338114</v>
      </c>
      <c r="F9" s="48" t="n">
        <v>3201928</v>
      </c>
      <c r="G9" s="48" t="n">
        <v>5310140</v>
      </c>
      <c r="H9" s="48" t="n">
        <v>0</v>
      </c>
      <c r="I9" s="48" t="n">
        <v>420852</v>
      </c>
      <c r="J9" s="48" t="n">
        <v>287336</v>
      </c>
      <c r="K9" s="48" t="n">
        <v>0</v>
      </c>
    </row>
    <row r="10">
      <c r="A10" s="29" t="inlineStr">
        <is>
          <t>Art 2 - Special Education</t>
        </is>
      </c>
      <c r="B10" s="48" t="n">
        <v>1553029</v>
      </c>
      <c r="C10" s="48" t="n">
        <v>1037964</v>
      </c>
      <c r="D10" s="48" t="n">
        <v>329115</v>
      </c>
      <c r="E10" s="48" t="n">
        <v>971107</v>
      </c>
      <c r="F10" s="48" t="n">
        <v>1062320</v>
      </c>
      <c r="G10" s="48" t="n">
        <v>1013463</v>
      </c>
      <c r="H10" s="48" t="n">
        <v>836683</v>
      </c>
      <c r="I10" s="48" t="n">
        <v>347140</v>
      </c>
      <c r="J10" s="48" t="n">
        <v>359601</v>
      </c>
      <c r="K10" s="48" t="n">
        <v>0</v>
      </c>
    </row>
    <row r="11">
      <c r="A11" s="29" t="inlineStr">
        <is>
          <t>Art 4 - Other Instruction</t>
        </is>
      </c>
      <c r="B11" s="48" t="n">
        <v>90140</v>
      </c>
      <c r="C11" s="48" t="n">
        <v>7710</v>
      </c>
      <c r="D11" s="48" t="n">
        <v>13125</v>
      </c>
      <c r="E11" s="48" t="n">
        <v>12626</v>
      </c>
      <c r="F11" s="48" t="n">
        <v>277908</v>
      </c>
      <c r="G11" s="48" t="n">
        <v>769494</v>
      </c>
      <c r="H11" s="48" t="n">
        <v>0</v>
      </c>
      <c r="I11" s="48" t="n">
        <v>1536</v>
      </c>
      <c r="J11" s="48" t="n">
        <v>0</v>
      </c>
      <c r="K11" s="48" t="n">
        <v>0</v>
      </c>
    </row>
    <row r="12">
      <c r="A12" s="29" t="inlineStr">
        <is>
          <t>Art 5 - Student &amp; Staff Support</t>
        </is>
      </c>
      <c r="B12" s="48" t="n">
        <v>581386</v>
      </c>
      <c r="C12" s="48" t="n">
        <v>400046</v>
      </c>
      <c r="D12" s="48" t="n">
        <v>219819</v>
      </c>
      <c r="E12" s="48" t="n">
        <v>363844</v>
      </c>
      <c r="F12" s="48" t="n">
        <v>490321</v>
      </c>
      <c r="G12" s="48" t="n">
        <v>1061829</v>
      </c>
      <c r="H12" s="48" t="n">
        <v>1523668</v>
      </c>
      <c r="I12" s="48" t="n">
        <v>249421</v>
      </c>
      <c r="J12" s="48" t="n">
        <v>16032</v>
      </c>
      <c r="K12" s="48" t="n">
        <v>0</v>
      </c>
    </row>
    <row r="13">
      <c r="A13" s="29" t="inlineStr">
        <is>
          <t>Art 7 - School Administration</t>
        </is>
      </c>
      <c r="B13" s="48" t="n">
        <v>515193</v>
      </c>
      <c r="C13" s="48" t="n">
        <v>421185</v>
      </c>
      <c r="D13" s="48" t="n">
        <v>257979</v>
      </c>
      <c r="E13" s="48" t="n">
        <v>400206</v>
      </c>
      <c r="F13" s="48" t="n">
        <v>462558</v>
      </c>
      <c r="G13" s="48" t="n">
        <v>580903</v>
      </c>
      <c r="H13" s="48" t="n">
        <v>0</v>
      </c>
      <c r="I13" s="48" t="n">
        <v>0</v>
      </c>
      <c r="J13" s="48" t="n">
        <v>0</v>
      </c>
      <c r="K13" s="48" t="n">
        <v>0</v>
      </c>
    </row>
    <row r="14">
      <c r="A14" s="29" t="inlineStr">
        <is>
          <t>Art 9 - Facilities &amp; Maintenance</t>
        </is>
      </c>
      <c r="B14" s="48" t="n">
        <v>683965</v>
      </c>
      <c r="C14" s="48" t="n">
        <v>569640</v>
      </c>
      <c r="D14" s="48" t="n">
        <v>253384</v>
      </c>
      <c r="E14" s="48" t="n">
        <v>482373</v>
      </c>
      <c r="F14" s="48" t="n">
        <v>641780</v>
      </c>
      <c r="G14" s="48" t="n">
        <v>1745609</v>
      </c>
      <c r="H14" s="48" t="n">
        <v>1564602</v>
      </c>
      <c r="I14" s="48" t="n">
        <v>0</v>
      </c>
      <c r="J14" s="48" t="n">
        <v>0</v>
      </c>
      <c r="K14" s="48" t="n">
        <v>52424</v>
      </c>
    </row>
    <row r="16">
      <c r="A16" s="3" t="inlineStr">
        <is>
          <t>System-Only Articles (not allocated to individual schools)</t>
        </is>
      </c>
    </row>
    <row r="17">
      <c r="A17" s="57" t="inlineStr">
        <is>
          <t>SOURCE: Same 89-page budget articles document [Fn 2].</t>
        </is>
      </c>
    </row>
    <row r="18">
      <c r="A18" s="57" t="inlineStr">
        <is>
          <t>These articles are district-wide and have no school-level breakdown.</t>
        </is>
      </c>
    </row>
    <row r="19">
      <c r="A19" s="4" t="inlineStr">
        <is>
          <t>Article</t>
        </is>
      </c>
      <c r="B19" s="4" t="inlineStr">
        <is>
          <t>Amount</t>
        </is>
      </c>
    </row>
    <row r="20">
      <c r="A20" s="29" t="inlineStr">
        <is>
          <t>Art 3 - CTE</t>
        </is>
      </c>
      <c r="B20" s="48" t="n">
        <v>337282</v>
      </c>
    </row>
    <row r="21">
      <c r="A21" s="29" t="inlineStr">
        <is>
          <t>Art 6 - System Administration</t>
        </is>
      </c>
      <c r="B21" s="48" t="n">
        <v>1308008</v>
      </c>
    </row>
    <row r="22">
      <c r="A22" s="29" t="inlineStr">
        <is>
          <t>Art 8 - Transportation</t>
        </is>
      </c>
      <c r="B22" s="48" t="n">
        <v>2388457</v>
      </c>
    </row>
    <row r="23">
      <c r="A23" s="29" t="inlineStr">
        <is>
          <t>Art 10 - Debt Service</t>
        </is>
      </c>
      <c r="B23" s="48" t="n">
        <v>1071577</v>
      </c>
    </row>
    <row r="24">
      <c r="A24" s="29" t="inlineStr">
        <is>
          <t>Art 11 - All Other</t>
        </is>
      </c>
      <c r="B24" s="48" t="n">
        <v>69796</v>
      </c>
    </row>
    <row r="26">
      <c r="A26" s="3" t="inlineStr">
        <is>
          <t>Budget Totals</t>
        </is>
      </c>
    </row>
    <row r="27">
      <c r="A27" s="57" t="inlineStr">
        <is>
          <t>FY27 total: Revised Budget Handbook 02/11/2026. Articles 1-11 + Adult Ed = $47,357,441 [Fn 25]</t>
        </is>
      </c>
    </row>
    <row r="28">
      <c r="A28" s="57" t="inlineStr">
        <is>
          <t>URL: https://www.rsu5.org/fs/resource-manager/view/78dce71e-a8e6-4435-b33f-9746e8541a3a</t>
        </is>
      </c>
    </row>
    <row r="29">
      <c r="A29" s="57" t="inlineStr">
        <is>
          <t>FY26 adopted: $44,455,929, approved by voters 06/10/2025 (817 Yes, 494 No) [Fn 9]</t>
        </is>
      </c>
    </row>
    <row r="30">
      <c r="A30" s="4" t="inlineStr">
        <is>
          <t>Item</t>
        </is>
      </c>
      <c r="B30" s="4" t="inlineStr">
        <is>
          <t>Amount</t>
        </is>
      </c>
    </row>
    <row r="31">
      <c r="A31" s="29" t="inlineStr">
        <is>
          <t>Adult Education</t>
        </is>
      </c>
      <c r="B31" s="48" t="n">
        <v>88000</v>
      </c>
    </row>
    <row r="32">
      <c r="A32" s="29" t="inlineStr">
        <is>
          <t>FY26 Adopted Budget</t>
        </is>
      </c>
      <c r="B32" s="48" t="n">
        <v>44455929</v>
      </c>
    </row>
  </sheetData>
  <mergeCells count="9">
    <mergeCell ref="A28:F28"/>
    <mergeCell ref="A5:F5"/>
    <mergeCell ref="A27:F27"/>
    <mergeCell ref="A6:F6"/>
    <mergeCell ref="A17:F17"/>
    <mergeCell ref="A18:F18"/>
    <mergeCell ref="A4:F4"/>
    <mergeCell ref="A3:F3"/>
    <mergeCell ref="A29:F2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FC000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INPUT: Revenue by Town (FY27 Proposed)</t>
        </is>
      </c>
    </row>
    <row r="3">
      <c r="A3" s="57" t="inlineStr">
        <is>
          <t>SOURCE: FY27 Budget Handbook, RSU 5, Budget Impact Summary pp.9-10 (02/11/2026) [Fn 3]</t>
        </is>
      </c>
    </row>
    <row r="4">
      <c r="A4" s="57" t="inlineStr">
        <is>
          <t>URL: https://resources.finalsite.net/images/v1770852522/rsu5org/ytm49nnwpbrzi4oiwg4i/FY27BUDGETHANDBOOK02112026.pdf</t>
        </is>
      </c>
    </row>
    <row r="5">
      <c r="A5" s="57" t="inlineStr">
        <is>
          <t>Revenue components as reported on the cost-sharing summary page.</t>
        </is>
      </c>
    </row>
    <row r="6">
      <c r="A6" s="57" t="inlineStr">
        <is>
          <t>Shared Revenue total from same page; allocated by ALM percentage.</t>
        </is>
      </c>
    </row>
    <row r="8">
      <c r="A8" s="4" t="inlineStr">
        <is>
          <t>Component</t>
        </is>
      </c>
      <c r="B8" s="4" t="inlineStr">
        <is>
          <t>Pownal</t>
        </is>
      </c>
      <c r="C8" s="4" t="inlineStr">
        <is>
          <t>Durham</t>
        </is>
      </c>
      <c r="D8" s="4" t="inlineStr">
        <is>
          <t>Freeport</t>
        </is>
      </c>
    </row>
    <row r="9">
      <c r="A9" s="29" t="inlineStr">
        <is>
          <t>Required Local Contribution (RLC)</t>
        </is>
      </c>
      <c r="B9" s="63" t="n">
        <v>2257247.34</v>
      </c>
      <c r="C9" s="63" t="n">
        <v>3910950.09</v>
      </c>
      <c r="D9" s="63" t="n">
        <v>14173183.75</v>
      </c>
    </row>
    <row r="10">
      <c r="A10" s="29" t="inlineStr">
        <is>
          <t>Additional Local Monies (ALM)</t>
        </is>
      </c>
      <c r="B10" s="63" t="n">
        <v>2190978.34</v>
      </c>
      <c r="C10" s="63" t="n">
        <v>3724663.18</v>
      </c>
      <c r="D10" s="63" t="n">
        <v>11473075.46</v>
      </c>
    </row>
    <row r="11">
      <c r="A11" s="29" t="inlineStr">
        <is>
          <t>State Aid</t>
        </is>
      </c>
      <c r="B11" s="63" t="n">
        <v>567179.79</v>
      </c>
      <c r="C11" s="63" t="n">
        <v>5991563.92</v>
      </c>
      <c r="D11" s="63" t="n">
        <v>1463888.5</v>
      </c>
    </row>
    <row r="12">
      <c r="A12" s="29" t="inlineStr">
        <is>
          <t>Non-Shared Debt Service</t>
        </is>
      </c>
      <c r="B12" s="63" t="n">
        <v>0</v>
      </c>
      <c r="C12" s="63" t="n">
        <v>117175.57</v>
      </c>
      <c r="D12" s="63" t="n">
        <v>0</v>
      </c>
    </row>
    <row r="14">
      <c r="A14" s="29" t="inlineStr">
        <is>
          <t>Total Shared Revenue</t>
        </is>
      </c>
      <c r="B14" s="63" t="n">
        <v>1431699.07</v>
      </c>
    </row>
    <row r="15">
      <c r="A15" s="2" t="inlineStr">
        <is>
          <t>Shared revenue is allocated by each town's ALM percentage (computed on Calc sheets).</t>
        </is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FFC000"/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50" customWidth="1" min="3" max="3"/>
  </cols>
  <sheetData>
    <row r="1">
      <c r="A1" s="1" t="inlineStr">
        <is>
          <t>INPUT: Tax Rates &amp; Property Valuations</t>
        </is>
      </c>
    </row>
    <row r="3">
      <c r="A3" s="3" t="inlineStr">
        <is>
          <t>POWNAL</t>
        </is>
      </c>
    </row>
    <row r="4">
      <c r="A4" s="57" t="inlineStr">
        <is>
          <t>SOURCE: Pownal FY26 Real Estate Tax Commitment Book, committed 07/29/2025 [Fn 4]</t>
        </is>
      </c>
    </row>
    <row r="5">
      <c r="A5" s="57" t="inlineStr">
        <is>
          <t>Tax rate: $15.300/thousand. Town of Pownal Assessor, https://www.pownalmaine.org/</t>
        </is>
      </c>
    </row>
    <row r="6">
      <c r="A6" s="57" t="inlineStr">
        <is>
          <t>Tax breakdown: RSU 58.4%, County 3.3%, Town 38.3% [Fn 12].</t>
        </is>
      </c>
    </row>
    <row r="7">
      <c r="A7" s="57" t="inlineStr">
        <is>
          <t>State valuation: $399,866,667 [Fn 3].</t>
        </is>
      </c>
    </row>
    <row r="8">
      <c r="A8" s="4" t="inlineStr">
        <is>
          <t>Item</t>
        </is>
      </c>
      <c r="B8" s="4" t="inlineStr">
        <is>
          <t>Value</t>
        </is>
      </c>
      <c r="C8" s="4" t="inlineStr">
        <is>
          <t>Source Detail</t>
        </is>
      </c>
    </row>
    <row r="9">
      <c r="A9" s="29" t="inlineStr">
        <is>
          <t>Total Mil Rate</t>
        </is>
      </c>
      <c r="B9" s="61" t="n">
        <v>15.3</v>
      </c>
      <c r="C9" s="29" t="inlineStr">
        <is>
          <t>Commitment Book [Fn 4]</t>
        </is>
      </c>
    </row>
    <row r="10">
      <c r="A10" s="29" t="inlineStr">
        <is>
          <t>RSU Share of Tax</t>
        </is>
      </c>
      <c r="B10" s="37" t="n">
        <v>0.584</v>
      </c>
      <c r="C10" s="29" t="inlineStr">
        <is>
          <t>Municipal records [Fn 12]</t>
        </is>
      </c>
    </row>
    <row r="11">
      <c r="A11" s="29" t="inlineStr">
        <is>
          <t>County Share of Tax</t>
        </is>
      </c>
      <c r="B11" s="37" t="n">
        <v>0.033</v>
      </c>
      <c r="C11" s="29" t="inlineStr">
        <is>
          <t>Municipal records [Fn 12]</t>
        </is>
      </c>
    </row>
    <row r="12">
      <c r="A12" s="29" t="inlineStr">
        <is>
          <t>Town Share of Tax</t>
        </is>
      </c>
      <c r="B12" s="37" t="n">
        <v>0.383</v>
      </c>
      <c r="C12" s="29" t="inlineStr">
        <is>
          <t>Municipal records [Fn 12]</t>
        </is>
      </c>
    </row>
    <row r="13">
      <c r="A13" s="29" t="inlineStr">
        <is>
          <t>Taxable Valuation</t>
        </is>
      </c>
      <c r="B13" s="48" t="n">
        <v>392398240</v>
      </c>
      <c r="C13" s="29" t="inlineStr">
        <is>
          <t>Commitment Book final total [Fn 4]</t>
        </is>
      </c>
    </row>
    <row r="14">
      <c r="A14" s="29" t="inlineStr">
        <is>
          <t>State Valuation</t>
        </is>
      </c>
      <c r="B14" s="48" t="n">
        <v>399866667</v>
      </c>
      <c r="C14" s="29" t="inlineStr">
        <is>
          <t>Budget Handbook p.10 [Fn 3]</t>
        </is>
      </c>
    </row>
    <row r="16">
      <c r="A16" s="3" t="inlineStr">
        <is>
          <t>FREEPORT</t>
        </is>
      </c>
    </row>
    <row r="17">
      <c r="A17" s="57" t="inlineStr">
        <is>
          <t>SOURCE: Freeport FY26 tax rate $13.85/thousand at 100% assessment ratio [Fn 5]</t>
        </is>
      </c>
    </row>
    <row r="18">
      <c r="A18" s="57" t="inlineStr">
        <is>
          <t>Freeport Assessor, committed 09/15/2025. https://www.freeportmaine.com/158/Assessor</t>
        </is>
      </c>
    </row>
    <row r="19">
      <c r="A19" s="57" t="inlineStr">
        <is>
          <t>Component breakdown from FY25 Budget Presentation (FY26 detail not yet public) [Fn 6]</t>
        </is>
      </c>
    </row>
    <row r="20">
      <c r="A20" s="57" t="inlineStr">
        <is>
          <t>Valuations from FY27 Budget Handbook [Fn 3].</t>
        </is>
      </c>
    </row>
    <row r="21">
      <c r="A21" s="4" t="inlineStr">
        <is>
          <t>Item</t>
        </is>
      </c>
      <c r="B21" s="4" t="inlineStr">
        <is>
          <t>Value</t>
        </is>
      </c>
      <c r="C21" s="4" t="inlineStr">
        <is>
          <t>Source Detail</t>
        </is>
      </c>
    </row>
    <row r="22">
      <c r="A22" s="29" t="inlineStr">
        <is>
          <t>Total Mil Rate</t>
        </is>
      </c>
      <c r="B22" s="61" t="n">
        <v>13.85</v>
      </c>
      <c r="C22" s="29" t="inlineStr">
        <is>
          <t>Freeport Assessor [Fn 5]</t>
        </is>
      </c>
    </row>
    <row r="23">
      <c r="A23" s="29" t="inlineStr">
        <is>
          <t>RSU Share (FY25 proxy)</t>
        </is>
      </c>
      <c r="B23" s="37" t="n">
        <v>0.716</v>
      </c>
      <c r="C23" s="29" t="inlineStr">
        <is>
          <t>FY25 Budget Presentation [Fn 6]</t>
        </is>
      </c>
    </row>
    <row r="24">
      <c r="A24" s="29" t="inlineStr">
        <is>
          <t>Taxable Valuation</t>
        </is>
      </c>
      <c r="B24" s="48" t="n">
        <v>2613679115</v>
      </c>
      <c r="C24" s="29" t="inlineStr">
        <is>
          <t>Budget Handbook [Fn 3]</t>
        </is>
      </c>
    </row>
    <row r="25">
      <c r="A25" s="29" t="inlineStr">
        <is>
          <t>State Valuation</t>
        </is>
      </c>
      <c r="B25" s="48" t="n">
        <v>2510750000</v>
      </c>
      <c r="C25" s="29" t="inlineStr">
        <is>
          <t>Budget Handbook [Fn 3]</t>
        </is>
      </c>
    </row>
    <row r="27">
      <c r="A27" s="3" t="inlineStr">
        <is>
          <t>DURHAM</t>
        </is>
      </c>
    </row>
    <row r="28">
      <c r="A28" s="57" t="inlineStr">
        <is>
          <t>SOURCE: Durham FY26 tax rate $33.58/thousand, ~53% assessment ratio [Fn 7]</t>
        </is>
      </c>
    </row>
    <row r="29">
      <c r="A29" s="57" t="inlineStr">
        <is>
          <t>Durham Assessor, committed 08/12/2025. https://durhammaine.gov/pages/assessing</t>
        </is>
      </c>
    </row>
    <row r="30">
      <c r="A30" s="57" t="inlineStr">
        <is>
          <t>Note: computed assessment ratio (taxable/state val) = 56.2%, vs. Assessor's stated ~53%.</t>
        </is>
      </c>
    </row>
    <row r="31">
      <c r="A31" s="57" t="inlineStr">
        <is>
          <t>Valuations from FY27 Budget Handbook [Fn 3].</t>
        </is>
      </c>
    </row>
    <row r="32">
      <c r="A32" s="4" t="inlineStr">
        <is>
          <t>Item</t>
        </is>
      </c>
      <c r="B32" s="4" t="inlineStr">
        <is>
          <t>Value</t>
        </is>
      </c>
      <c r="C32" s="4" t="inlineStr">
        <is>
          <t>Source Detail</t>
        </is>
      </c>
    </row>
    <row r="33">
      <c r="A33" s="29" t="inlineStr">
        <is>
          <t>Total Mil Rate</t>
        </is>
      </c>
      <c r="B33" s="61" t="n">
        <v>33.58</v>
      </c>
      <c r="C33" s="29" t="inlineStr">
        <is>
          <t>Durham Assessor [Fn 7]</t>
        </is>
      </c>
    </row>
    <row r="34">
      <c r="A34" s="29" t="inlineStr">
        <is>
          <t>Taxable Valuation</t>
        </is>
      </c>
      <c r="B34" s="48" t="n">
        <v>389646650</v>
      </c>
      <c r="C34" s="29" t="inlineStr">
        <is>
          <t>Budget Handbook [Fn 3]</t>
        </is>
      </c>
    </row>
    <row r="35">
      <c r="A35" s="29" t="inlineStr">
        <is>
          <t>State Valuation</t>
        </is>
      </c>
      <c r="B35" s="48" t="n">
        <v>692816667</v>
      </c>
      <c r="C35" s="29" t="inlineStr">
        <is>
          <t>Budget Handbook [Fn 3]</t>
        </is>
      </c>
    </row>
    <row r="37">
      <c r="A37" s="3" t="inlineStr">
        <is>
          <t>MAINE EPS FUNDING (FY25-26)</t>
        </is>
      </c>
    </row>
    <row r="38">
      <c r="A38" s="57" t="inlineStr">
        <is>
          <t>SOURCE: Maine DOE FY25-26 Warrant Article F: Education Subsidy Information (09/09/2025) [Fn 8]</t>
        </is>
      </c>
    </row>
    <row r="39">
      <c r="A39" s="57" t="inlineStr">
        <is>
          <t>URL: https://www.maine.gov/doe/sites/maine.gov.doe/files/inline-files/School%20Finance%20-%20FY25-26%20Warrant%20Article%20F%20Education%20Subsidy%20Information%20for%20Property%20Tax%20Bill%20-%209.9.2025.pdf</t>
        </is>
      </c>
    </row>
    <row r="40">
      <c r="A40" s="4" t="inlineStr">
        <is>
          <t>Town</t>
        </is>
      </c>
      <c r="B40" s="4" t="inlineStr">
        <is>
          <t>Total EPS Allocation</t>
        </is>
      </c>
      <c r="C40" s="4" t="inlineStr">
        <is>
          <t>Local Share</t>
        </is>
      </c>
      <c r="D40" s="4" t="inlineStr">
        <is>
          <t>EPS Mill Rate</t>
        </is>
      </c>
      <c r="E40" s="4" t="inlineStr">
        <is>
          <t>State Share</t>
        </is>
      </c>
    </row>
    <row r="41">
      <c r="A41" s="29" t="inlineStr">
        <is>
          <t>Pownal</t>
        </is>
      </c>
      <c r="B41" s="63" t="n">
        <v>2682828.98</v>
      </c>
      <c r="C41" s="63" t="n">
        <v>2179326.67</v>
      </c>
      <c r="D41" s="64" t="n">
        <v>6.1</v>
      </c>
      <c r="E41" s="63" t="n">
        <v>503502.31</v>
      </c>
    </row>
    <row r="42">
      <c r="A42" s="29" t="inlineStr">
        <is>
          <t>Durham</t>
        </is>
      </c>
      <c r="B42" s="63" t="n">
        <v>9123076.68</v>
      </c>
      <c r="C42" s="63" t="n">
        <v>3655120</v>
      </c>
      <c r="D42" s="64" t="n">
        <v>6.1</v>
      </c>
      <c r="E42" s="63" t="n">
        <v>5467956.68</v>
      </c>
    </row>
    <row r="43">
      <c r="A43" s="29" t="inlineStr">
        <is>
          <t>Freeport</t>
        </is>
      </c>
      <c r="B43" s="63" t="n">
        <v>15033673.3</v>
      </c>
      <c r="C43" s="63" t="n">
        <v>13799840.67</v>
      </c>
      <c r="D43" s="64" t="n">
        <v>5.95</v>
      </c>
      <c r="E43" s="63" t="n">
        <v>1233832.63</v>
      </c>
    </row>
  </sheetData>
  <mergeCells count="14">
    <mergeCell ref="A38:F38"/>
    <mergeCell ref="A28:F28"/>
    <mergeCell ref="A19:F19"/>
    <mergeCell ref="A5:F5"/>
    <mergeCell ref="A31:F31"/>
    <mergeCell ref="A6:F6"/>
    <mergeCell ref="A17:F17"/>
    <mergeCell ref="A18:F18"/>
    <mergeCell ref="A4:F4"/>
    <mergeCell ref="A20:F20"/>
    <mergeCell ref="A30:F30"/>
    <mergeCell ref="A39:F39"/>
    <mergeCell ref="A29:F29"/>
    <mergeCell ref="A7:F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FC000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16" customWidth="1" min="4" max="4"/>
    <col width="50" customWidth="1" min="5" max="5"/>
  </cols>
  <sheetData>
    <row r="1">
      <c r="A1" s="1" t="inlineStr">
        <is>
          <t>INPUT: Early Childhood (CDS Transition) Costs</t>
        </is>
      </c>
    </row>
    <row r="3">
      <c r="A3" s="57" t="inlineStr">
        <is>
          <t>SOURCE: RSU 5 Service Model Options PK3, presented at Dec 18, 2025 Task Force meeting [Fn 19]</t>
        </is>
      </c>
    </row>
    <row r="4">
      <c r="A4" s="57" t="inlineStr">
        <is>
          <t>URL: https://www.rsu5.org/fs/resource-manager/view/da1426f4-8cc1-4b09-bd89-477da9c623ed</t>
        </is>
      </c>
    </row>
    <row r="5">
      <c r="A5" s="57" t="inlineStr">
        <is>
          <t>Task Force membership and schedule: https://www.rsu5.org/quick-links/early-childhood-planning-cds [Fn 18]</t>
        </is>
      </c>
    </row>
    <row r="6">
      <c r="A6" s="57" t="inlineStr">
        <is>
          <t>EC mandate: Portland Press Herald, 10/02/2025 [Fn 17]. Deadline: July 1, 2028 statewide;</t>
        </is>
      </c>
    </row>
    <row r="7">
      <c r="A7" s="57" t="inlineStr">
        <is>
          <t>RSU 5 committed to Cohort 3 (July 2027) per Superintendent's 02/11/2026 presentation [Fn 10].</t>
        </is>
      </c>
    </row>
    <row r="8">
      <c r="A8" s="57" t="inlineStr">
        <is>
          <t>NOTE: EC costs are FY28 expenses (begin July 2027). They do NOT appear in the FY27 budget.</t>
        </is>
      </c>
    </row>
    <row r="10">
      <c r="A10" s="3" t="inlineStr">
        <is>
          <t>Option 1: School-Based with SpEd Classroom (Task Force Recommended)</t>
        </is>
      </c>
    </row>
    <row r="11">
      <c r="A11" s="4" t="inlineStr">
        <is>
          <t>Position</t>
        </is>
      </c>
      <c r="B11" s="4" t="inlineStr">
        <is>
          <t>Unit Cost</t>
        </is>
      </c>
      <c r="C11" s="4" t="inlineStr">
        <is>
          <t>Count</t>
        </is>
      </c>
      <c r="D11" s="4" t="inlineStr">
        <is>
          <t>Total</t>
        </is>
      </c>
    </row>
    <row r="12">
      <c r="A12" s="29" t="inlineStr">
        <is>
          <t>ECSE Coordinator (Asst. Director)</t>
        </is>
      </c>
      <c r="B12" s="48" t="n">
        <v>176000</v>
      </c>
      <c r="C12" s="29" t="n">
        <v>1</v>
      </c>
      <c r="D12" s="48" t="n">
        <v>176000</v>
      </c>
    </row>
    <row r="13">
      <c r="A13" s="29" t="inlineStr">
        <is>
          <t>Office Support / Transport Coord.</t>
        </is>
      </c>
      <c r="B13" s="48" t="n">
        <v>105000</v>
      </c>
      <c r="C13" s="29" t="n">
        <v>1</v>
      </c>
      <c r="D13" s="48" t="n">
        <v>105000</v>
      </c>
    </row>
    <row r="14">
      <c r="A14" s="29" t="inlineStr">
        <is>
          <t>SpEd Teacher (282B)</t>
        </is>
      </c>
      <c r="B14" s="48" t="n">
        <v>144000</v>
      </c>
      <c r="C14" s="29" t="n">
        <v>1</v>
      </c>
      <c r="D14" s="48" t="n">
        <v>144000</v>
      </c>
    </row>
    <row r="15">
      <c r="A15" s="29" t="inlineStr">
        <is>
          <t>Ed Techs</t>
        </is>
      </c>
      <c r="B15" s="48" t="n">
        <v>53000</v>
      </c>
      <c r="C15" s="29" t="n">
        <v>3</v>
      </c>
      <c r="D15" s="48" t="n">
        <v>159000</v>
      </c>
    </row>
    <row r="16">
      <c r="A16" s="29" t="inlineStr">
        <is>
          <t>Speech-Language Pathologist</t>
        </is>
      </c>
      <c r="B16" s="48" t="n">
        <v>177000</v>
      </c>
      <c r="C16" s="29" t="n">
        <v>1</v>
      </c>
      <c r="D16" s="48" t="n">
        <v>177000</v>
      </c>
    </row>
    <row r="17">
      <c r="A17" s="29" t="inlineStr">
        <is>
          <t>Social Worker</t>
        </is>
      </c>
      <c r="B17" s="48" t="n">
        <v>177000</v>
      </c>
      <c r="C17" s="29" t="n">
        <v>1</v>
      </c>
      <c r="D17" s="48" t="n">
        <v>177000</v>
      </c>
    </row>
    <row r="18">
      <c r="A18" s="29" t="inlineStr">
        <is>
          <t>Driver Hours</t>
        </is>
      </c>
      <c r="B18" s="48" t="n">
        <v>13000</v>
      </c>
      <c r="C18" s="29" t="n">
        <v>1</v>
      </c>
      <c r="D18" s="48" t="n">
        <v>13000</v>
      </c>
    </row>
    <row r="19">
      <c r="A19" s="29" t="inlineStr">
        <is>
          <t>Contractors (Psych, TOD, TVI, etc.)</t>
        </is>
      </c>
      <c r="B19" s="48" t="n">
        <v>177000</v>
      </c>
      <c r="C19" s="29" t="n">
        <v>1</v>
      </c>
      <c r="D19" s="48" t="n">
        <v>177000</v>
      </c>
    </row>
    <row r="21">
      <c r="A21" s="29" t="inlineStr">
        <is>
          <t>Equipment (van, tech, assessments)</t>
        </is>
      </c>
      <c r="D21" s="48" t="n">
        <v>61644</v>
      </c>
    </row>
    <row r="23">
      <c r="A23" s="3" t="inlineStr">
        <is>
          <t>Estimated State/Federal Offsets</t>
        </is>
      </c>
    </row>
    <row r="24">
      <c r="A24" s="57" t="inlineStr">
        <is>
          <t>CDS budget transfer: State transfers existing CDS funding per child served [Fn 17].</t>
        </is>
      </c>
    </row>
    <row r="25">
      <c r="A25" s="57" t="inlineStr">
        <is>
          <t>IDEA Part B: Federal special ed dollars follow children to districts (federal guidelines).</t>
        </is>
      </c>
    </row>
    <row r="26">
      <c r="A26" s="57" t="inlineStr">
        <is>
          <t>EPS PreK subsidy: Maine DOE Public Pre-K Guidebook (01/21/2025) [Fn 15].</t>
        </is>
      </c>
    </row>
    <row r="27">
      <c r="A27" s="57" t="inlineStr">
        <is>
          <t>NOTE: These are estimated ranges. Actual amounts depend on enrollment and state allocations.</t>
        </is>
      </c>
    </row>
    <row r="28">
      <c r="A28" s="4" t="inlineStr">
        <is>
          <t>Offset Source</t>
        </is>
      </c>
      <c r="B28" s="4" t="inlineStr">
        <is>
          <t>Low Estimate</t>
        </is>
      </c>
      <c r="C28" s="4" t="inlineStr">
        <is>
          <t>High Estimate</t>
        </is>
      </c>
    </row>
    <row r="29">
      <c r="A29" s="29" t="inlineStr">
        <is>
          <t>CDS budget transfer to districts [Fn 17]</t>
        </is>
      </c>
      <c r="B29" s="48" t="n">
        <v>200000</v>
      </c>
      <c r="C29" s="48" t="n">
        <v>400000</v>
      </c>
    </row>
    <row r="30">
      <c r="A30" s="29" t="inlineStr">
        <is>
          <t>IDEA Part B (federal 3-5 funding)</t>
        </is>
      </c>
      <c r="B30" s="48" t="n">
        <v>100000</v>
      </c>
      <c r="C30" s="48" t="n">
        <v>150000</v>
      </c>
    </row>
    <row r="31">
      <c r="A31" s="29" t="inlineStr">
        <is>
          <t>EPS subsidy for PreK students [Fn 15]</t>
        </is>
      </c>
      <c r="B31" s="48" t="n">
        <v>50000</v>
      </c>
      <c r="C31" s="48" t="n">
        <v>100000</v>
      </c>
    </row>
  </sheetData>
  <mergeCells count="10">
    <mergeCell ref="A24:F24"/>
    <mergeCell ref="A5:F5"/>
    <mergeCell ref="A27:F27"/>
    <mergeCell ref="A8:F8"/>
    <mergeCell ref="A26:F26"/>
    <mergeCell ref="A6:F6"/>
    <mergeCell ref="A4:F4"/>
    <mergeCell ref="A3:F3"/>
    <mergeCell ref="A7:F7"/>
    <mergeCell ref="A25:F2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FFC000"/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60" customWidth="1" min="3" max="3"/>
  </cols>
  <sheetData>
    <row r="1">
      <c r="A1" s="1" t="inlineStr">
        <is>
          <t>INPUT: Analyst Assumptions &amp; Estimates</t>
        </is>
      </c>
    </row>
    <row r="3">
      <c r="A3" s="57" t="inlineStr">
        <is>
          <t>These are assumptions used in scenario modeling. They are NOT from official RSU 5 documents.</t>
        </is>
      </c>
    </row>
    <row r="4">
      <c r="A4" s="57" t="inlineStr">
        <is>
          <t>Each assumption is sourced where possible; otherwise marked as analyst estimate.</t>
        </is>
      </c>
    </row>
    <row r="5">
      <c r="A5" s="57" t="inlineStr">
        <is>
          <t>Users should adjust these values to test sensitivity of results.</t>
        </is>
      </c>
    </row>
    <row r="7">
      <c r="A7" s="4" t="inlineStr">
        <is>
          <t>Assumption</t>
        </is>
      </c>
      <c r="B7" s="4" t="inlineStr">
        <is>
          <t>Value</t>
        </is>
      </c>
      <c r="C7" s="4" t="inlineStr">
        <is>
          <t>Source / Rationale</t>
        </is>
      </c>
    </row>
    <row r="8">
      <c r="A8" s="29" t="inlineStr">
        <is>
          <t>Cost per FTE (salary + benefits)</t>
        </is>
      </c>
      <c r="B8" s="48" t="n">
        <v>107700</v>
      </c>
      <c r="C8" s="29" t="inlineStr">
        <is>
          <t>Derived from budget articles average compensation [Fn 2]</t>
        </is>
      </c>
    </row>
    <row r="9">
      <c r="A9" s="29" t="inlineStr">
        <is>
          <t>7-8 target class size</t>
        </is>
      </c>
      <c r="B9" s="29" t="n">
        <v>22</v>
      </c>
      <c r="C9" s="29" t="inlineStr">
        <is>
          <t>RSU 5 current middle school practice [Fn 1]</t>
        </is>
      </c>
    </row>
    <row r="10">
      <c r="A10" s="29" t="inlineStr">
        <is>
          <t>6th grade target class size</t>
        </is>
      </c>
      <c r="B10" s="29" t="n">
        <v>20</v>
      </c>
      <c r="C10" s="29" t="inlineStr">
        <is>
          <t>Upper elementary norm; lower than MS to reflect transition year</t>
        </is>
      </c>
    </row>
    <row r="11">
      <c r="A11" s="29" t="inlineStr">
        <is>
          <t>Extracurricular consolidation savings</t>
        </is>
      </c>
      <c r="B11" s="48" t="n">
        <v>40000</v>
      </c>
      <c r="C11" s="29" t="inlineStr">
        <is>
          <t>Analyst estimate: consolidated athletics/activities for 7-8</t>
        </is>
      </c>
    </row>
    <row r="12">
      <c r="A12" s="29" t="inlineStr">
        <is>
          <t>Bus route cost (standard, annual)</t>
        </is>
      </c>
      <c r="B12" s="48" t="n">
        <v>75000</v>
      </c>
      <c r="C12" s="29" t="inlineStr">
        <is>
          <t>Analyst estimate: driver + fuel + maintenance per route</t>
        </is>
      </c>
    </row>
    <row r="13">
      <c r="A13" s="29" t="inlineStr">
        <is>
          <t>Freeport 6th to DCS routes needed</t>
        </is>
      </c>
      <c r="B13" s="29" t="n">
        <v>2</v>
      </c>
      <c r="C13" s="29" t="inlineStr">
        <is>
          <t>~101 students, ~9 miles; 2 bus routes required</t>
        </is>
      </c>
    </row>
    <row r="14">
      <c r="A14" s="29" t="inlineStr">
        <is>
          <t>Pownal K-6 to DCS routes needed (Path B)</t>
        </is>
      </c>
      <c r="B14" s="29" t="n">
        <v>3</v>
      </c>
      <c r="C14" s="29" t="inlineStr">
        <is>
          <t>~104 students from rural Pownal, ~11 miles</t>
        </is>
      </c>
    </row>
    <row r="15">
      <c r="A15" s="29" t="inlineStr">
        <is>
          <t>Freeport PreK to PES routes needed (Path B)</t>
        </is>
      </c>
      <c r="B15" s="29" t="n">
        <v>3</v>
      </c>
      <c r="C15" s="29" t="inlineStr">
        <is>
          <t>~64 students, specialized vehicles, ~13 miles</t>
        </is>
      </c>
    </row>
    <row r="16">
      <c r="A16" s="29" t="inlineStr">
        <is>
          <t>Durham PreK to PES routes needed (Path B)</t>
        </is>
      </c>
      <c r="B16" s="29" t="n">
        <v>2</v>
      </c>
      <c r="C16" s="29" t="inlineStr">
        <is>
          <t>~48 students, specialized vehicles, ~11 miles</t>
        </is>
      </c>
    </row>
    <row r="17">
      <c r="A17" s="29" t="inlineStr">
        <is>
          <t>PES partial conversion cost (Path B)</t>
        </is>
      </c>
      <c r="B17" s="48" t="n">
        <v>425000</v>
      </c>
      <c r="C17" s="29" t="inlineStr">
        <is>
          <t>K-5 to EC; bathrooms, playground, plumbing [Fn 21][Fn 24]</t>
        </is>
      </c>
    </row>
    <row r="18">
      <c r="A18" s="29" t="inlineStr">
        <is>
          <t>PES full conversion multiplier</t>
        </is>
      </c>
      <c r="B18" s="62" t="n">
        <v>1.75</v>
      </c>
      <c r="C18" s="29" t="inlineStr">
        <is>
          <t>Full EC center requires most rooms converted vs. partial</t>
        </is>
      </c>
    </row>
    <row r="19">
      <c r="A19" s="29" t="inlineStr">
        <is>
          <t>Conversion amortization period (years)</t>
        </is>
      </c>
      <c r="B19" s="29" t="n">
        <v>10</v>
      </c>
      <c r="C19" s="29" t="inlineStr">
        <is>
          <t>Standard capital project amortization</t>
        </is>
      </c>
    </row>
    <row r="20">
      <c r="A20" s="29" t="inlineStr">
        <is>
          <t>DCS multi-community coordination cost</t>
        </is>
      </c>
      <c r="B20" s="48" t="n">
        <v>75000</v>
      </c>
      <c r="C20" s="29" t="inlineStr">
        <is>
          <t>Analyst estimate: admin time for Pownal family integration</t>
        </is>
      </c>
    </row>
    <row r="21">
      <c r="A21" s="29" t="inlineStr">
        <is>
          <t>Support services efficiency (PES closure)</t>
        </is>
      </c>
      <c r="B21" s="37" t="n">
        <v>0.5</v>
      </c>
      <c r="C21" s="29" t="inlineStr">
        <is>
          <t>50% of PES Art 5 saved; remainder transfers to receiving schools</t>
        </is>
      </c>
    </row>
    <row r="22">
      <c r="A22" s="29" t="inlineStr">
        <is>
          <t>Additional efficiencies (Path A, low)</t>
        </is>
      </c>
      <c r="B22" s="48" t="n">
        <v>325000</v>
      </c>
      <c r="C22" s="29" t="inlineStr">
        <is>
          <t>Transport optimization, facilities phasing, attrition</t>
        </is>
      </c>
    </row>
    <row r="23">
      <c r="A23" s="29" t="inlineStr">
        <is>
          <t>Additional efficiencies (Path A, high)</t>
        </is>
      </c>
      <c r="B23" s="48" t="n">
        <v>650000</v>
      </c>
      <c r="C23" s="29" t="inlineStr">
        <is>
          <t>Same levers, optimistic scenario</t>
        </is>
      </c>
    </row>
    <row r="24">
      <c r="A24" s="29" t="inlineStr">
        <is>
          <t>Population: Pownal [Fn 13]</t>
        </is>
      </c>
      <c r="B24" s="48" t="n">
        <v>1590</v>
      </c>
      <c r="C24" s="29" t="inlineStr">
        <is>
          <t>Census/ACS 2023 estimate</t>
        </is>
      </c>
    </row>
    <row r="25">
      <c r="A25" s="29" t="inlineStr">
        <is>
          <t>Population: Durham [Fn 13]</t>
        </is>
      </c>
      <c r="B25" s="48" t="n">
        <v>4339</v>
      </c>
      <c r="C25" s="29" t="inlineStr">
        <is>
          <t>Census/ACS 2023 estimate</t>
        </is>
      </c>
    </row>
    <row r="26">
      <c r="A26" s="29" t="inlineStr">
        <is>
          <t>Population: Freeport [Fn 13]</t>
        </is>
      </c>
      <c r="B26" s="48" t="n">
        <v>8771</v>
      </c>
      <c r="C26" s="29" t="inlineStr">
        <is>
          <t>Census/ACS 2023 estimate</t>
        </is>
      </c>
    </row>
    <row r="27">
      <c r="A27" s="29" t="inlineStr">
        <is>
          <t>Birth rate per 1,000 [Fn 14]</t>
        </is>
      </c>
      <c r="B27" s="62" t="n">
        <v>9.5</v>
      </c>
      <c r="C27" s="29" t="inlineStr">
        <is>
          <t>Cumberland/Androscoggin County avg, CDC WONDER</t>
        </is>
      </c>
    </row>
  </sheetData>
  <mergeCells count="3">
    <mergeCell ref="A3:F3"/>
    <mergeCell ref="A5:F5"/>
    <mergeCell ref="A4:F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FFC000"/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INPUT: FY27 Proposed Budget Reductions</t>
        </is>
      </c>
    </row>
    <row r="3">
      <c r="A3" s="57" t="inlineStr">
        <is>
          <t>SOURCE: FY27 Budget Handbook, pp.6-7 Expenditure/Reductions Summary (02/11/2026) [Fn 25]</t>
        </is>
      </c>
    </row>
    <row r="4">
      <c r="A4" s="57" t="inlineStr">
        <is>
          <t>URL: https://resources.finalsite.net/images/v1770852522/rsu5org/ytm49nnwpbrzi4oiwg4i/FY27BUDGETHANDBOOK02112026.pdf</t>
        </is>
      </c>
    </row>
    <row r="5">
      <c r="A5" s="57" t="inlineStr">
        <is>
          <t>These reductions are ALREADY INCLUDED in the $47,357,441 proposed budget.</t>
        </is>
      </c>
    </row>
    <row r="6">
      <c r="A6" s="57" t="inlineStr">
        <is>
          <t>The initial request was $49,148,089 (10.55% increase). Reductions bring it to 6.53%.</t>
        </is>
      </c>
    </row>
    <row r="7">
      <c r="A7" s="57" t="inlineStr">
        <is>
          <t>Rating: M=Maintenance, N=Necessary, R=Recommended, T1=Tier 1 Cut, T2=Tier 2 Cut.</t>
        </is>
      </c>
    </row>
    <row r="9">
      <c r="A9" s="3" t="inlineStr">
        <is>
          <t>Budget Timeline</t>
        </is>
      </c>
    </row>
    <row r="10">
      <c r="A10" s="2" t="inlineStr">
        <is>
          <t>Board Adopts FY27 Budget: March 25, 2026</t>
        </is>
      </c>
    </row>
    <row r="11">
      <c r="A11" s="2" t="inlineStr">
        <is>
          <t>Annual Budget Meeting (voter vote): May 13, 2026</t>
        </is>
      </c>
    </row>
    <row r="12">
      <c r="A12" s="2" t="inlineStr">
        <is>
          <t>Budget Validation Referendum: June 19, 2026</t>
        </is>
      </c>
    </row>
    <row r="13">
      <c r="A13" s="2" t="inlineStr">
        <is>
          <t>EC Cohort 3 deadline: July 1, 2027 (FY28, not FY27)</t>
        </is>
      </c>
    </row>
    <row r="15">
      <c r="A15" s="3" t="inlineStr">
        <is>
          <t>Initial Request vs. Proposed</t>
        </is>
      </c>
    </row>
    <row r="16">
      <c r="A16" s="4" t="inlineStr">
        <is>
          <t>Item</t>
        </is>
      </c>
      <c r="B16" s="4" t="inlineStr">
        <is>
          <t>Amount</t>
        </is>
      </c>
    </row>
    <row r="17">
      <c r="A17" s="29" t="inlineStr">
        <is>
          <t>Initial request increase (10.55%)</t>
        </is>
      </c>
      <c r="B17" s="48" t="n">
        <v>4692160</v>
      </c>
    </row>
    <row r="18">
      <c r="A18" s="29" t="inlineStr">
        <is>
          <t>Total reductions applied</t>
        </is>
      </c>
      <c r="B18" s="65" t="n">
        <v>-1715649</v>
      </c>
    </row>
    <row r="19">
      <c r="A19" s="29" t="inlineStr">
        <is>
          <t>Redirected to reserves</t>
        </is>
      </c>
      <c r="B19" s="65" t="n">
        <v>-75000</v>
      </c>
    </row>
    <row r="20">
      <c r="A20" s="29" t="inlineStr">
        <is>
          <t>NET proposed increase (6.53%)</t>
        </is>
      </c>
      <c r="B20" s="48" t="n">
        <v>2901512</v>
      </c>
    </row>
    <row r="22">
      <c r="A22" s="3" t="inlineStr">
        <is>
          <t>Tier 1 Reductions (Staff Positions)</t>
        </is>
      </c>
    </row>
    <row r="23">
      <c r="A23" s="4" t="inlineStr">
        <is>
          <t>Tier</t>
        </is>
      </c>
      <c r="B23" s="4" t="inlineStr">
        <is>
          <t>Description</t>
        </is>
      </c>
      <c r="C23" s="4" t="inlineStr">
        <is>
          <t>School</t>
        </is>
      </c>
      <c r="D23" s="4" t="inlineStr">
        <is>
          <t>Initial</t>
        </is>
      </c>
      <c r="E23" s="4" t="inlineStr">
        <is>
          <t>Reduction</t>
        </is>
      </c>
      <c r="F23" s="4" t="inlineStr">
        <is>
          <t>Proposed</t>
        </is>
      </c>
    </row>
    <row r="24">
      <c r="A24" s="29" t="inlineStr">
        <is>
          <t>T1</t>
        </is>
      </c>
      <c r="B24" s="29" t="inlineStr">
        <is>
          <t>1 FTE Grade 1 Educator</t>
        </is>
      </c>
      <c r="C24" s="29" t="inlineStr">
        <is>
          <t>DCS</t>
        </is>
      </c>
      <c r="D24" s="48" t="n">
        <v>0</v>
      </c>
      <c r="E24" s="65" t="n">
        <v>-107700</v>
      </c>
      <c r="F24" s="65" t="n">
        <v>-107700</v>
      </c>
    </row>
    <row r="25">
      <c r="A25" s="29" t="inlineStr">
        <is>
          <t>T1</t>
        </is>
      </c>
      <c r="B25" s="29" t="inlineStr">
        <is>
          <t>1 FTE Grade 2 Educator</t>
        </is>
      </c>
      <c r="C25" s="29" t="inlineStr">
        <is>
          <t>MSS</t>
        </is>
      </c>
      <c r="D25" s="48" t="n">
        <v>0</v>
      </c>
      <c r="E25" s="65" t="n">
        <v>-107700</v>
      </c>
      <c r="F25" s="65" t="n">
        <v>-107700</v>
      </c>
    </row>
    <row r="26">
      <c r="A26" s="29" t="inlineStr">
        <is>
          <t>T1</t>
        </is>
      </c>
      <c r="B26" s="29" t="inlineStr">
        <is>
          <t>1 FTE Grade 3 Educator</t>
        </is>
      </c>
      <c r="C26" s="29" t="inlineStr">
        <is>
          <t>MLS</t>
        </is>
      </c>
      <c r="D26" s="48" t="n">
        <v>0</v>
      </c>
      <c r="E26" s="65" t="n">
        <v>-107700</v>
      </c>
      <c r="F26" s="65" t="n">
        <v>-107700</v>
      </c>
    </row>
    <row r="27">
      <c r="A27" s="29" t="inlineStr">
        <is>
          <t>T1</t>
        </is>
      </c>
      <c r="B27" s="29" t="inlineStr">
        <is>
          <t>.25 FTE Math RTI Educator</t>
        </is>
      </c>
      <c r="C27" s="29" t="inlineStr">
        <is>
          <t>FMS</t>
        </is>
      </c>
      <c r="D27" s="48" t="n">
        <v>0</v>
      </c>
      <c r="E27" s="65" t="n">
        <v>-26925</v>
      </c>
      <c r="F27" s="65" t="n">
        <v>-26925</v>
      </c>
    </row>
    <row r="28">
      <c r="A28" s="29" t="inlineStr">
        <is>
          <t>T1</t>
        </is>
      </c>
      <c r="B28" s="29" t="inlineStr">
        <is>
          <t>16.25hr Office Support</t>
        </is>
      </c>
      <c r="C28" s="29" t="inlineStr">
        <is>
          <t>FMS</t>
        </is>
      </c>
      <c r="D28" s="48" t="n">
        <v>0</v>
      </c>
      <c r="E28" s="65" t="n">
        <v>-26756</v>
      </c>
      <c r="F28" s="65" t="n">
        <v>-26756</v>
      </c>
    </row>
    <row r="29">
      <c r="A29" s="29" t="inlineStr">
        <is>
          <t>T1</t>
        </is>
      </c>
      <c r="B29" s="29" t="inlineStr">
        <is>
          <t>.5 FTE ELA Educator</t>
        </is>
      </c>
      <c r="C29" s="29" t="inlineStr">
        <is>
          <t>FMS</t>
        </is>
      </c>
      <c r="D29" s="48" t="n">
        <v>0</v>
      </c>
      <c r="E29" s="65" t="n">
        <v>-53850</v>
      </c>
      <c r="F29" s="65" t="n">
        <v>-53850</v>
      </c>
    </row>
    <row r="30">
      <c r="A30" s="29" t="inlineStr">
        <is>
          <t>T1</t>
        </is>
      </c>
      <c r="B30" s="29" t="inlineStr">
        <is>
          <t>.25 FTE ELA Educator</t>
        </is>
      </c>
      <c r="C30" s="29" t="inlineStr">
        <is>
          <t>FMS</t>
        </is>
      </c>
      <c r="D30" s="48" t="n">
        <v>0</v>
      </c>
      <c r="E30" s="65" t="n">
        <v>-26925</v>
      </c>
      <c r="F30" s="65" t="n">
        <v>-26925</v>
      </c>
    </row>
    <row r="31">
      <c r="A31" s="29" t="inlineStr">
        <is>
          <t>T1</t>
        </is>
      </c>
      <c r="B31" s="29" t="inlineStr">
        <is>
          <t>1 FTE French Educator</t>
        </is>
      </c>
      <c r="C31" s="29" t="inlineStr">
        <is>
          <t>FMS</t>
        </is>
      </c>
      <c r="D31" s="48" t="n">
        <v>0</v>
      </c>
      <c r="E31" s="65" t="n">
        <v>-107700</v>
      </c>
      <c r="F31" s="65" t="n">
        <v>-107700</v>
      </c>
    </row>
    <row r="32">
      <c r="A32" s="29" t="inlineStr">
        <is>
          <t>T1</t>
        </is>
      </c>
      <c r="B32" s="29" t="inlineStr">
        <is>
          <t>1 FTE Math Educator</t>
        </is>
      </c>
      <c r="C32" s="29" t="inlineStr">
        <is>
          <t>FHS</t>
        </is>
      </c>
      <c r="D32" s="48" t="n">
        <v>0</v>
      </c>
      <c r="E32" s="65" t="n">
        <v>-107700</v>
      </c>
      <c r="F32" s="65" t="n">
        <v>-107700</v>
      </c>
    </row>
    <row r="33">
      <c r="A33" s="29" t="inlineStr">
        <is>
          <t>T1</t>
        </is>
      </c>
      <c r="B33" s="29" t="inlineStr">
        <is>
          <t>Printing Clerk</t>
        </is>
      </c>
      <c r="C33" s="29" t="inlineStr">
        <is>
          <t>FHS</t>
        </is>
      </c>
      <c r="D33" s="48" t="n">
        <v>0</v>
      </c>
      <c r="E33" s="65" t="n">
        <v>-21738</v>
      </c>
      <c r="F33" s="65" t="n">
        <v>-21738</v>
      </c>
    </row>
    <row r="34">
      <c r="A34" s="29" t="inlineStr">
        <is>
          <t>T1</t>
        </is>
      </c>
      <c r="B34" s="29" t="inlineStr">
        <is>
          <t>1 FTE Latin Educator</t>
        </is>
      </c>
      <c r="C34" s="29" t="inlineStr">
        <is>
          <t>FHS</t>
        </is>
      </c>
      <c r="D34" s="48" t="n">
        <v>0</v>
      </c>
      <c r="E34" s="65" t="n">
        <v>-107700</v>
      </c>
      <c r="F34" s="65" t="n">
        <v>-107700</v>
      </c>
    </row>
    <row r="35">
      <c r="A35" s="29" t="inlineStr">
        <is>
          <t>T1</t>
        </is>
      </c>
      <c r="B35" s="29" t="inlineStr">
        <is>
          <t>.5 FTE Community Outreach Coord.</t>
        </is>
      </c>
      <c r="C35" s="29" t="inlineStr">
        <is>
          <t>FHS</t>
        </is>
      </c>
      <c r="D35" s="48" t="n">
        <v>0</v>
      </c>
      <c r="E35" s="65" t="n">
        <v>-57059</v>
      </c>
      <c r="F35" s="65" t="n">
        <v>-57059</v>
      </c>
    </row>
    <row r="36">
      <c r="A36" s="29" t="inlineStr">
        <is>
          <t>T1</t>
        </is>
      </c>
      <c r="B36" s="29" t="inlineStr">
        <is>
          <t>1 FTE ESOL Educator</t>
        </is>
      </c>
      <c r="C36" s="29" t="inlineStr">
        <is>
          <t>DW</t>
        </is>
      </c>
      <c r="D36" s="48" t="n">
        <v>0</v>
      </c>
      <c r="E36" s="65" t="n">
        <v>-107700</v>
      </c>
      <c r="F36" s="65" t="n">
        <v>-107700</v>
      </c>
    </row>
    <row r="38">
      <c r="A38" s="3" t="inlineStr">
        <is>
          <t>Tier 2 Reductions (Support Positions)</t>
        </is>
      </c>
    </row>
    <row r="39">
      <c r="A39" s="4" t="inlineStr">
        <is>
          <t>Tier</t>
        </is>
      </c>
      <c r="B39" s="4" t="inlineStr">
        <is>
          <t>Description</t>
        </is>
      </c>
      <c r="C39" s="4" t="inlineStr">
        <is>
          <t>School</t>
        </is>
      </c>
      <c r="D39" s="4" t="inlineStr">
        <is>
          <t>Initial</t>
        </is>
      </c>
      <c r="E39" s="4" t="inlineStr">
        <is>
          <t>Reduction</t>
        </is>
      </c>
      <c r="F39" s="4" t="inlineStr">
        <is>
          <t>Proposed</t>
        </is>
      </c>
    </row>
    <row r="40">
      <c r="A40" s="29" t="inlineStr">
        <is>
          <t>T2</t>
        </is>
      </c>
      <c r="B40" s="29" t="inlineStr">
        <is>
          <t>32.5hr Ed Tech (Bench Sub)</t>
        </is>
      </c>
      <c r="C40" s="29" t="inlineStr">
        <is>
          <t>DCS</t>
        </is>
      </c>
      <c r="D40" s="48" t="n">
        <v>0</v>
      </c>
      <c r="E40" s="65" t="n">
        <v>-52600</v>
      </c>
      <c r="F40" s="65" t="n">
        <v>-52600</v>
      </c>
    </row>
    <row r="41">
      <c r="A41" s="29" t="inlineStr">
        <is>
          <t>T2</t>
        </is>
      </c>
      <c r="B41" s="29" t="inlineStr">
        <is>
          <t>32.5hr Ed Tech (RTI)</t>
        </is>
      </c>
      <c r="C41" s="29" t="inlineStr">
        <is>
          <t>MSS</t>
        </is>
      </c>
      <c r="D41" s="48" t="n">
        <v>0</v>
      </c>
      <c r="E41" s="65" t="n">
        <v>-52600</v>
      </c>
      <c r="F41" s="65" t="n">
        <v>-52600</v>
      </c>
    </row>
    <row r="42">
      <c r="A42" s="29" t="inlineStr">
        <is>
          <t>T2</t>
        </is>
      </c>
      <c r="B42" s="29" t="inlineStr">
        <is>
          <t>32.5hr Ed Tech (RTI)</t>
        </is>
      </c>
      <c r="C42" s="29" t="inlineStr">
        <is>
          <t>MLS</t>
        </is>
      </c>
      <c r="D42" s="48" t="n">
        <v>0</v>
      </c>
      <c r="E42" s="65" t="n">
        <v>-52600</v>
      </c>
      <c r="F42" s="65" t="n">
        <v>-52600</v>
      </c>
    </row>
    <row r="43">
      <c r="A43" s="29" t="inlineStr">
        <is>
          <t>T2</t>
        </is>
      </c>
      <c r="B43" s="29" t="inlineStr">
        <is>
          <t>32.5hr Ed Tech (General Ed)</t>
        </is>
      </c>
      <c r="C43" s="29" t="inlineStr">
        <is>
          <t>FMS</t>
        </is>
      </c>
      <c r="D43" s="48" t="n">
        <v>0</v>
      </c>
      <c r="E43" s="65" t="n">
        <v>-52600</v>
      </c>
      <c r="F43" s="65" t="n">
        <v>-52600</v>
      </c>
    </row>
    <row r="44">
      <c r="A44" s="29" t="inlineStr">
        <is>
          <t>T2</t>
        </is>
      </c>
      <c r="B44" s="29" t="inlineStr">
        <is>
          <t>32.5hr Ed Tech (General Ed)</t>
        </is>
      </c>
      <c r="C44" s="29" t="inlineStr">
        <is>
          <t>FMS</t>
        </is>
      </c>
      <c r="D44" s="48" t="n">
        <v>0</v>
      </c>
      <c r="E44" s="65" t="n">
        <v>-52600</v>
      </c>
      <c r="F44" s="65" t="n">
        <v>-52600</v>
      </c>
    </row>
    <row r="45">
      <c r="A45" s="29" t="inlineStr">
        <is>
          <t>T2</t>
        </is>
      </c>
      <c r="B45" s="29" t="inlineStr">
        <is>
          <t>1 Instructional Strategist (K-5)</t>
        </is>
      </c>
      <c r="C45" s="29" t="inlineStr">
        <is>
          <t>DW</t>
        </is>
      </c>
      <c r="D45" s="48" t="n">
        <v>0</v>
      </c>
      <c r="E45" s="65" t="n">
        <v>-107700</v>
      </c>
      <c r="F45" s="65" t="n">
        <v>-107700</v>
      </c>
    </row>
    <row r="46">
      <c r="A46" s="29" t="inlineStr">
        <is>
          <t>T2</t>
        </is>
      </c>
      <c r="B46" s="29" t="inlineStr">
        <is>
          <t>School Nutrition</t>
        </is>
      </c>
      <c r="C46" s="29" t="inlineStr">
        <is>
          <t>DW</t>
        </is>
      </c>
      <c r="D46" s="48" t="n">
        <v>0</v>
      </c>
      <c r="E46" s="65" t="n">
        <v>-69796</v>
      </c>
      <c r="F46" s="65" t="n">
        <v>-69796</v>
      </c>
    </row>
    <row r="48">
      <c r="A48" s="3" t="inlineStr">
        <is>
          <t>Other Reductions</t>
        </is>
      </c>
    </row>
    <row r="49">
      <c r="A49" s="4" t="inlineStr">
        <is>
          <t>Tier</t>
        </is>
      </c>
      <c r="B49" s="4" t="inlineStr">
        <is>
          <t>Description</t>
        </is>
      </c>
      <c r="C49" s="4" t="inlineStr">
        <is>
          <t>School</t>
        </is>
      </c>
      <c r="D49" s="4" t="inlineStr">
        <is>
          <t>Initial</t>
        </is>
      </c>
      <c r="E49" s="4" t="inlineStr">
        <is>
          <t>Reduction</t>
        </is>
      </c>
      <c r="F49" s="4" t="inlineStr">
        <is>
          <t>Proposed</t>
        </is>
      </c>
    </row>
    <row r="50">
      <c r="A50" s="29" t="inlineStr">
        <is>
          <t>R/T1/T2</t>
        </is>
      </c>
      <c r="B50" s="29" t="inlineStr">
        <is>
          <t>Technology (software, devices, AV)</t>
        </is>
      </c>
      <c r="C50" s="29" t="inlineStr">
        <is>
          <t>DW</t>
        </is>
      </c>
      <c r="D50" s="48" t="n">
        <v>336758</v>
      </c>
      <c r="E50" s="65" t="n">
        <v>-250000</v>
      </c>
      <c r="F50" s="65" t="n">
        <v>86758</v>
      </c>
    </row>
    <row r="51">
      <c r="A51" s="29" t="inlineStr">
        <is>
          <t>R/T1</t>
        </is>
      </c>
      <c r="B51" s="29" t="inlineStr">
        <is>
          <t>Facilities Maintenance (paint/carpet)</t>
        </is>
      </c>
      <c r="C51" s="29" t="inlineStr">
        <is>
          <t>DW</t>
        </is>
      </c>
      <c r="D51" s="48" t="n">
        <v>116000</v>
      </c>
      <c r="E51" s="65" t="n">
        <v>-58000</v>
      </c>
      <c r="F51" s="65" t="n">
        <v>58000</v>
      </c>
    </row>
    <row r="52">
      <c r="A52" s="29" t="inlineStr">
        <is>
          <t>R</t>
        </is>
      </c>
      <c r="B52" s="29" t="inlineStr">
        <is>
          <t>Facilities Study</t>
        </is>
      </c>
      <c r="C52" s="29" t="inlineStr">
        <is>
          <t>DW</t>
        </is>
      </c>
      <c r="D52" s="48" t="n">
        <v>75000</v>
      </c>
      <c r="E52" s="65" t="n">
        <v>-75000</v>
      </c>
      <c r="F52" s="65" t="n">
        <v>0</v>
      </c>
    </row>
  </sheetData>
  <mergeCells count="5"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FFC000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INPUT: 10-Year Adopted Budget History</t>
        </is>
      </c>
    </row>
    <row r="3">
      <c r="A3" s="57" t="inlineStr">
        <is>
          <t>SOURCE: FY27 Budget Handbook, p.5 '10 Year Adopted Budget History' (02/11/2026) [Fn 25]</t>
        </is>
      </c>
    </row>
    <row r="4">
      <c r="A4" s="57" t="inlineStr">
        <is>
          <t>URL: https://resources.finalsite.net/images/v1770852522/rsu5org/ytm49nnwpbrzi4oiwg4i/FY27BUDGETHANDBOOK02112026.pdf</t>
        </is>
      </c>
    </row>
    <row r="5">
      <c r="A5" s="57" t="inlineStr">
        <is>
          <t>Used to project FY28 cost growth from FY27 adopted baseline.</t>
        </is>
      </c>
    </row>
    <row r="7">
      <c r="A7" s="4" t="inlineStr">
        <is>
          <t>FY</t>
        </is>
      </c>
      <c r="B7" s="4" t="inlineStr">
        <is>
          <t>Adopted Budget</t>
        </is>
      </c>
      <c r="C7" s="4" t="inlineStr">
        <is>
          <t>$ Increase</t>
        </is>
      </c>
      <c r="D7" s="4" t="inlineStr">
        <is>
          <t>% Increase</t>
        </is>
      </c>
    </row>
    <row r="8">
      <c r="A8" s="29" t="inlineStr">
        <is>
          <t>FY17</t>
        </is>
      </c>
      <c r="B8" s="48" t="n">
        <v>31008672</v>
      </c>
      <c r="C8" s="48" t="n">
        <v>1518469</v>
      </c>
      <c r="D8" s="66" t="n">
        <v>0.0515</v>
      </c>
    </row>
    <row r="9">
      <c r="A9" s="29" t="inlineStr">
        <is>
          <t>FY18</t>
        </is>
      </c>
      <c r="B9" s="48" t="n">
        <v>32310685</v>
      </c>
      <c r="C9" s="48" t="n">
        <v>1302013</v>
      </c>
      <c r="D9" s="66" t="n">
        <v>0.042</v>
      </c>
    </row>
    <row r="10">
      <c r="A10" s="29" t="inlineStr">
        <is>
          <t>FY19</t>
        </is>
      </c>
      <c r="B10" s="48" t="n">
        <v>33058025</v>
      </c>
      <c r="C10" s="48" t="n">
        <v>747340</v>
      </c>
      <c r="D10" s="66" t="n">
        <v>0.0231</v>
      </c>
    </row>
    <row r="11">
      <c r="A11" s="29" t="inlineStr">
        <is>
          <t>FY20</t>
        </is>
      </c>
      <c r="B11" s="48" t="n">
        <v>34192295</v>
      </c>
      <c r="C11" s="48" t="n">
        <v>1134270</v>
      </c>
      <c r="D11" s="66" t="n">
        <v>0.0343</v>
      </c>
    </row>
    <row r="12">
      <c r="A12" s="29" t="inlineStr">
        <is>
          <t>FY21</t>
        </is>
      </c>
      <c r="B12" s="48" t="n">
        <v>34984700</v>
      </c>
      <c r="C12" s="48" t="n">
        <v>792405</v>
      </c>
      <c r="D12" s="66" t="n">
        <v>0.0232</v>
      </c>
    </row>
    <row r="13">
      <c r="A13" s="29" t="inlineStr">
        <is>
          <t>FY22</t>
        </is>
      </c>
      <c r="B13" s="48" t="n">
        <v>35714863</v>
      </c>
      <c r="C13" s="48" t="n">
        <v>730163</v>
      </c>
      <c r="D13" s="66" t="n">
        <v>0.0209</v>
      </c>
    </row>
    <row r="14">
      <c r="A14" s="29" t="inlineStr">
        <is>
          <t>FY23</t>
        </is>
      </c>
      <c r="B14" s="48" t="n">
        <v>37223151</v>
      </c>
      <c r="C14" s="48" t="n">
        <v>1508288</v>
      </c>
      <c r="D14" s="66" t="n">
        <v>0.0422</v>
      </c>
    </row>
    <row r="15">
      <c r="A15" s="29" t="inlineStr">
        <is>
          <t>FY24</t>
        </is>
      </c>
      <c r="B15" s="48" t="n">
        <v>39080569</v>
      </c>
      <c r="C15" s="48" t="n">
        <v>1857418</v>
      </c>
      <c r="D15" s="66" t="n">
        <v>0.0499</v>
      </c>
    </row>
    <row r="16">
      <c r="A16" s="29" t="inlineStr">
        <is>
          <t>FY25</t>
        </is>
      </c>
      <c r="B16" s="48" t="n">
        <v>41612460</v>
      </c>
      <c r="C16" s="48" t="n">
        <v>2531891</v>
      </c>
      <c r="D16" s="66" t="n">
        <v>0.0648</v>
      </c>
    </row>
    <row r="17">
      <c r="A17" s="29" t="inlineStr">
        <is>
          <t>FY26</t>
        </is>
      </c>
      <c r="B17" s="48" t="n">
        <v>44455929</v>
      </c>
      <c r="C17" s="48" t="n">
        <v>2843469</v>
      </c>
      <c r="D17" s="66" t="n">
        <v>0.0683</v>
      </c>
    </row>
  </sheetData>
  <mergeCells count="3">
    <mergeCell ref="A3:F3"/>
    <mergeCell ref="A5:F5"/>
    <mergeCell ref="A4:F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FFC000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INPUT: Teacher FTE by School &amp; Grade Band</t>
        </is>
      </c>
    </row>
    <row r="3">
      <c r="A3" s="57" t="inlineStr">
        <is>
          <t>SOURCE: FY27 Budget Handbook, p.4 Teacher/Class Size table (02/11/2026) [Fn 1]</t>
        </is>
      </c>
    </row>
    <row r="4">
      <c r="A4" s="57" t="inlineStr">
        <is>
          <t>NOTE: These are PROPOSED FY27 staffing levels. T1/T2 cuts are already reflected.</t>
        </is>
      </c>
    </row>
    <row r="5">
      <c r="A5" s="57" t="inlineStr">
        <is>
          <t>FTE figures include classroom teachers only (not aides, specialists, or admin).</t>
        </is>
      </c>
    </row>
    <row r="6">
      <c r="A6" s="57" t="inlineStr">
        <is>
          <t>Grade-band detail for FMS and DCS drives the middle school consolidation model.</t>
        </is>
      </c>
    </row>
    <row r="8">
      <c r="A8" s="3" t="inlineStr">
        <is>
          <t>School-Level Teacher FTE (Proposed FY27)</t>
        </is>
      </c>
    </row>
    <row r="9">
      <c r="A9" s="4" t="inlineStr">
        <is>
          <t>School</t>
        </is>
      </c>
      <c r="B9" s="4" t="inlineStr">
        <is>
          <t>Grades</t>
        </is>
      </c>
      <c r="C9" s="4" t="inlineStr">
        <is>
          <t>Enrollment</t>
        </is>
      </c>
      <c r="D9" s="4" t="inlineStr">
        <is>
          <t>Teacher FTE</t>
        </is>
      </c>
      <c r="E9" s="4" t="inlineStr">
        <is>
          <t>Notes</t>
        </is>
      </c>
    </row>
    <row r="10">
      <c r="A10" s="29" t="inlineStr">
        <is>
          <t>PES (Pownal Elementary)</t>
        </is>
      </c>
      <c r="B10" s="29" t="inlineStr">
        <is>
          <t>PreK-5</t>
        </is>
      </c>
      <c r="C10" s="48" t="n">
        <v>105</v>
      </c>
      <c r="D10" s="64" t="n">
        <v>6.5</v>
      </c>
      <c r="E10" s="29" t="inlineStr">
        <is>
          <t>Verified from grade-level data (I-Enrollment 1B)</t>
        </is>
      </c>
    </row>
    <row r="11">
      <c r="A11" s="29" t="inlineStr">
        <is>
          <t>DCS (Durham Community)</t>
        </is>
      </c>
      <c r="B11" s="29" t="inlineStr">
        <is>
          <t>PreK-8</t>
        </is>
      </c>
      <c r="C11" s="48" t="n">
        <v>467</v>
      </c>
      <c r="D11" s="64" t="n">
        <v>26.5</v>
      </c>
      <c r="E11" s="29" t="inlineStr">
        <is>
          <t>Includes PreK through 8; T1: -1 Grade 1 educator</t>
        </is>
      </c>
    </row>
    <row r="12">
      <c r="A12" s="29" t="inlineStr">
        <is>
          <t>MSS (Morse Street)</t>
        </is>
      </c>
      <c r="B12" s="29" t="inlineStr">
        <is>
          <t>PreK-2</t>
        </is>
      </c>
      <c r="C12" s="48" t="n">
        <v>274</v>
      </c>
      <c r="D12" s="64" t="n">
        <v>14</v>
      </c>
      <c r="E12" s="29" t="inlineStr">
        <is>
          <t>T1: -1 Grade 2 educator; T2: -1 Ed Tech</t>
        </is>
      </c>
    </row>
    <row r="13">
      <c r="A13" s="29" t="inlineStr">
        <is>
          <t>MLS (Mast Landing)</t>
        </is>
      </c>
      <c r="B13" s="29" t="inlineStr">
        <is>
          <t>3-5</t>
        </is>
      </c>
      <c r="C13" s="48" t="n">
        <v>264</v>
      </c>
      <c r="D13" s="64" t="n">
        <v>14</v>
      </c>
      <c r="E13" s="29" t="inlineStr">
        <is>
          <t>T1: -1 Grade 3 educator; T2: -1 Ed Tech</t>
        </is>
      </c>
    </row>
    <row r="14">
      <c r="A14" s="29" t="inlineStr">
        <is>
          <t>FMS (Freeport Middle)</t>
        </is>
      </c>
      <c r="B14" s="29" t="inlineStr">
        <is>
          <t>6-8</t>
        </is>
      </c>
      <c r="C14" s="48" t="n">
        <v>306</v>
      </c>
      <c r="D14" s="64" t="n">
        <v>15.48</v>
      </c>
      <c r="E14" s="29" t="inlineStr">
        <is>
          <t>T1: -2.0 FTE (Math, ELA, French); T2: -2 Ed Techs</t>
        </is>
      </c>
    </row>
    <row r="15">
      <c r="A15" s="29" t="inlineStr">
        <is>
          <t>FHS (Freeport High)</t>
        </is>
      </c>
      <c r="B15" s="29" t="inlineStr">
        <is>
          <t>9-12</t>
        </is>
      </c>
      <c r="C15" s="48" t="n">
        <v>554</v>
      </c>
      <c r="D15" s="64" t="n">
        <v>38</v>
      </c>
      <c r="E15" s="29" t="inlineStr">
        <is>
          <t>Estimated from Art 1 budget; T1: -2.5 FTE</t>
        </is>
      </c>
    </row>
    <row r="17">
      <c r="A17" s="3" t="inlineStr">
        <is>
          <t>Grade-Band Detail: DCS (for consolidation model)</t>
        </is>
      </c>
    </row>
    <row r="18">
      <c r="A18" s="4" t="inlineStr">
        <is>
          <t>Grade Band</t>
        </is>
      </c>
      <c r="B18" s="4" t="inlineStr">
        <is>
          <t>Students</t>
        </is>
      </c>
      <c r="C18" s="4" t="inlineStr">
        <is>
          <t>Teacher FTE</t>
        </is>
      </c>
      <c r="D18" s="4" t="inlineStr">
        <is>
          <t>Notes</t>
        </is>
      </c>
    </row>
    <row r="19">
      <c r="A19" s="29" t="inlineStr">
        <is>
          <t>DCS PreK</t>
        </is>
      </c>
      <c r="B19" s="48" t="n">
        <v>48</v>
      </c>
      <c r="C19" s="62" t="n">
        <v>2.5</v>
      </c>
      <c r="D19" s="29" t="inlineStr">
        <is>
          <t>3 sections, ~16/class</t>
        </is>
      </c>
    </row>
    <row r="20">
      <c r="A20" s="29" t="inlineStr">
        <is>
          <t>DCS K-5</t>
        </is>
      </c>
      <c r="B20" s="48" t="n">
        <v>278</v>
      </c>
      <c r="C20" s="62" t="n">
        <v>16</v>
      </c>
      <c r="D20" s="29" t="inlineStr">
        <is>
          <t>Post T1 cut: 1 Grade 1 educator removed</t>
        </is>
      </c>
    </row>
    <row r="21">
      <c r="A21" s="29" t="inlineStr">
        <is>
          <t>DCS Grade 6</t>
        </is>
      </c>
      <c r="B21" s="48" t="n">
        <v>41</v>
      </c>
      <c r="C21" s="62" t="n">
        <v>2</v>
      </c>
      <c r="D21" s="29" t="inlineStr">
        <is>
          <t>2 sections, ~20.5/class</t>
        </is>
      </c>
    </row>
    <row r="22">
      <c r="A22" s="29" t="inlineStr">
        <is>
          <t>DCS Grades 7-8</t>
        </is>
      </c>
      <c r="B22" s="48" t="n">
        <v>100</v>
      </c>
      <c r="C22" s="62" t="n">
        <v>6</v>
      </c>
      <c r="D22" s="29" t="inlineStr">
        <is>
          <t>Grades 7 (46) + 8 (54)</t>
        </is>
      </c>
    </row>
    <row r="23">
      <c r="A23" s="5" t="inlineStr">
        <is>
          <t>DCS Check Total</t>
        </is>
      </c>
      <c r="C23" s="16">
        <f>C19+C20+C21+C22</f>
        <v/>
      </c>
      <c r="D23" s="5" t="inlineStr">
        <is>
          <t>Should equal 26.5</t>
        </is>
      </c>
    </row>
    <row r="25">
      <c r="A25" s="3" t="inlineStr">
        <is>
          <t>Grade-Band Detail: FMS (for consolidation model)</t>
        </is>
      </c>
    </row>
    <row r="26">
      <c r="A26" s="4" t="inlineStr">
        <is>
          <t>Grade Band</t>
        </is>
      </c>
      <c r="B26" s="4" t="inlineStr">
        <is>
          <t>Students</t>
        </is>
      </c>
      <c r="C26" s="4" t="inlineStr">
        <is>
          <t>Teacher FTE</t>
        </is>
      </c>
      <c r="D26" s="4" t="inlineStr">
        <is>
          <t>Notes</t>
        </is>
      </c>
    </row>
    <row r="27">
      <c r="A27" s="29" t="inlineStr">
        <is>
          <t>FMS Grade 6</t>
        </is>
      </c>
      <c r="B27" s="48" t="n">
        <v>116</v>
      </c>
      <c r="C27" s="64" t="n">
        <v>5.16</v>
      </c>
      <c r="D27" s="29" t="inlineStr">
        <is>
          <t>Pownal + Freeport 6th graders</t>
        </is>
      </c>
    </row>
    <row r="28">
      <c r="A28" s="29" t="inlineStr">
        <is>
          <t>FMS Grades 7-8</t>
        </is>
      </c>
      <c r="B28" s="48" t="n">
        <v>190</v>
      </c>
      <c r="C28" s="64" t="n">
        <v>10.32</v>
      </c>
      <c r="D28" s="29" t="inlineStr">
        <is>
          <t>Post T1: -0.25 Math RTI, -0.75 ELA, -1.0 French</t>
        </is>
      </c>
    </row>
    <row r="29">
      <c r="A29" s="5" t="inlineStr">
        <is>
          <t>FMS Check Total</t>
        </is>
      </c>
      <c r="C29" s="56">
        <f>C27+C28</f>
        <v/>
      </c>
      <c r="D29" s="5" t="inlineStr">
        <is>
          <t>Should be close to 15.5</t>
        </is>
      </c>
    </row>
    <row r="31">
      <c r="A31" s="3" t="inlineStr">
        <is>
          <t>Scenario 2 (Path B) FTE Model</t>
        </is>
      </c>
    </row>
    <row r="32">
      <c r="A32" s="2" t="inlineStr">
        <is>
          <t>Source: District-wide restructuring plan from Superintendent's 02/11/2026 presentation [Fn 10].</t>
        </is>
      </c>
    </row>
    <row r="33">
      <c r="A33" s="2" t="inlineStr">
        <is>
          <t>Shows how each school's role and FTE would change under full Scenario 2.</t>
        </is>
      </c>
    </row>
    <row r="34">
      <c r="A34" s="4" t="inlineStr">
        <is>
          <t>School</t>
        </is>
      </c>
      <c r="B34" s="4" t="inlineStr">
        <is>
          <t>Current FTE</t>
        </is>
      </c>
      <c r="C34" s="4" t="inlineStr">
        <is>
          <t>Scenario 2 FTE</t>
        </is>
      </c>
      <c r="D34" s="4" t="inlineStr">
        <is>
          <t>Change</t>
        </is>
      </c>
      <c r="E34" s="4" t="inlineStr">
        <is>
          <t>Scenario 2 Role</t>
        </is>
      </c>
    </row>
    <row r="35">
      <c r="A35" s="29" t="inlineStr">
        <is>
          <t>PES</t>
        </is>
      </c>
      <c r="B35" s="62" t="n">
        <v>6.5</v>
      </c>
      <c r="C35" s="62" t="n">
        <v>5</v>
      </c>
      <c r="D35" s="15">
        <f>C35-B35</f>
        <v/>
      </c>
      <c r="E35" s="29" t="inlineStr">
        <is>
          <t>EC center (district PreK)</t>
        </is>
      </c>
    </row>
    <row r="36">
      <c r="A36" s="29" t="inlineStr">
        <is>
          <t>DCS</t>
        </is>
      </c>
      <c r="B36" s="62" t="n">
        <v>26.5</v>
      </c>
      <c r="C36" s="62" t="n">
        <v>23</v>
      </c>
      <c r="D36" s="15">
        <f>C36-B36</f>
        <v/>
      </c>
      <c r="E36" s="29" t="inlineStr">
        <is>
          <t>K-6 Durham + Pownal</t>
        </is>
      </c>
    </row>
    <row r="37">
      <c r="A37" s="29" t="inlineStr">
        <is>
          <t>MSS</t>
        </is>
      </c>
      <c r="B37" s="62" t="n">
        <v>14</v>
      </c>
      <c r="C37" s="62" t="n">
        <v>16</v>
      </c>
      <c r="D37" s="15">
        <f>C37-B37</f>
        <v/>
      </c>
      <c r="E37" s="29" t="inlineStr">
        <is>
          <t>K-3 Freeport</t>
        </is>
      </c>
    </row>
    <row r="38">
      <c r="A38" s="29" t="inlineStr">
        <is>
          <t>MLS</t>
        </is>
      </c>
      <c r="B38" s="62" t="n">
        <v>14</v>
      </c>
      <c r="C38" s="62" t="n">
        <v>15</v>
      </c>
      <c r="D38" s="15">
        <f>C38-B38</f>
        <v/>
      </c>
      <c r="E38" s="29" t="inlineStr">
        <is>
          <t>4-6 Freeport</t>
        </is>
      </c>
    </row>
    <row r="39">
      <c r="A39" s="29" t="inlineStr">
        <is>
          <t>FMS</t>
        </is>
      </c>
      <c r="B39" s="62" t="n">
        <v>15.5</v>
      </c>
      <c r="C39" s="62" t="n">
        <v>13</v>
      </c>
      <c r="D39" s="15">
        <f>C39-B39</f>
        <v/>
      </c>
      <c r="E39" s="29" t="inlineStr">
        <is>
          <t>7-8 district-wide</t>
        </is>
      </c>
    </row>
    <row r="41">
      <c r="A41" s="8" t="inlineStr">
        <is>
          <t>TOTAL</t>
        </is>
      </c>
      <c r="B41" s="25">
        <f>SUM(B35:B39)</f>
        <v/>
      </c>
      <c r="C41" s="25">
        <f>SUM(C35:C39)</f>
        <v/>
      </c>
      <c r="D41" s="24">
        <f>C41-B41</f>
        <v/>
      </c>
    </row>
    <row r="42">
      <c r="A42" s="8" t="inlineStr">
        <is>
          <t>Net FTE Saved (Scenario 2)</t>
        </is>
      </c>
      <c r="B42" s="50">
        <f>-D41</f>
        <v/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808080"/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1" t="inlineStr">
        <is>
          <t>Source Citations</t>
        </is>
      </c>
    </row>
    <row r="3">
      <c r="A3" s="2" t="inlineStr">
        <is>
          <t>Every input cell in this workbook references one of these footnoted sources.</t>
        </is>
      </c>
    </row>
    <row r="5">
      <c r="A5" s="47" t="inlineStr">
        <is>
          <t>[Fn 1]</t>
        </is>
      </c>
      <c r="B5" s="67" t="inlineStr">
        <is>
          <t>FY27 Budget Handbook, RSU 5 Superintendent's Office, pp.3-4 (02/11/2026). "Projected Enrollment 2026-2027" and Teacher/Class Size table.</t>
        </is>
      </c>
    </row>
    <row r="6">
      <c r="A6" s="47" t="inlineStr">
        <is>
          <t>[Fn 2]</t>
        </is>
      </c>
      <c r="B6" s="67" t="inlineStr">
        <is>
          <t>FY27 Superintendent's Proposed Budget Articles, 89-page line-item detail (02/11/2026). URL: https://resources.finalsite.net/images/v1770852540/rsu5org/spzuwjskm8vh3t9bjck8/2026-2027SuperintendentsRecommendedBudgetArticlesforWebsite02112026.pdf</t>
        </is>
      </c>
    </row>
    <row r="7">
      <c r="A7" s="47" t="inlineStr">
        <is>
          <t>[Fn 3]</t>
        </is>
      </c>
      <c r="B7" s="67" t="inlineStr">
        <is>
          <t>FY27 Budget Handbook, RSU 5, Budget Impact Summary pp.9-10 (02/11/2026). URL: https://resources.finalsite.net/images/v1770852522/rsu5org/ytm49nnwpbrzi4oiwg4i/FY27BUDGETHANDBOOK02112026.pdf</t>
        </is>
      </c>
    </row>
    <row r="8">
      <c r="A8" s="47" t="inlineStr">
        <is>
          <t>[Fn 4]</t>
        </is>
      </c>
      <c r="B8" s="67" t="inlineStr">
        <is>
          <t>Pownal FY26 Real Estate Tax Commitment Book, committed 07/29/2025, rate $15.300/thousand. Source: Town of Pownal Assessor, https://www.pownalmaine.org/</t>
        </is>
      </c>
    </row>
    <row r="9">
      <c r="A9" s="47" t="inlineStr">
        <is>
          <t>[Fn 5]</t>
        </is>
      </c>
      <c r="B9" s="67" t="inlineStr">
        <is>
          <t>Freeport FY26 tax rate $13.85/thousand at 100% assessment ratio, committed 09/15/2025. Source: Freeport Assessor, https://www.freeportmaine.com/158/Assessor</t>
        </is>
      </c>
    </row>
    <row r="10">
      <c r="A10" s="47" t="inlineStr">
        <is>
          <t>[Fn 6]</t>
        </is>
      </c>
      <c r="B10" s="67" t="inlineStr">
        <is>
          <t>Freeport FY25 Budget Presentation, Proposed Tax Changes table. URL: https://www.freeportmaine.com/DocumentCenter/View/2711/FY-25-Budget-Presentation</t>
        </is>
      </c>
    </row>
    <row r="11">
      <c r="A11" s="47" t="inlineStr">
        <is>
          <t>[Fn 7]</t>
        </is>
      </c>
      <c r="B11" s="67" t="inlineStr">
        <is>
          <t>Durham FY26 tax rate $33.58/thousand at ~53% assessment ratio, committed 08/12/2025. Source: Durham Assessor, https://durhammaine.gov/pages/assessing</t>
        </is>
      </c>
    </row>
    <row r="12">
      <c r="A12" s="47" t="inlineStr">
        <is>
          <t>[Fn 8]</t>
        </is>
      </c>
      <c r="B12" s="67" t="inlineStr">
        <is>
          <t>Maine DOE FY25-26 Warrant Article F: Education Subsidy Information for Property Tax Bill (09/09/2025). URL: https://www.maine.gov/doe/sites/maine.gov.doe/files/inline-files/School%20Finance%20-%20FY25-26%20Warrant%20Article%20F%20Education%20Subsidy%20Information%20for%20Property%20Tax%20Bill%20-%209.9.2025.pdf</t>
        </is>
      </c>
    </row>
    <row r="13">
      <c r="A13" s="47" t="inlineStr">
        <is>
          <t>[Fn 9]</t>
        </is>
      </c>
      <c r="B13" s="67" t="inlineStr">
        <is>
          <t>FY26 Adopted Budget, RSU 5, $44,455,929 total. Approved by voters 06/10/2025 (817 Yes, 494 No). Source: https://www.rsu5.org/budget/fy26</t>
        </is>
      </c>
    </row>
    <row r="14">
      <c r="A14" s="47" t="inlineStr">
        <is>
          <t>[Fn 10]</t>
        </is>
      </c>
      <c r="B14" s="67" t="inlineStr">
        <is>
          <t>RSU 5 Planning for the Future presentation (02/11/2026). URL: https://resources.finalsite.net/images/v1770852531/rsu5org/vfrsu75oj4ebaxvsbcwc/PlanningfortheFutureofRSU5.pdf</t>
        </is>
      </c>
    </row>
    <row r="15">
      <c r="A15" s="47" t="inlineStr">
        <is>
          <t>[Fn 12]</t>
        </is>
      </c>
      <c r="B15" s="67" t="inlineStr">
        <is>
          <t>Pownal tax breakdown (RSU 58.4%, County 3.3%, Town 38.3%) from Pownal municipal records, FY26.</t>
        </is>
      </c>
    </row>
    <row r="16">
      <c r="A16" s="47" t="inlineStr">
        <is>
          <t>[Fn 13]</t>
        </is>
      </c>
      <c r="B16" s="67" t="inlineStr">
        <is>
          <t>Census/ACS population estimates: Pownal 1,590; Durham 4,339; Freeport 8,771. Sources: censusreporter.org, maine-demographics.com (2023 est.)</t>
        </is>
      </c>
    </row>
    <row r="17">
      <c r="A17" s="47" t="inlineStr">
        <is>
          <t>[Fn 14]</t>
        </is>
      </c>
      <c r="B17" s="67" t="inlineStr">
        <is>
          <t>Maine CDC vital statistics / CDC WONDER. Cumberland County birth rate ~9.5/1,000; Androscoggin County similar.</t>
        </is>
      </c>
    </row>
    <row r="18">
      <c r="A18" s="47" t="inlineStr">
        <is>
          <t>[Fn 15]</t>
        </is>
      </c>
      <c r="B18" s="67" t="inlineStr">
        <is>
          <t>Maine DOE Public Pre-K Guidebook (01/21/2025). Chapter 124: max 16 students/classroom, 1:8 staff ratio. URL: https://www.maine.gov/doe/sites/maine.gov.doe/files/inline-files/Early%20Learning%20-%20Public%20Pre%20K%20Guidebook%20-%201.21.2025.pdf</t>
        </is>
      </c>
    </row>
    <row r="19">
      <c r="A19" s="47" t="inlineStr">
        <is>
          <t>[Fn 16]</t>
        </is>
      </c>
      <c r="B19" s="67" t="inlineStr">
        <is>
          <t>Pownal is in Cumberland County; Durham is in Androscoggin County; Freeport is in Cumberland County.</t>
        </is>
      </c>
    </row>
    <row r="20">
      <c r="A20" s="47" t="inlineStr">
        <is>
          <t>[Fn 17]</t>
        </is>
      </c>
      <c r="B20" s="67" t="inlineStr">
        <is>
          <t>Portland Press Herald, 10/02/2025, 'Freeport-area schools begin planning for new early childhood responsibilities.' By July 1, 2028, districts assume CDS responsibilities for FAPE ages 3-5. URL: https://www.pressherald.com/2025/10/02/freeport-area-schools-begin-planning-for-new-early-childhood-responsibilities/</t>
        </is>
      </c>
    </row>
    <row r="21">
      <c r="A21" s="47" t="inlineStr">
        <is>
          <t>[Fn 18]</t>
        </is>
      </c>
      <c r="B21" s="67" t="inlineStr">
        <is>
          <t>RSU 5 Early Childhood Transition Task Force membership and meeting schedule. URL: https://www.rsu5.org/quick-links/early-childhood-planning-cds</t>
        </is>
      </c>
    </row>
    <row r="22">
      <c r="A22" s="47" t="inlineStr">
        <is>
          <t>[Fn 19]</t>
        </is>
      </c>
      <c r="B22" s="67" t="inlineStr">
        <is>
          <t>RSU 5 Service Model Options PK3, presented at Dec 18, 2025 Task Force meeting. URL: https://www.rsu5.org/fs/resource-manager/view/da1426f4-8cc1-4b09-bd89-477da9c623ed</t>
        </is>
      </c>
    </row>
    <row r="23">
      <c r="A23" s="47" t="inlineStr">
        <is>
          <t>[Fn 20]</t>
        </is>
      </c>
      <c r="B23" s="67" t="inlineStr">
        <is>
          <t>Research on school consolidation and property values: Duncombe &amp; Yinger (2010), Syracuse University CPR; EdWorkingPapers #22-530 (Arkansas, 2022). Findings: 5-15% property value decline in high-income areas post-closure.</t>
        </is>
      </c>
    </row>
    <row r="24">
      <c r="A24" s="47" t="inlineStr">
        <is>
          <t>[Fn 21]</t>
        </is>
      </c>
      <c r="B24" s="67" t="inlineStr">
        <is>
          <t>Maine Chapter 124 Section 9 - School Facilities for Public Preschool Programs. 35 sq ft/child, toilets within 40 feet, water source in classroom, natural light required. URL: https://regulations.justia.com/states/maine/05/071/chapter-124/section-071-124-9/</t>
        </is>
      </c>
    </row>
    <row r="25">
      <c r="A25" s="47" t="inlineStr">
        <is>
          <t>[Fn 22]</t>
        </is>
      </c>
      <c r="B25" s="67" t="inlineStr">
        <is>
          <t>Driving distances estimated from Google Maps between PES (587 Elmwood Rd, Pownal ME), DCS (654 Hallowell Rd, Durham ME), MSS (17 West St, Freeport ME).</t>
        </is>
      </c>
    </row>
    <row r="26">
      <c r="A26" s="47" t="inlineStr">
        <is>
          <t>[Fn 24]</t>
        </is>
      </c>
      <c r="B26" s="67" t="inlineStr">
        <is>
          <t>Patriquin Architects, 'Checklist for Early Childhood Conversion Projects.' URL: https://www.patriquinarchitects.com/checklist-for-early-childhood-conversion-projects/</t>
        </is>
      </c>
    </row>
    <row r="27">
      <c r="A27" s="47" t="inlineStr">
        <is>
          <t>[Fn 25]</t>
        </is>
      </c>
      <c r="B27" s="67" t="inlineStr">
        <is>
          <t>FY27 Superintendent's Proposed Budget Handbook (Revised 02/11/2026). Total operating budget $47,357,441. URL: https://www.rsu5.org/fs/resource-manager/view/78dce71e-a8e6-4435-b33f-9746e8541a3a</t>
        </is>
      </c>
    </row>
    <row r="28">
      <c r="A28" s="47" t="inlineStr">
        <is>
          <t>[Fn 26]</t>
        </is>
      </c>
      <c r="B28" s="67" t="inlineStr">
        <is>
          <t>Superintendent Tom Gray, 'A message to the Freeport-area schools community about the FY 2027 budget,' Portland Press Herald, 02/04/2026. Confirms three budget approaches under Board consideration. URL: https://www.pressherald.com/2026/02/04/a-message-to-the-freeport-area-schools-community-about-the-fy-2027-budget-column/</t>
        </is>
      </c>
    </row>
    <row r="29">
      <c r="A29" s="47" t="inlineStr">
        <is>
          <t>[Fn 27]</t>
        </is>
      </c>
      <c r="B29" s="67" t="inlineStr">
        <is>
          <t>U.S. Census Bureau, American Community Survey 5-Year Estimates (2019-2023), Table DP04. Pownal CDP, Cumberland County, ME: ~636 housing units, median home value ~$340,000. Source: data.census.gov</t>
        </is>
      </c>
    </row>
    <row r="30">
      <c r="A30" s="47" t="inlineStr">
        <is>
          <t>[Fn 28]</t>
        </is>
      </c>
      <c r="B30" s="67" t="inlineStr">
        <is>
          <t>Maine Revised Statutes, Title 20-A, Chapter 103: School Administrative Units. Sections 1461-1466 govern school closure procedures, including required public hearings, Board vote, and community notification. URL: https://legislature.maine.gov/statutes/20-A/title20-Ach103.pdf</t>
        </is>
      </c>
    </row>
    <row r="31">
      <c r="A31" s="47" t="inlineStr">
        <is>
          <t>[Fn 29]</t>
        </is>
      </c>
      <c r="B31" s="67" t="inlineStr">
        <is>
          <t>Title 20-A §4102: Closing of a school building. Specifies three conditions (replacement, condemnation, lack of need) and voter approval requirements. URL: https://www.mainelegislature.org/legis/statutes/20-A/title20-Asec4102.html</t>
        </is>
      </c>
    </row>
    <row r="32">
      <c r="A32" s="47" t="inlineStr">
        <is>
          <t>[Fn 30]</t>
        </is>
      </c>
      <c r="B32" s="67" t="inlineStr">
        <is>
          <t>Title 20-A §1512: Closing school in RSU. Subsection 4 defines 'school closing' as 'any action...that has the effect of providing no instruction for any students at that school.' Municipal referendum required. URL: https://legislature.maine.gov/legis/statutes/20-A/title20-Asec1512.html</t>
        </is>
      </c>
    </row>
    <row r="33">
      <c r="A33" s="47" t="inlineStr">
        <is>
          <t>[Fn 31]</t>
        </is>
      </c>
      <c r="B33" s="67" t="inlineStr">
        <is>
          <t>Title 20-A §1511: Supermajority vote to close school in RSU. Requires 2/3 of elected Board membership. URL: https://www.mainelegislature.org/legis/statutes/20-a/title20-Asec1511.html</t>
        </is>
      </c>
    </row>
    <row r="34">
      <c r="A34" s="47" t="inlineStr">
        <is>
          <t>[Fn 32]</t>
        </is>
      </c>
      <c r="B34" s="67" t="inlineStr">
        <is>
          <t>Title 20-A §1466: Withdrawal of a single municipality from a regional school unit. 22-step process; 30-month eligibility; 10% petition; Nov 30 referendum deadline. URL: https://www.mainelegislature.org/legis/statutes/20-a/title20-Asec1466.html</t>
        </is>
      </c>
    </row>
    <row r="35">
      <c r="A35" s="47" t="inlineStr">
        <is>
          <t>[Fn 33]</t>
        </is>
      </c>
      <c r="B35" s="67" t="inlineStr">
        <is>
          <t>RSU 5 Freeport Withdrawal Agreement (April 4, 2014). Full withdrawal agreement between RSU 5 and Town of Freeport Withdrawal Committee. Section 12: 'All real property and fixtures that the Town of Freeport deeded to RSU 5 upon creation of the RSU will be deeded back.' Vote failed 2,152-2,228. URL: https://resources.finalsite.net/images/v1657657653/rsu5org/a3niwxub5ppkhdhbiflk/fwcrevisedplan4-4-14.pdf</t>
        </is>
      </c>
    </row>
    <row r="36">
      <c r="A36" s="47" t="inlineStr">
        <is>
          <t>[Fn 34]</t>
        </is>
      </c>
      <c r="B36" s="67" t="inlineStr">
        <is>
          <t>Portland Press Herald, 06/24/2009: 'Freeport school properties turned over to RSU 5.' All three towns (Freeport, Pownal, Durham) deeded school properties to RSU 5 upon formation. URL: https://www.pressherald.com/2009/06/24/freeport-school-properties-turned-over-to-rsu-5/</t>
        </is>
      </c>
    </row>
    <row r="37">
      <c r="A37" s="47" t="inlineStr">
        <is>
          <t>[Fn 35]</t>
        </is>
      </c>
      <c r="B37" s="67" t="inlineStr">
        <is>
          <t>Maine DOE Withdrawal List: 15+ municipalities have successfully withdrawn from RSUs/SADs since FY2013, including Andover (SAD 44, 2015), Dayton (RSU 23, 2014), Athens (SAD 59, 2013), Belfast/Belmont (RSU 20, 2015). URL: https://www.maine.gov/doe/schools/structure/withdrawal/list</t>
        </is>
      </c>
    </row>
    <row r="38">
      <c r="A38" s="47" t="inlineStr">
        <is>
          <t>[Fn 36]</t>
        </is>
      </c>
      <c r="B38" s="67" t="inlineStr">
        <is>
          <t>Maine DOE Public School Secondary Tuition Rates (12/16/2024). State average secondary tuition: $14,080.88. URL: https://www.maine.gov/doe/funding/reports/tuition</t>
        </is>
      </c>
    </row>
    <row r="39">
      <c r="A39" s="47" t="inlineStr">
        <is>
          <t>[Fn 37]</t>
        </is>
      </c>
      <c r="B39" s="67" t="inlineStr">
        <is>
          <t>The Maine Monitor, 05/31/2025: 'What does it mean to withdraw from a Maine school district?' 22-step process explainer; Embden authorized $50K; Phillips authorized $50K. URL: https://themainemonitor.org/school-district-withdrawal-explainer/</t>
        </is>
      </c>
    </row>
    <row r="40">
      <c r="A40" s="47" t="inlineStr">
        <is>
          <t>[Fn 38]</t>
        </is>
      </c>
      <c r="B40" s="67" t="inlineStr">
        <is>
          <t>Portland Press Herald, 02/25/2026: 'SAD 75 abandons option to close Harpswell's only public school.' Community opposition led district to drop all closure options. URL: https://www.pressherald.com/2026/02/25/sad-75-abandons-option-to-close-harpswells-only-public-school/</t>
        </is>
      </c>
    </row>
    <row r="41">
      <c r="A41" s="47" t="inlineStr">
        <is>
          <t>[Fn 39]</t>
        </is>
      </c>
      <c r="B41" s="67" t="inlineStr">
        <is>
          <t>WAGM, 02/09/2026: 'MSAD #1 Plans Grade Reconfiguration for Next Year.' Pine Street Elementary converted to PreK-Gr1 as 'grade reconfiguration' (administrative action); Zippel Elementary closure handled separately via referendum. URL: https://www.wagmtv.com/2026/02/09/msad-1-plans-grade-reconfiguration-next-year/</t>
        </is>
      </c>
    </row>
    <row r="42">
      <c r="A42" s="47" t="inlineStr">
        <is>
          <t>[Fn 40]</t>
        </is>
      </c>
      <c r="B42" s="67" t="inlineStr">
        <is>
          <t>Title 20-A §4104: Proceeds from sale of school building. Properties transferred by member towns to RSU remain subject to specific ownership/disposition rules. URL: https://www.mainelegislature.org/legis/statutes/20-a/title20-Asec4104.html</t>
        </is>
      </c>
    </row>
    <row r="43">
      <c r="A43" s="47" t="inlineStr">
        <is>
          <t>[Fn 41]</t>
        </is>
      </c>
      <c r="B43" s="67" t="inlineStr">
        <is>
          <t>Portland Press Herald, 10/29/2019: 'RSU 5 looks at new cost-sharing formula.' Finance Committee proposed 85% state valuation / 15% enrollment for ALM. RSU 5 board review Nov 2019. URL: https://www.pressherald.com/2019/10/29/rsu-5-looks-at-new-cost-sharing-formula/</t>
        </is>
      </c>
    </row>
    <row r="44">
      <c r="A44" s="47" t="inlineStr">
        <is>
          <t>[Fn 42]</t>
        </is>
      </c>
      <c r="B44" s="67" t="inlineStr">
        <is>
          <t>Title 20-A §1481-A: Finances. RSU cost-sharing for additional operating costs. Subsection 3 permits alternate formulas in reorganization plans (valuation, enrollment, or combination). URL: https://www.mainelegislature.org/legis/statutes/20-a/title20-Asec1481-A.html</t>
        </is>
      </c>
    </row>
    <row r="45">
      <c r="A45" s="47" t="inlineStr">
        <is>
          <t>[Fn 43]</t>
        </is>
      </c>
      <c r="B45" s="67" t="inlineStr">
        <is>
          <t>Pownal 2025 Annual Report, Financial Audit for Year Ending June 30, 2024. Education expenditure: $3,427,607 (FY24 RSU 5 assessment). URL: https://www.pownalmaine.org/uploads/dm/3487/2025_Annual_Report</t>
        </is>
      </c>
    </row>
    <row r="46">
      <c r="A46" s="47" t="inlineStr">
        <is>
          <t>[Fn 44]</t>
        </is>
      </c>
      <c r="B46" s="67" t="inlineStr">
        <is>
          <t>RSU 5 FY26 Q&amp;A Budget Document (revised 03/19/2025). Shows total FY26 taxation = $35,600,800; Pownal proposed RSU mil increase = $1.15/1000; FY25 mil rate $17.00 → FY26 $15.30 (revaluation). URL: https://www.rsu5.org/fs/resource-manager/view/86633cc3-a30d-4151-aaea-a35ff03d6803</t>
        </is>
      </c>
    </row>
    <row r="47">
      <c r="A47" s="47" t="inlineStr">
        <is>
          <t>[Fn 45]</t>
        </is>
      </c>
      <c r="B47" s="67" t="inlineStr">
        <is>
          <t>Maine DOE NEO Staff Historical Data (Dec 1, 2015-2025). Dataset: [Fed_Reporting].Reports.StaffHistoricalDec1, SAUOrgId=1449. Requested by Mark Dohle (03/04/2026), fulfilled by Maine DOE Data Team (Trevor R. Burns, 03/09/2026). DOE Helpdesk Issue #66636. File: 'MDohle RSU 5 Staff by FTE.xlsx'. Public use; FTE headcounts reported as of December 1 each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2026-03-09T20:31:47Z</dcterms:created>
  <dcterms:modified xmlns:dcterms="http://purl.org/dc/terms/" xmlns:xsi="http://www.w3.org/2001/XMLSchema-instance" xsi:type="dcterms:W3CDTF">2026-03-09T20:31:47Z</dcterms:modified>
</cp:coreProperties>
</file>
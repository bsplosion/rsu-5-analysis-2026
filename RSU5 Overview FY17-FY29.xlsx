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History" sheetId="1" state="visible" r:id="rId1"/>
    <sheet xmlns:r="http://schemas.openxmlformats.org/officeDocument/2006/relationships" name="Enrollment" sheetId="2" state="visible" r:id="rId2"/>
    <sheet xmlns:r="http://schemas.openxmlformats.org/officeDocument/2006/relationships" name="Staffing FTE" sheetId="3" state="visible" r:id="rId3"/>
    <sheet xmlns:r="http://schemas.openxmlformats.org/officeDocument/2006/relationships" name="Article Growth" sheetId="4" state="visible" r:id="rId4"/>
    <sheet xmlns:r="http://schemas.openxmlformats.org/officeDocument/2006/relationships" name="C-SchoolBudg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"/>
    <numFmt numFmtId="165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1F4E79"/>
      <sz val="12"/>
    </font>
    <font>
      <b val="1"/>
      <color rgb="00C000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0" fontId="0" fillId="3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3" fillId="4" borderId="1" pivotButton="0" quotePrefix="0" xfId="0"/>
    <xf numFmtId="3" fontId="3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0" fontId="4" fillId="0" borderId="0" pivotButton="0" quotePrefix="0" xfId="0"/>
    <xf numFmtId="0" fontId="0" fillId="5" borderId="1" pivotButton="0" quotePrefix="0" xfId="0"/>
    <xf numFmtId="3" fontId="0" fillId="5" borderId="1" pivotButton="0" quotePrefix="0" xfId="0"/>
    <xf numFmtId="10" fontId="0" fillId="0" borderId="0" pivotButton="0" quotePrefix="0" xfId="0"/>
    <xf numFmtId="3" fontId="3" fillId="4" borderId="0" pivotButton="0" quotePrefix="0" xfId="0"/>
    <xf numFmtId="10" fontId="3" fillId="4" borderId="0" pivotButton="0" quotePrefix="0" xfId="0"/>
    <xf numFmtId="4" fontId="0" fillId="3" borderId="1" pivotButton="0" quotePrefix="0" xfId="0"/>
    <xf numFmtId="4" fontId="3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3" fontId="5" fillId="4" borderId="1" pivotButton="0" quotePrefix="0" xfId="0"/>
    <xf numFmtId="0" fontId="6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4" customWidth="1" min="4" max="4"/>
  </cols>
  <sheetData>
    <row r="1">
      <c r="A1" s="1" t="inlineStr">
        <is>
          <t>RSU 5: 10-Year Adopted Budget History</t>
        </is>
      </c>
    </row>
    <row r="3">
      <c r="A3" s="2" t="inlineStr">
        <is>
          <t>Source: Superintendent's Budget Handbook data</t>
        </is>
      </c>
    </row>
    <row r="5">
      <c r="A5" s="3" t="inlineStr">
        <is>
          <t>Fiscal Year</t>
        </is>
      </c>
      <c r="B5" s="3" t="inlineStr">
        <is>
          <t>Adopted Budget</t>
        </is>
      </c>
      <c r="C5" s="3" t="inlineStr">
        <is>
          <t>Year-over-Year Change</t>
        </is>
      </c>
      <c r="D5" s="3" t="inlineStr">
        <is>
          <t>% Change</t>
        </is>
      </c>
    </row>
    <row r="6">
      <c r="A6" s="4" t="inlineStr">
        <is>
          <t>FY17</t>
        </is>
      </c>
      <c r="B6" s="5" t="n">
        <v>31008672</v>
      </c>
      <c r="C6" s="5" t="n">
        <v>1518469</v>
      </c>
      <c r="D6" s="6" t="n">
        <v>0.0515</v>
      </c>
    </row>
    <row r="7">
      <c r="A7" s="4" t="inlineStr">
        <is>
          <t>FY18</t>
        </is>
      </c>
      <c r="B7" s="5" t="n">
        <v>32310685</v>
      </c>
      <c r="C7" s="5" t="n">
        <v>1302013</v>
      </c>
      <c r="D7" s="6" t="n">
        <v>0.042</v>
      </c>
    </row>
    <row r="8">
      <c r="A8" s="4" t="inlineStr">
        <is>
          <t>FY19</t>
        </is>
      </c>
      <c r="B8" s="5" t="n">
        <v>33058025</v>
      </c>
      <c r="C8" s="5" t="n">
        <v>747340</v>
      </c>
      <c r="D8" s="6" t="n">
        <v>0.0231</v>
      </c>
    </row>
    <row r="9">
      <c r="A9" s="4" t="inlineStr">
        <is>
          <t>FY20</t>
        </is>
      </c>
      <c r="B9" s="5" t="n">
        <v>34192295</v>
      </c>
      <c r="C9" s="5" t="n">
        <v>1134270</v>
      </c>
      <c r="D9" s="6" t="n">
        <v>0.0343</v>
      </c>
    </row>
    <row r="10">
      <c r="A10" s="4" t="inlineStr">
        <is>
          <t>FY21</t>
        </is>
      </c>
      <c r="B10" s="5" t="n">
        <v>34984700</v>
      </c>
      <c r="C10" s="5" t="n">
        <v>792405</v>
      </c>
      <c r="D10" s="6" t="n">
        <v>0.0232</v>
      </c>
    </row>
    <row r="11">
      <c r="A11" s="4" t="inlineStr">
        <is>
          <t>FY22</t>
        </is>
      </c>
      <c r="B11" s="5" t="n">
        <v>35714863</v>
      </c>
      <c r="C11" s="5" t="n">
        <v>730163</v>
      </c>
      <c r="D11" s="6" t="n">
        <v>0.0209</v>
      </c>
    </row>
    <row r="12">
      <c r="A12" s="4" t="inlineStr">
        <is>
          <t>FY23</t>
        </is>
      </c>
      <c r="B12" s="5" t="n">
        <v>37223151</v>
      </c>
      <c r="C12" s="5" t="n">
        <v>1508288</v>
      </c>
      <c r="D12" s="6" t="n">
        <v>0.04219999999999999</v>
      </c>
    </row>
    <row r="13">
      <c r="A13" s="4" t="inlineStr">
        <is>
          <t>FY24</t>
        </is>
      </c>
      <c r="B13" s="5" t="n">
        <v>39080569</v>
      </c>
      <c r="C13" s="5" t="n">
        <v>1857418</v>
      </c>
      <c r="D13" s="6" t="n">
        <v>0.0499</v>
      </c>
    </row>
    <row r="14">
      <c r="A14" s="4" t="inlineStr">
        <is>
          <t>FY25</t>
        </is>
      </c>
      <c r="B14" s="5" t="n">
        <v>41612460</v>
      </c>
      <c r="C14" s="5" t="n">
        <v>2531891</v>
      </c>
      <c r="D14" s="6" t="n">
        <v>0.06480000000000001</v>
      </c>
    </row>
    <row r="15">
      <c r="A15" s="4" t="inlineStr">
        <is>
          <t>FY26</t>
        </is>
      </c>
      <c r="B15" s="5" t="n">
        <v>44455929</v>
      </c>
      <c r="C15" s="5" t="n">
        <v>2843469</v>
      </c>
      <c r="D15" s="6" t="n">
        <v>0.0683</v>
      </c>
    </row>
    <row r="16">
      <c r="A16" s="7" t="inlineStr">
        <is>
          <t>FY27*</t>
        </is>
      </c>
      <c r="B16" s="8" t="n">
        <v>47357441</v>
      </c>
      <c r="C16" s="9" t="n">
        <v>2901512</v>
      </c>
      <c r="D16" s="10" t="n">
        <v>0.06526715480403075</v>
      </c>
    </row>
    <row r="17">
      <c r="A17" s="2" t="inlineStr">
        <is>
          <t>* FY27 = Superintendent's proposed (not yet adopted)</t>
        </is>
      </c>
    </row>
    <row r="19">
      <c r="A19" s="11" t="inlineStr">
        <is>
          <t>Forward Projections (Superintendent)</t>
        </is>
      </c>
    </row>
    <row r="20">
      <c r="A20" s="12" t="inlineStr">
        <is>
          <t>FY28 (w/cuts)</t>
        </is>
      </c>
      <c r="B20" s="13" t="n">
        <v>49400000</v>
      </c>
    </row>
    <row r="21">
      <c r="A21" s="12" t="inlineStr">
        <is>
          <t>FY28 (no cuts)</t>
        </is>
      </c>
      <c r="B21" s="13" t="n">
        <v>54200000</v>
      </c>
    </row>
    <row r="22">
      <c r="A22" s="12" t="inlineStr">
        <is>
          <t>FY29 (w/cuts)</t>
        </is>
      </c>
      <c r="B22" s="13" t="n">
        <v>52900000</v>
      </c>
    </row>
    <row r="23">
      <c r="A23" s="12" t="inlineStr">
        <is>
          <t>FY29 (no cuts)</t>
        </is>
      </c>
      <c r="B23" s="13" t="n">
        <v>58000000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RSU 5: Enrollment by School</t>
        </is>
      </c>
    </row>
    <row r="3">
      <c r="A3" s="2" t="inlineStr">
        <is>
          <t>Source: Superintendent's Budget Handbook (October 1 counts)</t>
        </is>
      </c>
    </row>
    <row r="5">
      <c r="A5" s="3" t="inlineStr">
        <is>
          <t>School</t>
        </is>
      </c>
      <c r="B5" s="3" t="inlineStr">
        <is>
          <t>2023</t>
        </is>
      </c>
      <c r="C5" s="3" t="inlineStr">
        <is>
          <t>2024</t>
        </is>
      </c>
      <c r="D5" s="3" t="inlineStr">
        <is>
          <t>2025</t>
        </is>
      </c>
      <c r="E5" s="3" t="inlineStr">
        <is>
          <t>2026</t>
        </is>
      </c>
      <c r="F5" s="3" t="inlineStr">
        <is>
          <t>Change</t>
        </is>
      </c>
    </row>
    <row r="6">
      <c r="A6" s="4" t="inlineStr">
        <is>
          <t>Morse Street</t>
        </is>
      </c>
      <c r="B6" s="4" t="n">
        <v>316</v>
      </c>
      <c r="C6" s="4" t="n">
        <v>288</v>
      </c>
      <c r="D6" s="4" t="n">
        <v>275</v>
      </c>
      <c r="E6" s="4" t="n">
        <v>274</v>
      </c>
      <c r="F6" s="14">
        <f>IF(B6=0,0,E6/B6-1)</f>
        <v/>
      </c>
    </row>
    <row r="7">
      <c r="A7" s="4" t="inlineStr">
        <is>
          <t>Mast Landing</t>
        </is>
      </c>
      <c r="B7" s="4" t="n">
        <v>281</v>
      </c>
      <c r="C7" s="4" t="n">
        <v>266</v>
      </c>
      <c r="D7" s="4" t="n">
        <v>282</v>
      </c>
      <c r="E7" s="4" t="n">
        <v>264</v>
      </c>
      <c r="F7" s="14">
        <f>IF(B7=0,0,E7/B7-1)</f>
        <v/>
      </c>
    </row>
    <row r="8">
      <c r="A8" s="4" t="inlineStr">
        <is>
          <t>Pownal Elementary</t>
        </is>
      </c>
      <c r="B8" s="4" t="n">
        <v>89</v>
      </c>
      <c r="C8" s="4" t="n">
        <v>97</v>
      </c>
      <c r="D8" s="4" t="n">
        <v>98</v>
      </c>
      <c r="E8" s="4" t="n">
        <v>105</v>
      </c>
      <c r="F8" s="14">
        <f>IF(B8=0,0,E8/B8-1)</f>
        <v/>
      </c>
    </row>
    <row r="9">
      <c r="A9" s="4" t="inlineStr">
        <is>
          <t>Durham Community</t>
        </is>
      </c>
      <c r="B9" s="4" t="n">
        <v>473</v>
      </c>
      <c r="C9" s="4" t="n">
        <v>466</v>
      </c>
      <c r="D9" s="4" t="n">
        <v>453</v>
      </c>
      <c r="E9" s="4" t="n">
        <v>467</v>
      </c>
      <c r="F9" s="14">
        <f>IF(B9=0,0,E9/B9-1)</f>
        <v/>
      </c>
    </row>
    <row r="10">
      <c r="A10" s="4" t="inlineStr">
        <is>
          <t>Freeport Middle</t>
        </is>
      </c>
      <c r="B10" s="4" t="n">
        <v>293</v>
      </c>
      <c r="C10" s="4" t="n">
        <v>288</v>
      </c>
      <c r="D10" s="4" t="n">
        <v>286</v>
      </c>
      <c r="E10" s="4" t="n">
        <v>306</v>
      </c>
      <c r="F10" s="14">
        <f>IF(B10=0,0,E10/B10-1)</f>
        <v/>
      </c>
    </row>
    <row r="11">
      <c r="A11" s="4" t="inlineStr">
        <is>
          <t>Freeport High</t>
        </is>
      </c>
      <c r="B11" s="4" t="n">
        <v>632</v>
      </c>
      <c r="C11" s="4" t="n">
        <v>592</v>
      </c>
      <c r="D11" s="4" t="n">
        <v>577</v>
      </c>
      <c r="E11" s="4" t="n">
        <v>554</v>
      </c>
      <c r="F11" s="14">
        <f>IF(B11=0,0,E11/B11-1)</f>
        <v/>
      </c>
    </row>
    <row r="12">
      <c r="A12" s="7" t="inlineStr">
        <is>
          <t>TOTAL</t>
        </is>
      </c>
      <c r="B12" s="15">
        <f>SUM(B6:B11)</f>
        <v/>
      </c>
      <c r="C12" s="15">
        <f>SUM(C6:C11)</f>
        <v/>
      </c>
      <c r="D12" s="15">
        <f>SUM(D6:D11)</f>
        <v/>
      </c>
      <c r="E12" s="15">
        <f>SUM(E6:E11)</f>
        <v/>
      </c>
      <c r="F12" s="16">
        <f>SUM(F6:F11)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RSU 5: DOE Staffing FTE Trends</t>
        </is>
      </c>
    </row>
    <row r="3">
      <c r="A3" s="2" t="inlineStr">
        <is>
          <t>Source: Maine DOE Staff Historical Data (December 1 snapshots)</t>
        </is>
      </c>
    </row>
    <row r="5">
      <c r="A5" s="3" t="inlineStr">
        <is>
          <t>School</t>
        </is>
      </c>
      <c r="B5" s="3" t="inlineStr">
        <is>
          <t>2016</t>
        </is>
      </c>
      <c r="C5" s="3" t="inlineStr">
        <is>
          <t>2017</t>
        </is>
      </c>
      <c r="D5" s="3" t="inlineStr">
        <is>
          <t>2018</t>
        </is>
      </c>
      <c r="E5" s="3" t="inlineStr">
        <is>
          <t>2019</t>
        </is>
      </c>
      <c r="F5" s="3" t="inlineStr">
        <is>
          <t>2020</t>
        </is>
      </c>
      <c r="G5" s="3" t="inlineStr">
        <is>
          <t>2021</t>
        </is>
      </c>
      <c r="H5" s="3" t="inlineStr">
        <is>
          <t>2022</t>
        </is>
      </c>
      <c r="I5" s="3" t="inlineStr">
        <is>
          <t>2023</t>
        </is>
      </c>
      <c r="J5" s="3" t="inlineStr">
        <is>
          <t>2024</t>
        </is>
      </c>
      <c r="K5" s="3" t="inlineStr">
        <is>
          <t>2025</t>
        </is>
      </c>
      <c r="L5" s="3" t="inlineStr">
        <is>
          <t>2026</t>
        </is>
      </c>
      <c r="M5" s="3" t="inlineStr">
        <is>
          <t>Change</t>
        </is>
      </c>
    </row>
    <row r="6">
      <c r="A6" s="4" t="inlineStr">
        <is>
          <t>DCS</t>
        </is>
      </c>
      <c r="B6" s="17" t="n">
        <v>71.59999999999999</v>
      </c>
      <c r="C6" s="17" t="n">
        <v>87.99999999999999</v>
      </c>
      <c r="D6" s="17" t="n">
        <v>84.8</v>
      </c>
      <c r="E6" s="17" t="n">
        <v>92.10000000000001</v>
      </c>
      <c r="F6" s="17" t="n">
        <v>94.2</v>
      </c>
      <c r="G6" s="17" t="n">
        <v>92.99999999999999</v>
      </c>
      <c r="H6" s="17" t="n">
        <v>87.59999999999999</v>
      </c>
      <c r="I6" s="17" t="n">
        <v>83.5</v>
      </c>
      <c r="J6" s="17" t="n">
        <v>78.40000000000001</v>
      </c>
      <c r="K6" s="17" t="n">
        <v>88.80000000000001</v>
      </c>
      <c r="L6" s="17" t="n">
        <v>85.70000000000002</v>
      </c>
      <c r="M6" s="14">
        <f>IF(B6=0,0,L6/B6-1)</f>
        <v/>
      </c>
    </row>
    <row r="7">
      <c r="A7" s="4" t="inlineStr">
        <is>
          <t>MSS</t>
        </is>
      </c>
      <c r="B7" s="17" t="n">
        <v>42.1</v>
      </c>
      <c r="C7" s="17" t="n">
        <v>42.7</v>
      </c>
      <c r="D7" s="17" t="n">
        <v>50.49999999999999</v>
      </c>
      <c r="E7" s="17" t="n">
        <v>57.09999999999999</v>
      </c>
      <c r="F7" s="17" t="n">
        <v>55.70000000000001</v>
      </c>
      <c r="G7" s="17" t="n">
        <v>55.50000000000001</v>
      </c>
      <c r="H7" s="17" t="n">
        <v>60.8</v>
      </c>
      <c r="I7" s="17" t="n">
        <v>58.5</v>
      </c>
      <c r="J7" s="17" t="n">
        <v>59.8</v>
      </c>
      <c r="K7" s="17" t="n">
        <v>64.7</v>
      </c>
      <c r="L7" s="17" t="n">
        <v>55</v>
      </c>
      <c r="M7" s="14">
        <f>IF(B7=0,0,L7/B7-1)</f>
        <v/>
      </c>
    </row>
    <row r="8">
      <c r="A8" s="4" t="inlineStr">
        <is>
          <t>MLS</t>
        </is>
      </c>
      <c r="B8" s="17" t="n">
        <v>37.00000000000001</v>
      </c>
      <c r="C8" s="17" t="n">
        <v>48.2</v>
      </c>
      <c r="D8" s="17" t="n">
        <v>46.40000000000001</v>
      </c>
      <c r="E8" s="17" t="n">
        <v>50.2</v>
      </c>
      <c r="F8" s="17" t="n">
        <v>55.19999999999999</v>
      </c>
      <c r="G8" s="17" t="n">
        <v>46.4</v>
      </c>
      <c r="H8" s="17" t="n">
        <v>50.49999999999999</v>
      </c>
      <c r="I8" s="17" t="n">
        <v>49.09999999999999</v>
      </c>
      <c r="J8" s="17" t="n">
        <v>45.7</v>
      </c>
      <c r="K8" s="17" t="n">
        <v>53.8</v>
      </c>
      <c r="L8" s="17" t="n">
        <v>50.5</v>
      </c>
      <c r="M8" s="14">
        <f>IF(B8=0,0,L8/B8-1)</f>
        <v/>
      </c>
    </row>
    <row r="9">
      <c r="A9" s="4" t="inlineStr">
        <is>
          <t>PES</t>
        </is>
      </c>
      <c r="B9" s="17" t="n">
        <v>26.3</v>
      </c>
      <c r="C9" s="17" t="n">
        <v>33.8</v>
      </c>
      <c r="D9" s="17" t="n">
        <v>29.6</v>
      </c>
      <c r="E9" s="17" t="n">
        <v>28</v>
      </c>
      <c r="F9" s="17" t="n">
        <v>27.7</v>
      </c>
      <c r="G9" s="17" t="n">
        <v>27.29999999999999</v>
      </c>
      <c r="H9" s="17" t="n">
        <v>24.5</v>
      </c>
      <c r="I9" s="17" t="n">
        <v>22.5</v>
      </c>
      <c r="J9" s="17" t="n">
        <v>22.9</v>
      </c>
      <c r="K9" s="17" t="n">
        <v>21.5</v>
      </c>
      <c r="L9" s="17" t="n">
        <v>24.2</v>
      </c>
      <c r="M9" s="14">
        <f>IF(B9=0,0,L9/B9-1)</f>
        <v/>
      </c>
    </row>
    <row r="10">
      <c r="A10" s="4" t="inlineStr">
        <is>
          <t>FMS</t>
        </is>
      </c>
      <c r="B10" s="17" t="n">
        <v>63.9</v>
      </c>
      <c r="C10" s="17" t="n">
        <v>71.40000000000001</v>
      </c>
      <c r="D10" s="17" t="n">
        <v>75.7</v>
      </c>
      <c r="E10" s="17" t="n">
        <v>74.60000000000001</v>
      </c>
      <c r="F10" s="17" t="n">
        <v>71.70000000000002</v>
      </c>
      <c r="G10" s="17" t="n">
        <v>58.90000000000001</v>
      </c>
      <c r="H10" s="17" t="n">
        <v>67.80000000000001</v>
      </c>
      <c r="I10" s="17" t="n">
        <v>69.69999999999999</v>
      </c>
      <c r="J10" s="17" t="n">
        <v>62.8</v>
      </c>
      <c r="K10" s="17" t="n">
        <v>64.90000000000001</v>
      </c>
      <c r="L10" s="17" t="n">
        <v>66.40000000000001</v>
      </c>
      <c r="M10" s="14">
        <f>IF(B10=0,0,L10/B10-1)</f>
        <v/>
      </c>
    </row>
    <row r="11">
      <c r="A11" s="4" t="inlineStr">
        <is>
          <t>FHS</t>
        </is>
      </c>
      <c r="B11" s="17" t="n">
        <v>102</v>
      </c>
      <c r="C11" s="17" t="n">
        <v>112.5</v>
      </c>
      <c r="D11" s="17" t="n">
        <v>106</v>
      </c>
      <c r="E11" s="17" t="n">
        <v>124.1</v>
      </c>
      <c r="F11" s="17" t="n">
        <v>123.1</v>
      </c>
      <c r="G11" s="17" t="n">
        <v>112.4</v>
      </c>
      <c r="H11" s="17" t="n">
        <v>100.4</v>
      </c>
      <c r="I11" s="17" t="n">
        <v>100</v>
      </c>
      <c r="J11" s="17" t="n">
        <v>97.39999999999999</v>
      </c>
      <c r="K11" s="17" t="n">
        <v>108</v>
      </c>
      <c r="L11" s="17" t="n">
        <v>98.5</v>
      </c>
      <c r="M11" s="14">
        <f>IF(B11=0,0,L11/B11-1)</f>
        <v/>
      </c>
    </row>
    <row r="12">
      <c r="A12" s="4" t="inlineStr">
        <is>
          <t>District</t>
        </is>
      </c>
      <c r="B12" s="17" t="n">
        <v>103.9</v>
      </c>
      <c r="C12" s="17" t="n">
        <v>123.4</v>
      </c>
      <c r="D12" s="17" t="n">
        <v>111.4</v>
      </c>
      <c r="E12" s="17" t="n">
        <v>125.4</v>
      </c>
      <c r="F12" s="17" t="n">
        <v>115.4</v>
      </c>
      <c r="G12" s="17" t="n">
        <v>118.9</v>
      </c>
      <c r="H12" s="17" t="n">
        <v>119.8</v>
      </c>
      <c r="I12" s="17" t="n">
        <v>129.9</v>
      </c>
      <c r="J12" s="17" t="n">
        <v>116.2</v>
      </c>
      <c r="K12" s="17" t="n">
        <v>144.3</v>
      </c>
      <c r="L12" s="17" t="n">
        <v>139.8</v>
      </c>
      <c r="M12" s="14">
        <f>IF(B12=0,0,L12/B12-1)</f>
        <v/>
      </c>
    </row>
    <row r="13">
      <c r="A13" s="7" t="inlineStr">
        <is>
          <t>TOTAL</t>
        </is>
      </c>
      <c r="B13" s="18" t="n">
        <v>446.8</v>
      </c>
      <c r="C13" s="18" t="n">
        <v>520</v>
      </c>
      <c r="D13" s="18" t="n">
        <v>504.4</v>
      </c>
      <c r="E13" s="18" t="n">
        <v>551.5</v>
      </c>
      <c r="F13" s="18" t="n">
        <v>543</v>
      </c>
      <c r="G13" s="18" t="n">
        <v>512.4</v>
      </c>
      <c r="H13" s="18" t="n">
        <v>511.4</v>
      </c>
      <c r="I13" s="18" t="n">
        <v>513.1999999999999</v>
      </c>
      <c r="J13" s="18" t="n">
        <v>483.2</v>
      </c>
      <c r="K13" s="18" t="n">
        <v>546</v>
      </c>
      <c r="L13" s="18" t="n">
        <v>520.1</v>
      </c>
      <c r="M13" s="16">
        <f>IF(B13=0,0,L13/B13-1)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RSU 5: Article Growth Rates Across All FYs</t>
        </is>
      </c>
    </row>
    <row r="3">
      <c r="A3" s="3" t="inlineStr">
        <is>
          <t>Article</t>
        </is>
      </c>
      <c r="B3" s="3" t="inlineStr">
        <is>
          <t>FY27</t>
        </is>
      </c>
      <c r="C3" s="3" t="inlineStr">
        <is>
          <t>Total Growth</t>
        </is>
      </c>
      <c r="D3" s="3" t="inlineStr">
        <is>
          <t>CAGR</t>
        </is>
      </c>
    </row>
    <row r="4">
      <c r="A4" s="19" t="inlineStr">
        <is>
          <t>Art 1 - Regular Instruction</t>
        </is>
      </c>
      <c r="B4" s="20" t="n">
        <v>19860193</v>
      </c>
    </row>
    <row r="5">
      <c r="A5" s="19" t="inlineStr">
        <is>
          <t>Art 2 - Special Education</t>
        </is>
      </c>
      <c r="B5" s="20" t="n">
        <v>7510422</v>
      </c>
    </row>
    <row r="6">
      <c r="A6" s="19" t="inlineStr">
        <is>
          <t>Art 3 - Career &amp; Technical Education</t>
        </is>
      </c>
      <c r="B6" s="20" t="n">
        <v>337282</v>
      </c>
    </row>
    <row r="7">
      <c r="A7" s="19" t="inlineStr">
        <is>
          <t>Art 4 - Other Instruction</t>
        </is>
      </c>
      <c r="B7" s="20" t="n">
        <v>1142974</v>
      </c>
    </row>
    <row r="8">
      <c r="A8" s="19" t="inlineStr">
        <is>
          <t>Art 5 - Student &amp; Staff Support</t>
        </is>
      </c>
      <c r="B8" s="20" t="n">
        <v>4906366</v>
      </c>
    </row>
    <row r="9">
      <c r="A9" s="19" t="inlineStr">
        <is>
          <t>Art 6 - System Administration</t>
        </is>
      </c>
      <c r="B9" s="20" t="n">
        <v>1308008</v>
      </c>
    </row>
    <row r="10">
      <c r="A10" s="19" t="inlineStr">
        <is>
          <t>Art 7 - School Administration</t>
        </is>
      </c>
      <c r="B10" s="20" t="n">
        <v>2638024</v>
      </c>
    </row>
    <row r="11">
      <c r="A11" s="19" t="inlineStr">
        <is>
          <t>Art 8 - Transportation &amp; Buses</t>
        </is>
      </c>
      <c r="B11" s="20" t="n">
        <v>2388457</v>
      </c>
    </row>
    <row r="12">
      <c r="A12" s="19" t="inlineStr">
        <is>
          <t>Art 9 - Facilities &amp; Maintenance</t>
        </is>
      </c>
      <c r="B12" s="20" t="n">
        <v>5993777</v>
      </c>
    </row>
    <row r="13">
      <c r="A13" s="19" t="inlineStr">
        <is>
          <t>Art 10 - Debt Service</t>
        </is>
      </c>
      <c r="B13" s="20" t="n">
        <v>1071577</v>
      </c>
    </row>
    <row r="14">
      <c r="A14" s="19" t="inlineStr">
        <is>
          <t>Art 11 - All Other Expenses</t>
        </is>
      </c>
      <c r="B14" s="20" t="n">
        <v>69796</v>
      </c>
    </row>
    <row r="15">
      <c r="A15" s="21" t="inlineStr">
        <is>
          <t>TOTAL</t>
        </is>
      </c>
      <c r="B15" s="22" t="n">
        <v>47226876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CALC: School-Level Budget Comparison (FY22-FY27)</t>
        </is>
      </c>
    </row>
    <row r="2">
      <c r="A2" t="inlineStr">
        <is>
          <t>All values are adopted budgets from I-BudgetData in each fiscal year workbook.</t>
        </is>
      </c>
    </row>
    <row r="3">
      <c r="A3" t="inlineStr">
        <is>
          <t>Direct school costs = Articles 1 + 2 + 4 + 5 + 7 + 9 allocated to each building.</t>
        </is>
      </c>
    </row>
    <row r="4">
      <c r="A4" t="inlineStr">
        <is>
          <t>Enrollment from Superintendent Handbooks (Oct 1 headcounts). See I-BudgetData in FY22-FY27 workbooks.</t>
        </is>
      </c>
    </row>
    <row r="5">
      <c r="A5" t="inlineStr">
        <is>
          <t>Growth rates: CAGR = (End/Start)^(1/years) - 1.</t>
        </is>
      </c>
    </row>
    <row r="7">
      <c r="A7" s="23" t="inlineStr">
        <is>
          <t>1. DIRECT SCHOOL BUDGETS (Adopted, Articles 1+2+4+5+7+9)</t>
        </is>
      </c>
    </row>
    <row r="8">
      <c r="A8" s="23" t="inlineStr">
        <is>
          <t>School</t>
        </is>
      </c>
      <c r="B8" s="23" t="inlineStr">
        <is>
          <t>FY22</t>
        </is>
      </c>
      <c r="C8" s="23" t="inlineStr">
        <is>
          <t>FY23</t>
        </is>
      </c>
      <c r="D8" s="23" t="inlineStr">
        <is>
          <t>FY24</t>
        </is>
      </c>
      <c r="E8" s="23" t="inlineStr">
        <is>
          <t>FY25</t>
        </is>
      </c>
      <c r="F8" s="23" t="inlineStr">
        <is>
          <t>FY26</t>
        </is>
      </c>
      <c r="G8" s="23" t="inlineStr">
        <is>
          <t>FY27</t>
        </is>
      </c>
      <c r="H8" s="23" t="inlineStr">
        <is>
          <t>$ Change</t>
        </is>
      </c>
      <c r="I8" s="23" t="inlineStr">
        <is>
          <t>% Change</t>
        </is>
      </c>
      <c r="J8" s="23" t="inlineStr">
        <is>
          <t>CAGR</t>
        </is>
      </c>
    </row>
    <row r="9">
      <c r="A9" t="inlineStr">
        <is>
          <t>DCS</t>
        </is>
      </c>
      <c r="B9" s="24" t="n">
        <v>5509152</v>
      </c>
      <c r="C9" s="24" t="n">
        <v>5970223</v>
      </c>
      <c r="D9" s="24" t="n">
        <v>6349743</v>
      </c>
      <c r="E9" s="24" t="n">
        <v>6903159</v>
      </c>
      <c r="F9" s="24" t="n">
        <v>7444449</v>
      </c>
      <c r="G9" s="24" t="n">
        <v>8035575</v>
      </c>
      <c r="H9" s="25" t="n">
        <v>2526423</v>
      </c>
      <c r="I9" s="26" t="n">
        <v>0.4585865483471867</v>
      </c>
      <c r="J9" s="26" t="n">
        <v>0.07841629331104549</v>
      </c>
    </row>
    <row r="10">
      <c r="A10" t="inlineStr">
        <is>
          <t>MSS</t>
        </is>
      </c>
      <c r="B10" s="24" t="n">
        <v>3478156</v>
      </c>
      <c r="C10" s="24" t="n">
        <v>3806987</v>
      </c>
      <c r="D10" s="24" t="n">
        <v>4160223</v>
      </c>
      <c r="E10" s="24" t="n">
        <v>4480324</v>
      </c>
      <c r="F10" s="24" t="n">
        <v>4659054</v>
      </c>
      <c r="G10" s="24" t="n">
        <v>4942823</v>
      </c>
      <c r="H10" s="25" t="n">
        <v>1464667</v>
      </c>
      <c r="I10" s="26" t="n">
        <v>0.4211044587994328</v>
      </c>
      <c r="J10" s="26" t="n">
        <v>0.07281589735163063</v>
      </c>
    </row>
    <row r="11">
      <c r="A11" t="inlineStr">
        <is>
          <t>PES</t>
        </is>
      </c>
      <c r="B11" s="24" t="n">
        <v>1645284</v>
      </c>
      <c r="C11" s="24" t="n">
        <v>1868327</v>
      </c>
      <c r="D11" s="24" t="n">
        <v>1859665</v>
      </c>
      <c r="E11" s="24" t="n">
        <v>1992101</v>
      </c>
      <c r="F11" s="24" t="n">
        <v>2158007</v>
      </c>
      <c r="G11" s="24" t="n">
        <v>2270105</v>
      </c>
      <c r="H11" s="25" t="n">
        <v>624821</v>
      </c>
      <c r="I11" s="26" t="n">
        <v>0.3797648308741834</v>
      </c>
      <c r="J11" s="26" t="n">
        <v>0.06650037916020968</v>
      </c>
    </row>
    <row r="12">
      <c r="A12" t="inlineStr">
        <is>
          <t>MLS</t>
        </is>
      </c>
      <c r="B12" s="24" t="n">
        <v>3197486</v>
      </c>
      <c r="C12" s="24" t="n">
        <v>3466532</v>
      </c>
      <c r="D12" s="24" t="n">
        <v>3545024</v>
      </c>
      <c r="E12" s="24" t="n">
        <v>4053005</v>
      </c>
      <c r="F12" s="24" t="n">
        <v>4408771</v>
      </c>
      <c r="G12" s="24" t="n">
        <v>4568270</v>
      </c>
      <c r="H12" s="25" t="n">
        <v>1370784</v>
      </c>
      <c r="I12" s="26" t="n">
        <v>0.4287068027819356</v>
      </c>
      <c r="J12" s="26" t="n">
        <v>0.07396127676097541</v>
      </c>
    </row>
    <row r="13">
      <c r="A13" t="inlineStr">
        <is>
          <t>FMS</t>
        </is>
      </c>
      <c r="B13" s="24" t="n">
        <v>4635126</v>
      </c>
      <c r="C13" s="24" t="n">
        <v>4937218</v>
      </c>
      <c r="D13" s="24" t="n">
        <v>5456378</v>
      </c>
      <c r="E13" s="24" t="n">
        <v>5678540</v>
      </c>
      <c r="F13" s="24" t="n">
        <v>5964288</v>
      </c>
      <c r="G13" s="24" t="n">
        <v>6136815</v>
      </c>
      <c r="H13" s="25" t="n">
        <v>1501689</v>
      </c>
      <c r="I13" s="26" t="n">
        <v>0.3239801895353007</v>
      </c>
      <c r="J13" s="26" t="n">
        <v>0.05773359267439782</v>
      </c>
    </row>
    <row r="14">
      <c r="A14" t="inlineStr">
        <is>
          <t>FHS</t>
        </is>
      </c>
      <c r="B14" s="24" t="n">
        <v>8837419</v>
      </c>
      <c r="C14" s="24" t="n">
        <v>8904609</v>
      </c>
      <c r="D14" s="24" t="n">
        <v>8865428</v>
      </c>
      <c r="E14" s="24" t="n">
        <v>9929358</v>
      </c>
      <c r="F14" s="24" t="n">
        <v>10029663</v>
      </c>
      <c r="G14" s="24" t="n">
        <v>10481438</v>
      </c>
      <c r="H14" s="25" t="n">
        <v>1644019</v>
      </c>
      <c r="I14" s="26" t="n">
        <v>0.1860293146675518</v>
      </c>
      <c r="J14" s="26" t="n">
        <v>0.03471104431923888</v>
      </c>
    </row>
    <row r="15">
      <c r="A15" s="23" t="inlineStr">
        <is>
          <t>RSU Total</t>
        </is>
      </c>
      <c r="B15" s="24" t="n">
        <v>35714863</v>
      </c>
      <c r="C15" s="24" t="n">
        <v>37223151</v>
      </c>
      <c r="D15" s="24" t="n">
        <v>39080569</v>
      </c>
      <c r="E15" s="24" t="n">
        <v>41612460</v>
      </c>
      <c r="F15" s="24" t="n">
        <v>44455929</v>
      </c>
      <c r="G15" s="24" t="n">
        <v>47357441</v>
      </c>
      <c r="H15" s="25" t="n">
        <v>11642578</v>
      </c>
      <c r="I15" s="26" t="n">
        <v>0.3259869147475101</v>
      </c>
      <c r="J15" s="26" t="n">
        <v>0.05805403477708992</v>
      </c>
    </row>
    <row r="17">
      <c r="A17" s="23" t="inlineStr">
        <is>
          <t>2. ENROLLMENT (Oct 1 headcounts from Superintendent Handbooks)</t>
        </is>
      </c>
    </row>
    <row r="18">
      <c r="A18" s="23" t="inlineStr">
        <is>
          <t>School</t>
        </is>
      </c>
      <c r="B18" s="23" t="inlineStr">
        <is>
          <t>Oct 2021</t>
        </is>
      </c>
      <c r="C18" s="23" t="inlineStr">
        <is>
          <t>Oct 2022</t>
        </is>
      </c>
      <c r="D18" s="23" t="inlineStr">
        <is>
          <t>Oct 2023</t>
        </is>
      </c>
      <c r="E18" s="23" t="inlineStr">
        <is>
          <t>Oct 2024</t>
        </is>
      </c>
      <c r="F18" s="23" t="inlineStr">
        <is>
          <t>Oct 2025</t>
        </is>
      </c>
      <c r="G18" s="23" t="inlineStr">
        <is>
          <t>Oct 2026P</t>
        </is>
      </c>
      <c r="H18" s="23" t="inlineStr">
        <is>
          <t>Change</t>
        </is>
      </c>
      <c r="I18" s="23" t="inlineStr">
        <is>
          <t>% Change</t>
        </is>
      </c>
    </row>
    <row r="19">
      <c r="A19" t="inlineStr">
        <is>
          <t>DCS</t>
        </is>
      </c>
      <c r="B19" t="n">
        <v>455</v>
      </c>
      <c r="C19" t="n">
        <v>463</v>
      </c>
      <c r="D19" t="n">
        <v>473</v>
      </c>
      <c r="E19" t="n">
        <v>466</v>
      </c>
      <c r="F19" t="n">
        <v>453</v>
      </c>
      <c r="G19" t="n">
        <v>467</v>
      </c>
      <c r="H19" t="n">
        <v>12</v>
      </c>
      <c r="I19" s="26" t="n">
        <v>0.02637362637362628</v>
      </c>
    </row>
    <row r="20">
      <c r="A20" t="inlineStr">
        <is>
          <t>MSS</t>
        </is>
      </c>
      <c r="B20" t="n">
        <v>301</v>
      </c>
      <c r="C20" t="n">
        <v>327</v>
      </c>
      <c r="D20" t="n">
        <v>316</v>
      </c>
      <c r="E20" t="n">
        <v>288</v>
      </c>
      <c r="F20" t="n">
        <v>275</v>
      </c>
      <c r="G20" t="n">
        <v>274</v>
      </c>
      <c r="H20" t="n">
        <v>-27</v>
      </c>
      <c r="I20" s="26" t="n">
        <v>-0.0897009966777409</v>
      </c>
    </row>
    <row r="21">
      <c r="A21" t="inlineStr">
        <is>
          <t>PES</t>
        </is>
      </c>
      <c r="B21" t="n">
        <v>108</v>
      </c>
      <c r="C21" t="n">
        <v>96</v>
      </c>
      <c r="D21" t="n">
        <v>89</v>
      </c>
      <c r="E21" t="n">
        <v>97</v>
      </c>
      <c r="F21" t="n">
        <v>98</v>
      </c>
      <c r="G21" t="n">
        <v>105</v>
      </c>
      <c r="H21" t="n">
        <v>-3</v>
      </c>
      <c r="I21" s="26" t="n">
        <v>-0.02777777777777779</v>
      </c>
    </row>
    <row r="22">
      <c r="A22" t="inlineStr">
        <is>
          <t>MLS</t>
        </is>
      </c>
      <c r="B22" t="n">
        <v>235</v>
      </c>
      <c r="C22" t="n">
        <v>254</v>
      </c>
      <c r="D22" t="n">
        <v>281</v>
      </c>
      <c r="E22" t="n">
        <v>266</v>
      </c>
      <c r="F22" t="n">
        <v>282</v>
      </c>
      <c r="G22" t="n">
        <v>264</v>
      </c>
      <c r="H22" t="n">
        <v>29</v>
      </c>
      <c r="I22" s="26" t="n">
        <v>0.123404255319149</v>
      </c>
    </row>
    <row r="23">
      <c r="A23" t="inlineStr">
        <is>
          <t>FMS</t>
        </is>
      </c>
      <c r="B23" t="n">
        <v>296</v>
      </c>
      <c r="C23" t="n">
        <v>307</v>
      </c>
      <c r="D23" t="n">
        <v>293</v>
      </c>
      <c r="E23" t="n">
        <v>288</v>
      </c>
      <c r="F23" t="n">
        <v>286</v>
      </c>
      <c r="G23" t="n">
        <v>306</v>
      </c>
      <c r="H23" t="n">
        <v>10</v>
      </c>
      <c r="I23" s="26" t="n">
        <v>0.03378378378378377</v>
      </c>
    </row>
    <row r="24">
      <c r="A24" t="inlineStr">
        <is>
          <t>FHS</t>
        </is>
      </c>
      <c r="B24" t="n">
        <v>595</v>
      </c>
      <c r="C24" t="n">
        <v>619</v>
      </c>
      <c r="D24" t="n">
        <v>632</v>
      </c>
      <c r="E24" t="n">
        <v>592</v>
      </c>
      <c r="F24" t="n">
        <v>577</v>
      </c>
      <c r="G24" t="n">
        <v>554</v>
      </c>
      <c r="H24" t="n">
        <v>-41</v>
      </c>
      <c r="I24" s="26" t="n">
        <v>-0.06890756302521006</v>
      </c>
    </row>
    <row r="25">
      <c r="A25" s="23" t="inlineStr">
        <is>
          <t>Total</t>
        </is>
      </c>
      <c r="B25" t="n">
        <v>1990</v>
      </c>
      <c r="C25" t="n">
        <v>2066</v>
      </c>
      <c r="D25" t="n">
        <v>2084</v>
      </c>
      <c r="E25" t="n">
        <v>1997</v>
      </c>
      <c r="F25" t="n">
        <v>1971</v>
      </c>
      <c r="G25" t="n">
        <v>1970</v>
      </c>
      <c r="H25" t="n">
        <v>-20</v>
      </c>
      <c r="I25" s="26" t="n">
        <v>-0.01005025125628145</v>
      </c>
    </row>
    <row r="27">
      <c r="A27" s="23" t="inlineStr">
        <is>
          <t>3. PER-STUDENT COST (Adopted Budget / Oct 1 Enrollment)</t>
        </is>
      </c>
    </row>
    <row r="28">
      <c r="A28" s="23" t="inlineStr">
        <is>
          <t>School</t>
        </is>
      </c>
      <c r="B28" s="23" t="inlineStr">
        <is>
          <t>FY22</t>
        </is>
      </c>
      <c r="C28" s="23" t="inlineStr">
        <is>
          <t>FY23</t>
        </is>
      </c>
      <c r="D28" s="23" t="inlineStr">
        <is>
          <t>FY24</t>
        </is>
      </c>
      <c r="E28" s="23" t="inlineStr">
        <is>
          <t>FY25</t>
        </is>
      </c>
      <c r="F28" s="23" t="inlineStr">
        <is>
          <t>FY26</t>
        </is>
      </c>
      <c r="G28" s="23" t="inlineStr">
        <is>
          <t>FY27</t>
        </is>
      </c>
      <c r="H28" s="23" t="inlineStr">
        <is>
          <t>Change</t>
        </is>
      </c>
      <c r="I28" s="23" t="inlineStr">
        <is>
          <t>% Change</t>
        </is>
      </c>
    </row>
    <row r="29">
      <c r="A29" t="inlineStr">
        <is>
          <t>DCS</t>
        </is>
      </c>
      <c r="B29" s="24" t="n">
        <v>12108</v>
      </c>
      <c r="C29" s="24" t="n">
        <v>12895</v>
      </c>
      <c r="D29" s="24" t="n">
        <v>13424</v>
      </c>
      <c r="E29" s="24" t="n">
        <v>14814</v>
      </c>
      <c r="F29" s="24" t="n">
        <v>16434</v>
      </c>
      <c r="G29" s="24" t="n">
        <v>17207</v>
      </c>
      <c r="H29" s="25" t="n">
        <v>5099</v>
      </c>
      <c r="I29" s="26" t="n">
        <v>0.4211068083468308</v>
      </c>
    </row>
    <row r="30">
      <c r="A30" t="inlineStr">
        <is>
          <t>MSS</t>
        </is>
      </c>
      <c r="B30" s="24" t="n">
        <v>11555</v>
      </c>
      <c r="C30" s="24" t="n">
        <v>11642</v>
      </c>
      <c r="D30" s="24" t="n">
        <v>13165</v>
      </c>
      <c r="E30" s="24" t="n">
        <v>15557</v>
      </c>
      <c r="F30" s="24" t="n">
        <v>16942</v>
      </c>
      <c r="G30" s="24" t="n">
        <v>18040</v>
      </c>
      <c r="H30" s="25" t="n">
        <v>6484</v>
      </c>
      <c r="I30" s="26" t="n">
        <v>0.5611402996300339</v>
      </c>
    </row>
    <row r="31">
      <c r="A31" t="inlineStr">
        <is>
          <t>PES</t>
        </is>
      </c>
      <c r="B31" s="24" t="n">
        <v>15234</v>
      </c>
      <c r="C31" s="24" t="n">
        <v>19462</v>
      </c>
      <c r="D31" s="24" t="n">
        <v>20895</v>
      </c>
      <c r="E31" s="24" t="n">
        <v>20537</v>
      </c>
      <c r="F31" s="24" t="n">
        <v>22020</v>
      </c>
      <c r="G31" s="24" t="n">
        <v>21620</v>
      </c>
      <c r="H31" s="25" t="n">
        <v>6386</v>
      </c>
      <c r="I31" s="26" t="n">
        <v>0.4191866831848743</v>
      </c>
    </row>
    <row r="32">
      <c r="A32" t="inlineStr">
        <is>
          <t>MLS</t>
        </is>
      </c>
      <c r="B32" s="24" t="n">
        <v>13606</v>
      </c>
      <c r="C32" s="24" t="n">
        <v>13648</v>
      </c>
      <c r="D32" s="24" t="n">
        <v>12616</v>
      </c>
      <c r="E32" s="24" t="n">
        <v>15237</v>
      </c>
      <c r="F32" s="24" t="n">
        <v>15634</v>
      </c>
      <c r="G32" s="24" t="n">
        <v>17304</v>
      </c>
      <c r="H32" s="25" t="n">
        <v>3698</v>
      </c>
      <c r="I32" s="26" t="n">
        <v>0.2717655252036169</v>
      </c>
    </row>
    <row r="33">
      <c r="A33" t="inlineStr">
        <is>
          <t>FMS</t>
        </is>
      </c>
      <c r="B33" s="24" t="n">
        <v>15659</v>
      </c>
      <c r="C33" s="24" t="n">
        <v>16082</v>
      </c>
      <c r="D33" s="24" t="n">
        <v>18622</v>
      </c>
      <c r="E33" s="24" t="n">
        <v>19717</v>
      </c>
      <c r="F33" s="24" t="n">
        <v>20854</v>
      </c>
      <c r="G33" s="24" t="n">
        <v>20055</v>
      </c>
      <c r="H33" s="25" t="n">
        <v>4396</v>
      </c>
      <c r="I33" s="26" t="n">
        <v>0.2807128630798987</v>
      </c>
    </row>
    <row r="34">
      <c r="A34" t="inlineStr">
        <is>
          <t>FHS</t>
        </is>
      </c>
      <c r="B34" s="24" t="n">
        <v>14853</v>
      </c>
      <c r="C34" s="24" t="n">
        <v>14385</v>
      </c>
      <c r="D34" s="24" t="n">
        <v>14028</v>
      </c>
      <c r="E34" s="24" t="n">
        <v>16773</v>
      </c>
      <c r="F34" s="24" t="n">
        <v>17382</v>
      </c>
      <c r="G34" s="24" t="n">
        <v>18920</v>
      </c>
      <c r="H34" s="25" t="n">
        <v>4067</v>
      </c>
      <c r="I34" s="26" t="n">
        <v>0.273804047341504</v>
      </c>
    </row>
    <row r="36">
      <c r="A36" s="23" t="inlineStr">
        <is>
          <t>4. METHODOLOGY</t>
        </is>
      </c>
    </row>
    <row r="37">
      <c r="A37" t="inlineStr">
        <is>
          <t>Budget source: I-BudgetData sheet in each FY workbook (FY22-FY26), I-Budget in FY27.</t>
        </is>
      </c>
    </row>
    <row r="38">
      <c r="A38" t="inlineStr">
        <is>
          <t>Direct costs = sum of Articles 1, 2, 4, 5, 7, 9 for each cost center (school).</t>
        </is>
      </c>
    </row>
    <row r="39">
      <c r="A39" t="inlineStr">
        <is>
          <t>System-wide articles (3, 6, 8, 10, 11) are NOT included; they are shared across all schools.</t>
        </is>
      </c>
    </row>
    <row r="40">
      <c r="A40" t="inlineStr">
        <is>
          <t>Enrollment source: Oct 1 headcounts from Superintendent Handbooks, matched to fiscal year.</t>
        </is>
      </c>
    </row>
    <row r="41">
      <c r="A41" t="inlineStr">
        <is>
          <t>FY22 uses Oct 2021 count; FY27 uses Oct 2026 projected. Enrollment is for the school year starting that fiscal year.</t>
        </is>
      </c>
    </row>
    <row r="42">
      <c r="A42" t="inlineStr">
        <is>
          <t>CAGR = Compound Annual Growth Rate = (FY27/FY22)^(1/5) - 1.</t>
        </is>
      </c>
    </row>
    <row r="43">
      <c r="A43" t="inlineStr">
        <is>
          <t>Per-student cost = Direct budget / Oct 1 enrollment for the corresponding year.</t>
        </is>
      </c>
    </row>
    <row r="44">
      <c r="A44" t="inlineStr">
        <is>
          <t>Referenced in: Omnibus Sections 3.3, 3.4, Executive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2026-03-13T03:15:50Z</dcterms:created>
  <dcterms:modified xmlns:dcterms="http://purl.org/dc/terms/" xmlns:xsi="http://www.w3.org/2001/XMLSchema-instance" xsi:type="dcterms:W3CDTF">2026-03-17T14:33:27Z</dcterms:modified>
</cp:coreProperties>
</file>
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-BudgetData" sheetId="2" state="visible" r:id="rId2"/>
    <sheet xmlns:r="http://schemas.openxmlformats.org/officeDocument/2006/relationships" name="I-Enrollment" sheetId="3" state="visible" r:id="rId3"/>
    <sheet xmlns:r="http://schemas.openxmlformats.org/officeDocument/2006/relationships" name="I-DOEStaffing" sheetId="4" state="visible" r:id="rId4"/>
    <sheet xmlns:r="http://schemas.openxmlformats.org/officeDocument/2006/relationships" name="I-CostGrowth" sheetId="5" state="visible" r:id="rId5"/>
    <sheet xmlns:r="http://schemas.openxmlformats.org/officeDocument/2006/relationships" name="C-GrowthTrends" sheetId="6" state="visible" r:id="rId6"/>
    <sheet xmlns:r="http://schemas.openxmlformats.org/officeDocument/2006/relationships" name="C-CostPerStudent" sheetId="7" state="visible" r:id="rId7"/>
    <sheet xmlns:r="http://schemas.openxmlformats.org/officeDocument/2006/relationships" name="Art 1" sheetId="8" state="visible" r:id="rId8"/>
    <sheet xmlns:r="http://schemas.openxmlformats.org/officeDocument/2006/relationships" name="Art 2" sheetId="9" state="visible" r:id="rId9"/>
    <sheet xmlns:r="http://schemas.openxmlformats.org/officeDocument/2006/relationships" name="Art 3" sheetId="10" state="visible" r:id="rId10"/>
    <sheet xmlns:r="http://schemas.openxmlformats.org/officeDocument/2006/relationships" name="Art 4" sheetId="11" state="visible" r:id="rId11"/>
    <sheet xmlns:r="http://schemas.openxmlformats.org/officeDocument/2006/relationships" name="Art 5" sheetId="12" state="visible" r:id="rId12"/>
    <sheet xmlns:r="http://schemas.openxmlformats.org/officeDocument/2006/relationships" name="Art 6" sheetId="13" state="visible" r:id="rId13"/>
    <sheet xmlns:r="http://schemas.openxmlformats.org/officeDocument/2006/relationships" name="Art 7" sheetId="14" state="visible" r:id="rId14"/>
    <sheet xmlns:r="http://schemas.openxmlformats.org/officeDocument/2006/relationships" name="Art 8" sheetId="15" state="visible" r:id="rId15"/>
    <sheet xmlns:r="http://schemas.openxmlformats.org/officeDocument/2006/relationships" name="Art 9" sheetId="16" state="visible" r:id="rId16"/>
    <sheet xmlns:r="http://schemas.openxmlformats.org/officeDocument/2006/relationships" name="Art 10" sheetId="17" state="visible" r:id="rId17"/>
    <sheet xmlns:r="http://schemas.openxmlformats.org/officeDocument/2006/relationships" name="Art 11" sheetId="18" state="visible" r:id="rId18"/>
    <sheet xmlns:r="http://schemas.openxmlformats.org/officeDocument/2006/relationships" name="C-Verific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2"/>
    </font>
    <font>
      <b val="1"/>
      <sz val="11"/>
    </font>
    <font>
      <b val="1"/>
      <color rgb="00C00000"/>
      <sz val="11"/>
    </font>
    <font>
      <i val="1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10" fontId="0" fillId="3" borderId="1" pivotButton="0" quotePrefix="0" xfId="0"/>
    <xf numFmtId="0" fontId="6" fillId="4" borderId="0" applyAlignment="1" pivotButton="0" quotePrefix="0" xfId="0">
      <alignment wrapText="1"/>
    </xf>
    <xf numFmtId="0" fontId="0" fillId="0" borderId="2" pivotButton="0" quotePrefix="0" xfId="0"/>
    <xf numFmtId="3" fontId="0" fillId="5" borderId="1" pivotButton="0" quotePrefix="0" xfId="0"/>
    <xf numFmtId="3" fontId="4" fillId="6" borderId="2" pivotButton="0" quotePrefix="0" xfId="0"/>
    <xf numFmtId="0" fontId="5" fillId="3" borderId="2" pivotButton="0" quotePrefix="0" xfId="0"/>
    <xf numFmtId="3" fontId="5" fillId="3" borderId="2" pivotButton="0" quotePrefix="0" xfId="0"/>
    <xf numFmtId="0" fontId="4" fillId="0" borderId="2" pivotButton="0" quotePrefix="0" xfId="0"/>
    <xf numFmtId="3" fontId="0" fillId="6" borderId="2" pivotButton="0" quotePrefix="0" xfId="0"/>
    <xf numFmtId="0" fontId="0" fillId="5" borderId="1" pivotButton="0" quotePrefix="0" xfId="0"/>
    <xf numFmtId="4" fontId="0" fillId="5" borderId="1" pivotButton="0" quotePrefix="0" xfId="0"/>
    <xf numFmtId="4" fontId="4" fillId="3" borderId="1" pivotButton="0" quotePrefix="0" xfId="0"/>
    <xf numFmtId="4" fontId="0" fillId="0" borderId="1" pivotButton="0" quotePrefix="0" xfId="0"/>
    <xf numFmtId="10" fontId="0" fillId="5" borderId="1" pivotButton="0" quotePrefix="0" xfId="0"/>
    <xf numFmtId="10" fontId="0" fillId="0" borderId="2" pivotButton="0" quotePrefix="0" xfId="0"/>
    <xf numFmtId="10" fontId="5" fillId="3" borderId="2" pivotButton="0" quotePrefix="0" xfId="0"/>
    <xf numFmtId="0" fontId="4" fillId="7" borderId="2" pivotButton="0" quotePrefix="0" xfId="0"/>
    <xf numFmtId="4" fontId="4" fillId="7" borderId="2" pivotButton="0" quotePrefix="0" xfId="0"/>
    <xf numFmtId="0" fontId="4" fillId="6" borderId="2" pivotButton="0" quotePrefix="0" xfId="0"/>
    <xf numFmtId="4" fontId="4" fillId="6" borderId="2" pivotButton="0" quotePrefix="0" xfId="0"/>
    <xf numFmtId="4" fontId="5" fillId="3" borderId="2" pivotButton="0" quotePrefix="0" xfId="0"/>
    <xf numFmtId="0" fontId="5" fillId="2" borderId="2" pivotButton="0" quotePrefix="0" xfId="0"/>
    <xf numFmtId="4" fontId="5" fillId="2" borderId="2" pivotButton="0" quotePrefix="0" xfId="0"/>
    <xf numFmtId="0" fontId="0" fillId="6" borderId="1" pivotButton="0" quotePrefix="0" xfId="0"/>
    <xf numFmtId="3" fontId="0" fillId="6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RSU 5 Budget Analysis -- FY23</t>
        </is>
      </c>
    </row>
    <row r="3">
      <c r="A3" s="2" t="inlineStr">
        <is>
          <t>Fiscal Year 2022-2023</t>
        </is>
      </c>
    </row>
    <row r="4">
      <c r="A4" s="2" t="inlineStr">
        <is>
          <t>Prior year adopted: $37,223,151</t>
        </is>
      </c>
    </row>
    <row r="6">
      <c r="A6" s="3" t="inlineStr">
        <is>
          <t>Verification Status</t>
        </is>
      </c>
    </row>
    <row r="7">
      <c r="A7" s="4" t="inlineStr">
        <is>
          <t>No verification targets available for this FY</t>
        </is>
      </c>
    </row>
    <row r="9">
      <c r="A9" s="3" t="inlineStr">
        <is>
          <t>Article Breakdown</t>
        </is>
      </c>
    </row>
    <row r="10">
      <c r="A10" s="5" t="inlineStr">
        <is>
          <t>Article</t>
        </is>
      </c>
      <c r="B10" s="5" t="inlineStr">
        <is>
          <t>Name</t>
        </is>
      </c>
      <c r="C10" s="5" t="inlineStr">
        <is>
          <t>Total</t>
        </is>
      </c>
      <c r="D10" s="5" t="inlineStr">
        <is>
          <t>% of Budget</t>
        </is>
      </c>
    </row>
    <row r="11">
      <c r="A11" s="6" t="inlineStr">
        <is>
          <t>Art 1</t>
        </is>
      </c>
      <c r="B11" s="6" t="inlineStr">
        <is>
          <t>Regular Instruction</t>
        </is>
      </c>
      <c r="C11" s="7" t="n">
        <v>16356356</v>
      </c>
      <c r="D11" s="8" t="n">
        <v>0.4679196762386953</v>
      </c>
    </row>
    <row r="12">
      <c r="A12" s="6" t="inlineStr">
        <is>
          <t>Art 2</t>
        </is>
      </c>
      <c r="B12" s="6" t="inlineStr">
        <is>
          <t>Special Education</t>
        </is>
      </c>
      <c r="C12" s="7" t="n">
        <v>4703567</v>
      </c>
      <c r="D12" s="8" t="n">
        <v>0.1345587946243657</v>
      </c>
    </row>
    <row r="13">
      <c r="A13" s="6" t="inlineStr">
        <is>
          <t>Art 3</t>
        </is>
      </c>
      <c r="B13" s="6" t="inlineStr">
        <is>
          <t>Career &amp; Technical Education</t>
        </is>
      </c>
      <c r="C13" s="7" t="n">
        <v>29.11</v>
      </c>
      <c r="D13" s="8" t="n">
        <v>8.32773618727082e-07</v>
      </c>
    </row>
    <row r="14">
      <c r="A14" s="6" t="inlineStr">
        <is>
          <t>Art 4</t>
        </is>
      </c>
      <c r="B14" s="6" t="inlineStr">
        <is>
          <t>Other Instruction</t>
        </is>
      </c>
      <c r="C14" s="7" t="n">
        <v>856841</v>
      </c>
      <c r="D14" s="8" t="n">
        <v>0.0245123524645734</v>
      </c>
    </row>
    <row r="15">
      <c r="A15" s="6" t="inlineStr">
        <is>
          <t>Art 5</t>
        </is>
      </c>
      <c r="B15" s="6" t="inlineStr">
        <is>
          <t>Student &amp; Staff Support</t>
        </is>
      </c>
      <c r="C15" s="7" t="n">
        <v>3594807</v>
      </c>
      <c r="D15" s="8" t="n">
        <v>0.1028395889390397</v>
      </c>
    </row>
    <row r="16">
      <c r="A16" s="6" t="inlineStr">
        <is>
          <t>Art 6</t>
        </is>
      </c>
      <c r="B16" s="6" t="inlineStr">
        <is>
          <t>System Administration</t>
        </is>
      </c>
      <c r="C16" s="7" t="n">
        <v>990353</v>
      </c>
      <c r="D16" s="8" t="n">
        <v>0.02833183962992861</v>
      </c>
    </row>
    <row r="17">
      <c r="A17" s="6" t="inlineStr">
        <is>
          <t>Art 7</t>
        </is>
      </c>
      <c r="B17" s="6" t="inlineStr">
        <is>
          <t>School Administration</t>
        </is>
      </c>
      <c r="C17" s="7" t="n">
        <v>1942616</v>
      </c>
      <c r="D17" s="8" t="n">
        <v>0.05557400742415421</v>
      </c>
    </row>
    <row r="18">
      <c r="A18" s="6" t="inlineStr">
        <is>
          <t>Art 8</t>
        </is>
      </c>
      <c r="B18" s="6" t="inlineStr">
        <is>
          <t>Transportation &amp; Buses</t>
        </is>
      </c>
      <c r="C18" s="7" t="n">
        <v>1438023</v>
      </c>
      <c r="D18" s="8" t="n">
        <v>0.04113870207910596</v>
      </c>
    </row>
    <row r="19">
      <c r="A19" s="6" t="inlineStr">
        <is>
          <t>Art 9</t>
        </is>
      </c>
      <c r="B19" s="6" t="inlineStr">
        <is>
          <t>Facilities &amp; Maintenance</t>
        </is>
      </c>
      <c r="C19" s="7" t="n">
        <v>5100232</v>
      </c>
      <c r="D19" s="8" t="n">
        <v>0.1459065152520667</v>
      </c>
    </row>
    <row r="20">
      <c r="A20" s="6" t="inlineStr">
        <is>
          <t>Art 10</t>
        </is>
      </c>
      <c r="B20" s="6" t="inlineStr">
        <is>
          <t>Debt Service</t>
        </is>
      </c>
      <c r="C20" s="7" t="n">
        <v>-27346</v>
      </c>
      <c r="D20" s="8" t="n">
        <v>-0.0007823094255482922</v>
      </c>
    </row>
    <row r="21">
      <c r="A21" s="6" t="inlineStr">
        <is>
          <t>Art 11</t>
        </is>
      </c>
      <c r="B21" s="6" t="inlineStr">
        <is>
          <t>All Other Expenses</t>
        </is>
      </c>
      <c r="C21" s="7" t="n">
        <v>0</v>
      </c>
      <c r="D21" s="8" t="n">
        <v>0</v>
      </c>
    </row>
    <row r="22">
      <c r="A22" s="9" t="inlineStr">
        <is>
          <t>TOTAL</t>
        </is>
      </c>
      <c r="B22" s="10" t="inlineStr"/>
      <c r="C22" s="11" t="n">
        <v>34955478.11</v>
      </c>
      <c r="D22" s="12" t="n">
        <v>1</v>
      </c>
    </row>
    <row r="24">
      <c r="A24" s="13" t="inlineStr">
        <is>
          <t>Data parsed from RSU 5 budget documents (rsu5.org/budget).</t>
        </is>
      </c>
    </row>
    <row r="25">
      <c r="A25" s="13" t="inlineStr">
        <is>
          <t>All totals independently computed from line-item data.</t>
        </is>
      </c>
    </row>
    <row r="26">
      <c r="A26" s="13" t="inlineStr">
        <is>
          <t>See C-Verification sheet for detailed tie-out.</t>
        </is>
      </c>
    </row>
  </sheetData>
  <mergeCells count="3">
    <mergeCell ref="A24:F24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FY23 Budget by Article x Cost Center</t>
        </is>
      </c>
    </row>
    <row r="2">
      <c r="A2" s="13" t="inlineStr">
        <is>
          <t>Source: Parsed from budget documents (doc_type=adopted)</t>
        </is>
      </c>
    </row>
    <row r="3">
      <c r="A3" s="13" t="inlineStr">
        <is>
          <t>Baseline status: UNRECONCILED</t>
        </is>
      </c>
    </row>
    <row r="4">
      <c r="A4" s="13" t="inlineStr">
        <is>
          <t>Column shown: FY23 Adopted</t>
        </is>
      </c>
    </row>
    <row r="6">
      <c r="A6" s="5" t="inlineStr">
        <is>
          <t>Article</t>
        </is>
      </c>
      <c r="B6" s="5" t="inlineStr">
        <is>
          <t>DCS</t>
        </is>
      </c>
      <c r="C6" s="5" t="inlineStr">
        <is>
          <t>MSS</t>
        </is>
      </c>
      <c r="D6" s="5" t="inlineStr">
        <is>
          <t>PES</t>
        </is>
      </c>
      <c r="E6" s="5" t="inlineStr">
        <is>
          <t>MLS</t>
        </is>
      </c>
      <c r="F6" s="5" t="inlineStr">
        <is>
          <t>FMS</t>
        </is>
      </c>
      <c r="G6" s="5" t="inlineStr">
        <is>
          <t>FHS</t>
        </is>
      </c>
      <c r="H6" s="5" t="inlineStr">
        <is>
          <t>SYS</t>
        </is>
      </c>
      <c r="I6" s="5" t="inlineStr">
        <is>
          <t>K8</t>
        </is>
      </c>
      <c r="J6" s="5" t="inlineStr">
        <is>
          <t>912</t>
        </is>
      </c>
      <c r="K6" s="5" t="inlineStr">
        <is>
          <t>CTRL</t>
        </is>
      </c>
      <c r="L6" s="5" t="inlineStr">
        <is>
          <t>Total</t>
        </is>
      </c>
    </row>
    <row r="7">
      <c r="A7" s="14" t="inlineStr">
        <is>
          <t>Art 1 - Regular Instruction</t>
        </is>
      </c>
      <c r="B7" s="15" t="n">
        <v>3538314</v>
      </c>
      <c r="C7" s="15" t="n">
        <v>2325342</v>
      </c>
      <c r="D7" s="15" t="n">
        <v>1063269</v>
      </c>
      <c r="E7" s="15" t="n">
        <v>1869109</v>
      </c>
      <c r="F7" s="15" t="n">
        <v>2608694</v>
      </c>
      <c r="G7" s="15" t="n">
        <v>4278902</v>
      </c>
      <c r="H7" s="15" t="n">
        <v>177000</v>
      </c>
      <c r="I7" s="15" t="n">
        <v>454911</v>
      </c>
      <c r="J7" s="15" t="n">
        <v>40815</v>
      </c>
      <c r="K7" s="14" t="n">
        <v>0</v>
      </c>
      <c r="L7" s="16">
        <f>SUM(B7:K7)</f>
        <v/>
      </c>
    </row>
    <row r="8">
      <c r="A8" s="14" t="inlineStr">
        <is>
          <t>Art 2 - Special Education</t>
        </is>
      </c>
      <c r="B8" s="15" t="n">
        <v>1042841</v>
      </c>
      <c r="C8" s="15" t="n">
        <v>557044</v>
      </c>
      <c r="D8" s="15" t="n">
        <v>188925</v>
      </c>
      <c r="E8" s="15" t="n">
        <v>660483</v>
      </c>
      <c r="F8" s="15" t="n">
        <v>848000</v>
      </c>
      <c r="G8" s="15" t="n">
        <v>777002</v>
      </c>
      <c r="H8" s="15" t="n">
        <v>340420</v>
      </c>
      <c r="I8" s="15" t="n">
        <v>286452</v>
      </c>
      <c r="J8" s="15" t="n">
        <v>2400</v>
      </c>
      <c r="K8" s="14" t="n">
        <v>0</v>
      </c>
      <c r="L8" s="16">
        <f>SUM(B8:K8)</f>
        <v/>
      </c>
    </row>
    <row r="9">
      <c r="A9" s="14" t="inlineStr">
        <is>
          <t>Art 3 - Career &amp; Technical Education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5" t="n">
        <v>29.11</v>
      </c>
      <c r="H9" s="14" t="n">
        <v>0</v>
      </c>
      <c r="I9" s="14" t="n">
        <v>0</v>
      </c>
      <c r="J9" s="14" t="n">
        <v>0</v>
      </c>
      <c r="K9" s="14" t="n">
        <v>0</v>
      </c>
      <c r="L9" s="16">
        <f>SUM(B9:K9)</f>
        <v/>
      </c>
    </row>
    <row r="10">
      <c r="A10" s="14" t="inlineStr">
        <is>
          <t>Art 4 - Other Instruction</t>
        </is>
      </c>
      <c r="B10" s="15" t="n">
        <v>31212</v>
      </c>
      <c r="C10" s="15" t="n">
        <v>1272</v>
      </c>
      <c r="D10" s="15" t="n">
        <v>4740</v>
      </c>
      <c r="E10" s="15" t="n">
        <v>11247</v>
      </c>
      <c r="F10" s="15" t="n">
        <v>244222</v>
      </c>
      <c r="G10" s="15" t="n">
        <v>564148</v>
      </c>
      <c r="H10" s="14" t="n">
        <v>0</v>
      </c>
      <c r="I10" s="14" t="n">
        <v>0</v>
      </c>
      <c r="J10" s="14" t="n">
        <v>0</v>
      </c>
      <c r="K10" s="14" t="n">
        <v>0</v>
      </c>
      <c r="L10" s="16">
        <f>SUM(B10:K10)</f>
        <v/>
      </c>
    </row>
    <row r="11">
      <c r="A11" s="14" t="inlineStr">
        <is>
          <t>Art 5 - Student &amp; Staff Support</t>
        </is>
      </c>
      <c r="B11" s="15" t="n">
        <v>381559</v>
      </c>
      <c r="C11" s="15" t="n">
        <v>289771</v>
      </c>
      <c r="D11" s="15" t="n">
        <v>172294</v>
      </c>
      <c r="E11" s="15" t="n">
        <v>303229</v>
      </c>
      <c r="F11" s="15" t="n">
        <v>328660</v>
      </c>
      <c r="G11" s="15" t="n">
        <v>906708</v>
      </c>
      <c r="H11" s="15" t="n">
        <v>1050432</v>
      </c>
      <c r="I11" s="15" t="n">
        <v>162154</v>
      </c>
      <c r="J11" s="14" t="n">
        <v>0</v>
      </c>
      <c r="K11" s="14" t="n">
        <v>0</v>
      </c>
      <c r="L11" s="16">
        <f>SUM(B11:K11)</f>
        <v/>
      </c>
    </row>
    <row r="12">
      <c r="A12" s="14" t="inlineStr">
        <is>
          <t>Art 6 - System Administration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5" t="n">
        <v>990353</v>
      </c>
      <c r="I12" s="14" t="n">
        <v>0</v>
      </c>
      <c r="J12" s="14" t="n">
        <v>0</v>
      </c>
      <c r="K12" s="14" t="n">
        <v>0</v>
      </c>
      <c r="L12" s="16">
        <f>SUM(B12:K12)</f>
        <v/>
      </c>
    </row>
    <row r="13">
      <c r="A13" s="14" t="inlineStr">
        <is>
          <t>Art 7 - School Administration</t>
        </is>
      </c>
      <c r="B13" s="15" t="n">
        <v>426300</v>
      </c>
      <c r="C13" s="15" t="n">
        <v>212230</v>
      </c>
      <c r="D13" s="15" t="n">
        <v>195715</v>
      </c>
      <c r="E13" s="15" t="n">
        <v>222217</v>
      </c>
      <c r="F13" s="15" t="n">
        <v>422572</v>
      </c>
      <c r="G13" s="15" t="n">
        <v>463582</v>
      </c>
      <c r="H13" s="14" t="n">
        <v>0</v>
      </c>
      <c r="I13" s="14" t="n">
        <v>0</v>
      </c>
      <c r="J13" s="14" t="n">
        <v>0</v>
      </c>
      <c r="K13" s="14" t="n">
        <v>0</v>
      </c>
      <c r="L13" s="16">
        <f>SUM(B13:K13)</f>
        <v/>
      </c>
    </row>
    <row r="14">
      <c r="A14" s="14" t="inlineStr">
        <is>
          <t>Art 8 - Transportation &amp; Buses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5" t="n">
        <v>1438023</v>
      </c>
      <c r="I14" s="14" t="n">
        <v>0</v>
      </c>
      <c r="J14" s="14" t="n">
        <v>0</v>
      </c>
      <c r="K14" s="14" t="n">
        <v>0</v>
      </c>
      <c r="L14" s="16">
        <f>SUM(B14:K14)</f>
        <v/>
      </c>
    </row>
    <row r="15">
      <c r="A15" s="14" t="inlineStr">
        <is>
          <t>Art 9 - Facilities &amp; Maintenance</t>
        </is>
      </c>
      <c r="B15" s="15" t="n">
        <v>549997</v>
      </c>
      <c r="C15" s="15" t="n">
        <v>421328</v>
      </c>
      <c r="D15" s="15" t="n">
        <v>243384</v>
      </c>
      <c r="E15" s="15" t="n">
        <v>400247</v>
      </c>
      <c r="F15" s="15" t="n">
        <v>485070</v>
      </c>
      <c r="G15" s="15" t="n">
        <v>1914238</v>
      </c>
      <c r="H15" s="15" t="n">
        <v>1058164</v>
      </c>
      <c r="I15" s="14" t="n">
        <v>0</v>
      </c>
      <c r="J15" s="14" t="n">
        <v>0</v>
      </c>
      <c r="K15" s="14" t="n">
        <v>0</v>
      </c>
      <c r="L15" s="16">
        <f>SUM(B15:K15)</f>
        <v/>
      </c>
    </row>
    <row r="16">
      <c r="A16" s="14" t="inlineStr">
        <is>
          <t>Art 10 - Debt Service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5" t="n">
        <v>-27346</v>
      </c>
      <c r="I16" s="14" t="n">
        <v>0</v>
      </c>
      <c r="J16" s="14" t="n">
        <v>0</v>
      </c>
      <c r="K16" s="14" t="n">
        <v>0</v>
      </c>
      <c r="L16" s="16">
        <f>SUM(B16:K16)</f>
        <v/>
      </c>
    </row>
    <row r="17">
      <c r="A17" s="14" t="inlineStr">
        <is>
          <t>Art 11 - All Other Expenses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6">
        <f>SUM(B17:K17)</f>
        <v/>
      </c>
    </row>
    <row r="18">
      <c r="A18" s="17" t="inlineStr">
        <is>
          <t>GRAND TOTAL</t>
        </is>
      </c>
      <c r="B18" s="18">
        <f>SUM(B7:B17)</f>
        <v/>
      </c>
      <c r="C18" s="18">
        <f>SUM(C7:C17)</f>
        <v/>
      </c>
      <c r="D18" s="18">
        <f>SUM(D7:D17)</f>
        <v/>
      </c>
      <c r="E18" s="18">
        <f>SUM(E7:E17)</f>
        <v/>
      </c>
      <c r="F18" s="18">
        <f>SUM(F7:F17)</f>
        <v/>
      </c>
      <c r="G18" s="18">
        <f>SUM(G7:G17)</f>
        <v/>
      </c>
      <c r="H18" s="18">
        <f>SUM(H7:H17)</f>
        <v/>
      </c>
      <c r="I18" s="18">
        <f>SUM(I7:I17)</f>
        <v/>
      </c>
      <c r="J18" s="18">
        <f>SUM(J7:J17)</f>
        <v/>
      </c>
      <c r="K18" s="18">
        <f>SUM(K7:K17)</f>
        <v/>
      </c>
      <c r="L18" s="18">
        <f>SUM(L7:L17)</f>
        <v/>
      </c>
    </row>
    <row r="20">
      <c r="A20" s="3" t="inlineStr">
        <is>
          <t>Per-Student Direct Cost</t>
        </is>
      </c>
    </row>
    <row r="21">
      <c r="A21" s="2" t="inlineStr">
        <is>
          <t>Enrollment from FY27 Budget Handbook (Oct 2026 projected)</t>
        </is>
      </c>
    </row>
    <row r="22">
      <c r="A22" s="5" t="inlineStr">
        <is>
          <t>School</t>
        </is>
      </c>
      <c r="B22" s="5" t="inlineStr">
        <is>
          <t>DCS</t>
        </is>
      </c>
      <c r="C22" s="5" t="inlineStr">
        <is>
          <t>MSS</t>
        </is>
      </c>
      <c r="D22" s="5" t="inlineStr">
        <is>
          <t>PES</t>
        </is>
      </c>
      <c r="E22" s="5" t="inlineStr">
        <is>
          <t>MLS</t>
        </is>
      </c>
      <c r="F22" s="5" t="inlineStr">
        <is>
          <t>FMS</t>
        </is>
      </c>
      <c r="G22" s="5" t="inlineStr">
        <is>
          <t>FHS</t>
        </is>
      </c>
    </row>
    <row r="23">
      <c r="A23" s="19" t="inlineStr">
        <is>
          <t>Enrollment (Oct 2026P)</t>
        </is>
      </c>
      <c r="B23" s="15" t="n">
        <v>467</v>
      </c>
      <c r="C23" s="15" t="n">
        <v>274</v>
      </c>
      <c r="D23" s="15" t="n">
        <v>105</v>
      </c>
      <c r="E23" s="15" t="n">
        <v>264</v>
      </c>
      <c r="F23" s="15" t="n">
        <v>306</v>
      </c>
      <c r="G23" s="15" t="n">
        <v>554</v>
      </c>
    </row>
    <row r="24">
      <c r="A24" s="19" t="inlineStr">
        <is>
          <t>Direct Cost</t>
        </is>
      </c>
      <c r="B24" s="20">
        <f>SUM(B7:B17)</f>
        <v/>
      </c>
      <c r="C24" s="20">
        <f>SUM(C7:C17)</f>
        <v/>
      </c>
      <c r="D24" s="20">
        <f>SUM(D7:D17)</f>
        <v/>
      </c>
      <c r="E24" s="20">
        <f>SUM(E7:E17)</f>
        <v/>
      </c>
      <c r="F24" s="20">
        <f>SUM(F7:F17)</f>
        <v/>
      </c>
      <c r="G24" s="20">
        <f>SUM(G7:G17)</f>
        <v/>
      </c>
    </row>
    <row r="25">
      <c r="A25" s="17" t="inlineStr">
        <is>
          <t>Cost per Student</t>
        </is>
      </c>
      <c r="B25" s="18">
        <f>IF(B23=0,0,B24/B23)</f>
        <v/>
      </c>
      <c r="C25" s="18">
        <f>IF(C23=0,0,C24/C23)</f>
        <v/>
      </c>
      <c r="D25" s="18">
        <f>IF(D23=0,0,D24/D23)</f>
        <v/>
      </c>
      <c r="E25" s="18">
        <f>IF(E23=0,0,E24/E23)</f>
        <v/>
      </c>
      <c r="F25" s="18">
        <f>IF(F23=0,0,F24/F23)</f>
        <v/>
      </c>
      <c r="G25" s="18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Enrollment Data (FY23 Handbook)</t>
        </is>
      </c>
    </row>
    <row r="3">
      <c r="A3" s="2" t="inlineStr">
        <is>
          <t>No enrollment data available from FY23 handbook.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DOE Staffing Data (Dec 1 Snapshot)</t>
        </is>
      </c>
    </row>
    <row r="3">
      <c r="A3" s="3" t="inlineStr">
        <is>
          <t>Total FTE by School</t>
        </is>
      </c>
    </row>
    <row r="4">
      <c r="A4" s="5" t="inlineStr">
        <is>
          <t>School</t>
        </is>
      </c>
      <c r="B4" s="5" t="inlineStr">
        <is>
          <t>2019</t>
        </is>
      </c>
      <c r="C4" s="5" t="inlineStr">
        <is>
          <t>2020</t>
        </is>
      </c>
      <c r="D4" s="5" t="inlineStr">
        <is>
          <t>2021</t>
        </is>
      </c>
      <c r="E4" s="5" t="inlineStr">
        <is>
          <t>2022</t>
        </is>
      </c>
      <c r="F4" s="5" t="inlineStr">
        <is>
          <t>2023</t>
        </is>
      </c>
    </row>
    <row r="5">
      <c r="A5" s="21" t="inlineStr">
        <is>
          <t>DCS</t>
        </is>
      </c>
      <c r="B5" s="22" t="n">
        <v>92.10000000000001</v>
      </c>
      <c r="C5" s="22" t="n">
        <v>94.2</v>
      </c>
      <c r="D5" s="22" t="n">
        <v>92.99999999999999</v>
      </c>
      <c r="E5" s="22" t="n">
        <v>87.59999999999999</v>
      </c>
      <c r="F5" s="22" t="n">
        <v>83.5</v>
      </c>
    </row>
    <row r="6">
      <c r="A6" s="21" t="inlineStr">
        <is>
          <t>MSS</t>
        </is>
      </c>
      <c r="B6" s="22" t="n">
        <v>57.09999999999999</v>
      </c>
      <c r="C6" s="22" t="n">
        <v>55.70000000000001</v>
      </c>
      <c r="D6" s="22" t="n">
        <v>55.50000000000001</v>
      </c>
      <c r="E6" s="22" t="n">
        <v>60.8</v>
      </c>
      <c r="F6" s="22" t="n">
        <v>58.5</v>
      </c>
    </row>
    <row r="7">
      <c r="A7" s="21" t="inlineStr">
        <is>
          <t>MLS</t>
        </is>
      </c>
      <c r="B7" s="22" t="n">
        <v>50.2</v>
      </c>
      <c r="C7" s="22" t="n">
        <v>55.19999999999999</v>
      </c>
      <c r="D7" s="22" t="n">
        <v>46.4</v>
      </c>
      <c r="E7" s="22" t="n">
        <v>50.49999999999999</v>
      </c>
      <c r="F7" s="22" t="n">
        <v>49.09999999999999</v>
      </c>
    </row>
    <row r="8">
      <c r="A8" s="21" t="inlineStr">
        <is>
          <t>PES</t>
        </is>
      </c>
      <c r="B8" s="22" t="n">
        <v>28</v>
      </c>
      <c r="C8" s="22" t="n">
        <v>27.7</v>
      </c>
      <c r="D8" s="22" t="n">
        <v>27.29999999999999</v>
      </c>
      <c r="E8" s="22" t="n">
        <v>24.5</v>
      </c>
      <c r="F8" s="22" t="n">
        <v>22.5</v>
      </c>
    </row>
    <row r="9">
      <c r="A9" s="21" t="inlineStr">
        <is>
          <t>FMS</t>
        </is>
      </c>
      <c r="B9" s="22" t="n">
        <v>74.60000000000001</v>
      </c>
      <c r="C9" s="22" t="n">
        <v>71.70000000000002</v>
      </c>
      <c r="D9" s="22" t="n">
        <v>58.90000000000001</v>
      </c>
      <c r="E9" s="22" t="n">
        <v>67.80000000000001</v>
      </c>
      <c r="F9" s="22" t="n">
        <v>69.69999999999999</v>
      </c>
    </row>
    <row r="10">
      <c r="A10" s="21" t="inlineStr">
        <is>
          <t>FHS</t>
        </is>
      </c>
      <c r="B10" s="22" t="n">
        <v>124.1</v>
      </c>
      <c r="C10" s="22" t="n">
        <v>123.1</v>
      </c>
      <c r="D10" s="22" t="n">
        <v>112.4</v>
      </c>
      <c r="E10" s="22" t="n">
        <v>100.4</v>
      </c>
      <c r="F10" s="22" t="n">
        <v>100</v>
      </c>
    </row>
    <row r="11">
      <c r="A11" s="21" t="inlineStr">
        <is>
          <t>District</t>
        </is>
      </c>
      <c r="B11" s="22" t="n">
        <v>125.4</v>
      </c>
      <c r="C11" s="22" t="n">
        <v>115.4</v>
      </c>
      <c r="D11" s="22" t="n">
        <v>118.9</v>
      </c>
      <c r="E11" s="22" t="n">
        <v>119.8</v>
      </c>
      <c r="F11" s="22" t="n">
        <v>129.9</v>
      </c>
    </row>
    <row r="12">
      <c r="A12" s="9" t="inlineStr">
        <is>
          <t>Total</t>
        </is>
      </c>
      <c r="B12" s="23" t="n">
        <v>551.5</v>
      </c>
      <c r="C12" s="23" t="n">
        <v>543</v>
      </c>
      <c r="D12" s="23" t="n">
        <v>512.4</v>
      </c>
      <c r="E12" s="23" t="n">
        <v>511.4</v>
      </c>
      <c r="F12" s="23" t="n">
        <v>513.1999999999999</v>
      </c>
    </row>
    <row r="14">
      <c r="A14" s="3" t="inlineStr">
        <is>
          <t>Detail by Position (2023)</t>
        </is>
      </c>
    </row>
    <row r="15">
      <c r="A15" s="5" t="inlineStr">
        <is>
          <t>Position</t>
        </is>
      </c>
      <c r="B15" s="5" t="inlineStr">
        <is>
          <t>Total FTE</t>
        </is>
      </c>
    </row>
    <row r="16">
      <c r="A16" s="6" t="inlineStr">
        <is>
          <t>Classroom Teacher</t>
        </is>
      </c>
      <c r="B16" s="24" t="n">
        <v>148.7</v>
      </c>
    </row>
    <row r="17">
      <c r="A17" s="6" t="inlineStr">
        <is>
          <t>Ed Tech III</t>
        </is>
      </c>
      <c r="B17" s="24" t="n">
        <v>48.90000000000001</v>
      </c>
    </row>
    <row r="18">
      <c r="A18" s="6" t="inlineStr">
        <is>
          <t>Co-Curric (Non-Athletic)</t>
        </is>
      </c>
      <c r="B18" s="24" t="n">
        <v>46.2</v>
      </c>
    </row>
    <row r="19">
      <c r="A19" s="6" t="inlineStr">
        <is>
          <t>Coach (Athletic)</t>
        </is>
      </c>
      <c r="B19" s="24" t="n">
        <v>45</v>
      </c>
    </row>
    <row r="20">
      <c r="A20" s="6" t="inlineStr">
        <is>
          <t>Teacher Support Team Member</t>
        </is>
      </c>
      <c r="B20" s="24" t="n">
        <v>26.2</v>
      </c>
    </row>
    <row r="21">
      <c r="A21" s="6" t="inlineStr">
        <is>
          <t>Facilities-Custodial/Maintenance</t>
        </is>
      </c>
      <c r="B21" s="24" t="n">
        <v>21.9</v>
      </c>
    </row>
    <row r="22">
      <c r="A22" s="6" t="inlineStr">
        <is>
          <t>Special Education Teacher</t>
        </is>
      </c>
      <c r="B22" s="24" t="n">
        <v>19.1</v>
      </c>
    </row>
    <row r="23">
      <c r="A23" s="6" t="inlineStr">
        <is>
          <t>Administrative Assistant/Secretary</t>
        </is>
      </c>
      <c r="B23" s="24" t="n">
        <v>18.5</v>
      </c>
    </row>
    <row r="24">
      <c r="A24" s="6" t="inlineStr">
        <is>
          <t>Student Monitor</t>
        </is>
      </c>
      <c r="B24" s="24" t="n">
        <v>11.9</v>
      </c>
    </row>
    <row r="25">
      <c r="A25" s="6" t="inlineStr">
        <is>
          <t>Food Service Staff</t>
        </is>
      </c>
      <c r="B25" s="24" t="n">
        <v>10.6</v>
      </c>
    </row>
    <row r="26">
      <c r="A26" s="6" t="inlineStr">
        <is>
          <t>Ed Tech II</t>
        </is>
      </c>
      <c r="B26" s="24" t="n">
        <v>10</v>
      </c>
    </row>
    <row r="27">
      <c r="A27" s="6" t="inlineStr">
        <is>
          <t>Bus Driver</t>
        </is>
      </c>
      <c r="B27" s="24" t="n">
        <v>8.5</v>
      </c>
    </row>
    <row r="28">
      <c r="A28" s="6" t="inlineStr">
        <is>
          <t>School Counselor</t>
        </is>
      </c>
      <c r="B28" s="24" t="n">
        <v>8</v>
      </c>
    </row>
    <row r="29">
      <c r="A29" s="6" t="inlineStr">
        <is>
          <t>School Social Worker</t>
        </is>
      </c>
      <c r="B29" s="24" t="n">
        <v>6.4</v>
      </c>
    </row>
    <row r="30">
      <c r="A30" s="6" t="inlineStr">
        <is>
          <t>Principal</t>
        </is>
      </c>
      <c r="B30" s="24" t="n">
        <v>6</v>
      </c>
    </row>
    <row r="31">
      <c r="A31" s="6" t="inlineStr">
        <is>
          <t>Food Service Manager I</t>
        </is>
      </c>
      <c r="B31" s="24" t="n">
        <v>6</v>
      </c>
    </row>
    <row r="32">
      <c r="A32" s="6" t="inlineStr">
        <is>
          <t>Nurse</t>
        </is>
      </c>
      <c r="B32" s="24" t="n">
        <v>5.8</v>
      </c>
    </row>
    <row r="33">
      <c r="A33" s="6" t="inlineStr">
        <is>
          <t>Speech - Language Pathologist</t>
        </is>
      </c>
      <c r="B33" s="24" t="n">
        <v>5</v>
      </c>
    </row>
    <row r="34">
      <c r="A34" s="6" t="inlineStr">
        <is>
          <t>Librarian/Media Specialist</t>
        </is>
      </c>
      <c r="B34" s="24" t="n">
        <v>4.5</v>
      </c>
    </row>
    <row r="35">
      <c r="A35" s="6" t="inlineStr">
        <is>
          <t>Instructional Coach</t>
        </is>
      </c>
      <c r="B35" s="24" t="n">
        <v>4.1</v>
      </c>
    </row>
    <row r="36">
      <c r="A36" s="6" t="inlineStr">
        <is>
          <t>Ed Tech I</t>
        </is>
      </c>
      <c r="B36" s="24" t="n">
        <v>4</v>
      </c>
    </row>
    <row r="37">
      <c r="A37" s="6" t="inlineStr">
        <is>
          <t>Computer Maintenance</t>
        </is>
      </c>
      <c r="B37" s="24" t="n">
        <v>4</v>
      </c>
    </row>
    <row r="38">
      <c r="A38" s="6" t="inlineStr">
        <is>
          <t>Assistant Principal</t>
        </is>
      </c>
      <c r="B38" s="24" t="n">
        <v>3</v>
      </c>
    </row>
    <row r="39">
      <c r="A39" s="6" t="inlineStr">
        <is>
          <t>JMG Skills Instructor</t>
        </is>
      </c>
      <c r="B39" s="24" t="n">
        <v>3</v>
      </c>
    </row>
    <row r="40">
      <c r="A40" s="6" t="inlineStr">
        <is>
          <t>Occupational Therapist</t>
        </is>
      </c>
      <c r="B40" s="24" t="n">
        <v>3</v>
      </c>
    </row>
    <row r="41">
      <c r="A41" s="6" t="inlineStr">
        <is>
          <t>Title I Teacher</t>
        </is>
      </c>
      <c r="B41" s="24" t="n">
        <v>3</v>
      </c>
    </row>
    <row r="42">
      <c r="A42" s="6" t="inlineStr">
        <is>
          <t>English Language Learner Teacher</t>
        </is>
      </c>
      <c r="B42" s="24" t="n">
        <v>3</v>
      </c>
    </row>
    <row r="43">
      <c r="A43" s="6" t="inlineStr">
        <is>
          <t>Gifted and Talented (GT) Teacher</t>
        </is>
      </c>
      <c r="B43" s="24" t="n">
        <v>2.8</v>
      </c>
    </row>
    <row r="44">
      <c r="A44" s="6" t="inlineStr">
        <is>
          <t>School Psychologist</t>
        </is>
      </c>
      <c r="B44" s="24" t="n">
        <v>2.2</v>
      </c>
    </row>
    <row r="45">
      <c r="A45" s="6" t="inlineStr">
        <is>
          <t>Literacy Specialist</t>
        </is>
      </c>
      <c r="B45" s="24" t="n">
        <v>2</v>
      </c>
    </row>
    <row r="46">
      <c r="A46" s="6" t="inlineStr">
        <is>
          <t>Bookkeeper</t>
        </is>
      </c>
      <c r="B46" s="24" t="n">
        <v>2</v>
      </c>
    </row>
    <row r="47">
      <c r="A47" s="6" t="inlineStr">
        <is>
          <t>Facilities-Buildings &amp; Grounds Supervisor</t>
        </is>
      </c>
      <c r="B47" s="24" t="n">
        <v>2</v>
      </c>
    </row>
    <row r="48">
      <c r="A48" s="6" t="inlineStr">
        <is>
          <t>Van Driver</t>
        </is>
      </c>
      <c r="B48" s="24" t="n">
        <v>1.6</v>
      </c>
    </row>
    <row r="49">
      <c r="A49" s="6" t="inlineStr">
        <is>
          <t>Special Education Director</t>
        </is>
      </c>
      <c r="B49" s="24" t="n">
        <v>1.1</v>
      </c>
    </row>
    <row r="50">
      <c r="A50" s="6" t="inlineStr">
        <is>
          <t>Ed Tech III - Library/Media</t>
        </is>
      </c>
      <c r="B50" s="24" t="n">
        <v>1</v>
      </c>
    </row>
    <row r="51">
      <c r="A51" s="6" t="inlineStr">
        <is>
          <t>Athletic Director</t>
        </is>
      </c>
      <c r="B51" s="24" t="n">
        <v>1</v>
      </c>
    </row>
    <row r="52">
      <c r="A52" s="6" t="inlineStr">
        <is>
          <t>School Resource Officer</t>
        </is>
      </c>
      <c r="B52" s="24" t="n">
        <v>1</v>
      </c>
    </row>
    <row r="53">
      <c r="A53" s="6" t="inlineStr">
        <is>
          <t>Adult Education Director</t>
        </is>
      </c>
      <c r="B53" s="24" t="n">
        <v>1</v>
      </c>
    </row>
    <row r="54">
      <c r="A54" s="6" t="inlineStr">
        <is>
          <t>Bus Mechanic</t>
        </is>
      </c>
      <c r="B54" s="24" t="n">
        <v>1</v>
      </c>
    </row>
    <row r="55">
      <c r="A55" s="6" t="inlineStr">
        <is>
          <t>Business Administrator/Manager</t>
        </is>
      </c>
      <c r="B55" s="24" t="n">
        <v>1</v>
      </c>
    </row>
    <row r="56">
      <c r="A56" s="6" t="inlineStr">
        <is>
          <t>Community Outreach and ELO Coordinator</t>
        </is>
      </c>
      <c r="B56" s="24" t="n">
        <v>1</v>
      </c>
    </row>
    <row r="57">
      <c r="A57" s="6" t="inlineStr">
        <is>
          <t>Data Specialist</t>
        </is>
      </c>
      <c r="B57" s="24" t="n">
        <v>1</v>
      </c>
    </row>
    <row r="58">
      <c r="A58" s="6" t="inlineStr">
        <is>
          <t>Director of Technology</t>
        </is>
      </c>
      <c r="B58" s="24" t="n">
        <v>1</v>
      </c>
    </row>
    <row r="59">
      <c r="A59" s="6" t="inlineStr">
        <is>
          <t>Director/Supervisor Assistant of Food Service</t>
        </is>
      </c>
      <c r="B59" s="24" t="n">
        <v>1</v>
      </c>
    </row>
    <row r="60">
      <c r="A60" s="6" t="inlineStr">
        <is>
          <t>Employment Coordinator</t>
        </is>
      </c>
      <c r="B60" s="24" t="n">
        <v>1</v>
      </c>
    </row>
    <row r="61">
      <c r="A61" s="6" t="inlineStr">
        <is>
          <t>Superintendent of Schools</t>
        </is>
      </c>
      <c r="B61" s="24" t="n">
        <v>1</v>
      </c>
    </row>
    <row r="62">
      <c r="A62" s="6" t="inlineStr">
        <is>
          <t>Physical Therapist</t>
        </is>
      </c>
      <c r="B62" s="24" t="n">
        <v>0.7</v>
      </c>
    </row>
    <row r="63">
      <c r="A63" s="6" t="inlineStr">
        <is>
          <t>Asst Superintendent of Schools</t>
        </is>
      </c>
      <c r="B63" s="24" t="n">
        <v>0.6</v>
      </c>
    </row>
    <row r="64">
      <c r="A64" s="6" t="inlineStr">
        <is>
          <t>Dir/Sup of Transportation</t>
        </is>
      </c>
      <c r="B64" s="24" t="n">
        <v>0.5</v>
      </c>
    </row>
    <row r="65">
      <c r="A65" s="6" t="inlineStr">
        <is>
          <t>Facilities-Director/Manager</t>
        </is>
      </c>
      <c r="B65" s="24" t="n">
        <v>0.5</v>
      </c>
    </row>
    <row r="66">
      <c r="A66" s="6" t="inlineStr">
        <is>
          <t>Curriculum Coordinator</t>
        </is>
      </c>
      <c r="B66" s="24" t="n">
        <v>0.4</v>
      </c>
    </row>
    <row r="67">
      <c r="A67" s="6" t="inlineStr">
        <is>
          <t>Board Certified Behavior Analyst</t>
        </is>
      </c>
      <c r="B67" s="24" t="n">
        <v>0.3</v>
      </c>
    </row>
    <row r="68">
      <c r="A68" s="6" t="inlineStr">
        <is>
          <t>Athletic Trainer</t>
        </is>
      </c>
      <c r="B68" s="24" t="n">
        <v>0.1</v>
      </c>
    </row>
    <row r="69">
      <c r="A69" s="6" t="inlineStr">
        <is>
          <t>Licensed Clinical Professional Counselors</t>
        </is>
      </c>
      <c r="B69" s="24" t="n">
        <v>0.1</v>
      </c>
    </row>
    <row r="71">
      <c r="A71" s="13" t="inlineStr">
        <is>
          <t>Source: Maine DOE Staff Historical Data (Dec 1 snapshots)</t>
        </is>
      </c>
    </row>
    <row r="72">
      <c r="A72" s="13" t="inlineStr">
        <is>
          <t>MDohle RSU 5 Staff by FTE.xlsx</t>
        </is>
      </c>
    </row>
  </sheetData>
  <mergeCells count="2">
    <mergeCell ref="A71:F71"/>
    <mergeCell ref="A72:F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INPUT: Budget History (from FY23 Handbook)</t>
        </is>
      </c>
    </row>
    <row r="3">
      <c r="A3" s="2" t="inlineStr">
        <is>
          <t>Using history from FY27 handbook (FY23 had none)</t>
        </is>
      </c>
    </row>
    <row r="4">
      <c r="A4" s="5" t="inlineStr">
        <is>
          <t>Fiscal Year</t>
        </is>
      </c>
      <c r="B4" s="5" t="inlineStr">
        <is>
          <t>Adopted Budget</t>
        </is>
      </c>
      <c r="C4" s="5" t="inlineStr">
        <is>
          <t>Difference</t>
        </is>
      </c>
      <c r="D4" s="5" t="inlineStr">
        <is>
          <t>% Increase</t>
        </is>
      </c>
    </row>
    <row r="5">
      <c r="A5" s="21" t="inlineStr">
        <is>
          <t>FY17</t>
        </is>
      </c>
      <c r="B5" s="15" t="n">
        <v>31008672</v>
      </c>
      <c r="C5" s="15" t="n">
        <v>1518469</v>
      </c>
      <c r="D5" s="25" t="n">
        <v>0.0515</v>
      </c>
    </row>
    <row r="6">
      <c r="A6" s="21" t="inlineStr">
        <is>
          <t>FY18</t>
        </is>
      </c>
      <c r="B6" s="15" t="n">
        <v>32310685</v>
      </c>
      <c r="C6" s="15" t="n">
        <v>1302013</v>
      </c>
      <c r="D6" s="25" t="n">
        <v>0.042</v>
      </c>
    </row>
    <row r="7">
      <c r="A7" s="21" t="inlineStr">
        <is>
          <t>FY19</t>
        </is>
      </c>
      <c r="B7" s="15" t="n">
        <v>33058025</v>
      </c>
      <c r="C7" s="15" t="n">
        <v>747340</v>
      </c>
      <c r="D7" s="25" t="n">
        <v>0.0231</v>
      </c>
    </row>
    <row r="8">
      <c r="A8" s="21" t="inlineStr">
        <is>
          <t>FY20</t>
        </is>
      </c>
      <c r="B8" s="15" t="n">
        <v>34192295</v>
      </c>
      <c r="C8" s="15" t="n">
        <v>1134270</v>
      </c>
      <c r="D8" s="25" t="n">
        <v>0.0343</v>
      </c>
    </row>
    <row r="9">
      <c r="A9" s="21" t="inlineStr">
        <is>
          <t>FY21</t>
        </is>
      </c>
      <c r="B9" s="15" t="n">
        <v>34984700</v>
      </c>
      <c r="C9" s="15" t="n">
        <v>792405</v>
      </c>
      <c r="D9" s="25" t="n">
        <v>0.0232</v>
      </c>
    </row>
    <row r="10">
      <c r="A10" s="21" t="inlineStr">
        <is>
          <t>FY22</t>
        </is>
      </c>
      <c r="B10" s="15" t="n">
        <v>35714863</v>
      </c>
      <c r="C10" s="15" t="n">
        <v>730163</v>
      </c>
      <c r="D10" s="25" t="n">
        <v>0.0209</v>
      </c>
    </row>
    <row r="11">
      <c r="A11" s="21" t="inlineStr">
        <is>
          <t>FY23</t>
        </is>
      </c>
      <c r="B11" s="15" t="n">
        <v>37223151</v>
      </c>
      <c r="C11" s="15" t="n">
        <v>1508288</v>
      </c>
      <c r="D11" s="25" t="n">
        <v>0.04219999999999999</v>
      </c>
    </row>
    <row r="12">
      <c r="A12" s="21" t="inlineStr">
        <is>
          <t>FY24</t>
        </is>
      </c>
      <c r="B12" s="15" t="n">
        <v>39080569</v>
      </c>
      <c r="C12" s="15" t="n">
        <v>1857418</v>
      </c>
      <c r="D12" s="25" t="n">
        <v>0.0499</v>
      </c>
    </row>
    <row r="13">
      <c r="A13" s="21" t="inlineStr">
        <is>
          <t>FY25</t>
        </is>
      </c>
      <c r="B13" s="15" t="n">
        <v>41612460</v>
      </c>
      <c r="C13" s="15" t="n">
        <v>2531891</v>
      </c>
      <c r="D13" s="25" t="n">
        <v>0.06480000000000001</v>
      </c>
    </row>
    <row r="14">
      <c r="A14" s="21" t="inlineStr">
        <is>
          <t>FY26</t>
        </is>
      </c>
      <c r="B14" s="15" t="n">
        <v>44455929</v>
      </c>
      <c r="C14" s="15" t="n">
        <v>2843469</v>
      </c>
      <c r="D14" s="25" t="n">
        <v>0.0683</v>
      </c>
    </row>
    <row r="16">
      <c r="A16" s="13" t="inlineStr">
        <is>
          <t>Source: RSU 5 Superintendent's Budget Handbook</t>
        </is>
      </c>
    </row>
    <row r="17">
      <c r="A17" s="13" t="inlineStr">
        <is>
          <t>10-Year Adopted Budget History table</t>
        </is>
      </c>
    </row>
  </sheetData>
  <mergeCells count="2">
    <mergeCell ref="A16:F16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CALC: Budget Growth Trends by Article</t>
        </is>
      </c>
    </row>
    <row r="2">
      <c r="A2" s="13" t="inlineStr">
        <is>
          <t>Article totals computed independently from parsed line-item data.</t>
        </is>
      </c>
    </row>
    <row r="3">
      <c r="A3" s="13" t="inlineStr">
        <is>
          <t>Growth and CAGR computed via Excel formulas.</t>
        </is>
      </c>
    </row>
    <row r="5">
      <c r="A5" s="5" t="inlineStr">
        <is>
          <t>Article</t>
        </is>
      </c>
      <c r="B5" s="5" t="inlineStr">
        <is>
          <t>FY22</t>
        </is>
      </c>
      <c r="C5" s="5" t="inlineStr">
        <is>
          <t>FY23</t>
        </is>
      </c>
      <c r="D5" s="5" t="inlineStr">
        <is>
          <t>FY24</t>
        </is>
      </c>
      <c r="E5" s="5" t="inlineStr">
        <is>
          <t>FY25</t>
        </is>
      </c>
      <c r="F5" s="5" t="inlineStr">
        <is>
          <t>FY26</t>
        </is>
      </c>
      <c r="G5" s="5" t="inlineStr">
        <is>
          <t>FY27</t>
        </is>
      </c>
      <c r="H5" s="5" t="inlineStr">
        <is>
          <t>Total Growth</t>
        </is>
      </c>
      <c r="I5" s="5" t="inlineStr">
        <is>
          <t>Avg Annual</t>
        </is>
      </c>
    </row>
    <row r="6">
      <c r="A6" s="14" t="inlineStr">
        <is>
          <t>Art 1 - Regular Instruction</t>
        </is>
      </c>
      <c r="B6" s="7" t="n">
        <v>15107880</v>
      </c>
      <c r="C6" s="7" t="n">
        <v>16356356</v>
      </c>
      <c r="D6" s="7" t="n">
        <v>17021480</v>
      </c>
      <c r="E6" s="7" t="n">
        <v>18390052</v>
      </c>
      <c r="F6" s="7" t="n">
        <v>19289106</v>
      </c>
      <c r="G6" s="7" t="n">
        <v>19860193</v>
      </c>
      <c r="H6" s="26">
        <f>IF(B6=0,0,G6/B6-1)</f>
        <v/>
      </c>
      <c r="I6" s="26">
        <f>IF(B6=0,0,(G6/B6)^(1/5)-1)</f>
        <v/>
      </c>
    </row>
    <row r="7">
      <c r="A7" s="14" t="inlineStr">
        <is>
          <t>Art 2 - Special Education</t>
        </is>
      </c>
      <c r="B7" s="7" t="n">
        <v>4688560</v>
      </c>
      <c r="C7" s="7" t="n">
        <v>4703567</v>
      </c>
      <c r="D7" s="7" t="n">
        <v>5074090</v>
      </c>
      <c r="E7" s="7" t="n">
        <v>5870507</v>
      </c>
      <c r="F7" s="7" t="n">
        <v>6513451</v>
      </c>
      <c r="G7" s="7" t="n">
        <v>7510422</v>
      </c>
      <c r="H7" s="26">
        <f>IF(B7=0,0,G7/B7-1)</f>
        <v/>
      </c>
      <c r="I7" s="26">
        <f>IF(B7=0,0,(G7/B7)^(1/5)-1)</f>
        <v/>
      </c>
    </row>
    <row r="8">
      <c r="A8" s="14" t="inlineStr">
        <is>
          <t>Art 3 - Career &amp; Technical Education</t>
        </is>
      </c>
      <c r="B8" s="7" t="n">
        <v>101706</v>
      </c>
      <c r="C8" s="7" t="n">
        <v>29.11</v>
      </c>
      <c r="D8" s="14" t="n"/>
      <c r="E8" s="7" t="n">
        <v>289668</v>
      </c>
      <c r="F8" s="7" t="n">
        <v>17977</v>
      </c>
      <c r="G8" s="7" t="n">
        <v>337282</v>
      </c>
      <c r="H8" s="26">
        <f>IF(B8=0,0,G8/B8-1)</f>
        <v/>
      </c>
      <c r="I8" s="26">
        <f>IF(B8=0,0,(G8/B8)^(1/5)-1)</f>
        <v/>
      </c>
    </row>
    <row r="9">
      <c r="A9" s="14" t="inlineStr">
        <is>
          <t>Art 4 - Other Instruction</t>
        </is>
      </c>
      <c r="B9" s="7" t="n">
        <v>832340</v>
      </c>
      <c r="C9" s="7" t="n">
        <v>856841</v>
      </c>
      <c r="D9" s="7" t="n">
        <v>1015667</v>
      </c>
      <c r="E9" s="7" t="n">
        <v>1006604</v>
      </c>
      <c r="F9" s="7" t="n">
        <v>1090110</v>
      </c>
      <c r="G9" s="7" t="n">
        <v>1142974</v>
      </c>
      <c r="H9" s="26">
        <f>IF(B9=0,0,G9/B9-1)</f>
        <v/>
      </c>
      <c r="I9" s="26">
        <f>IF(B9=0,0,(G9/B9)^(1/5)-1)</f>
        <v/>
      </c>
    </row>
    <row r="10">
      <c r="A10" s="14" t="inlineStr">
        <is>
          <t>Art 5 - Student &amp; Staff Support</t>
        </is>
      </c>
      <c r="B10" s="7" t="n">
        <v>3160872</v>
      </c>
      <c r="C10" s="7" t="n">
        <v>3594807</v>
      </c>
      <c r="D10" s="7" t="n">
        <v>3822402</v>
      </c>
      <c r="E10" s="7" t="n">
        <v>4371246</v>
      </c>
      <c r="F10" s="7" t="n">
        <v>4644307</v>
      </c>
      <c r="G10" s="7" t="n">
        <v>4906366</v>
      </c>
      <c r="H10" s="26">
        <f>IF(B10=0,0,G10/B10-1)</f>
        <v/>
      </c>
      <c r="I10" s="26">
        <f>IF(B10=0,0,(G10/B10)^(1/5)-1)</f>
        <v/>
      </c>
    </row>
    <row r="11">
      <c r="A11" s="14" t="inlineStr">
        <is>
          <t>Art 6 - System Administration</t>
        </is>
      </c>
      <c r="B11" s="7" t="n">
        <v>1013211</v>
      </c>
      <c r="C11" s="7" t="n">
        <v>990353</v>
      </c>
      <c r="D11" s="7" t="n">
        <v>1021441</v>
      </c>
      <c r="E11" s="7" t="n">
        <v>1179440</v>
      </c>
      <c r="F11" s="7" t="n">
        <v>1263587</v>
      </c>
      <c r="G11" s="7" t="n">
        <v>1308008</v>
      </c>
      <c r="H11" s="26">
        <f>IF(B11=0,0,G11/B11-1)</f>
        <v/>
      </c>
      <c r="I11" s="26">
        <f>IF(B11=0,0,(G11/B11)^(1/5)-1)</f>
        <v/>
      </c>
    </row>
    <row r="12">
      <c r="A12" s="14" t="inlineStr">
        <is>
          <t>Art 7 - School Administration</t>
        </is>
      </c>
      <c r="B12" s="7" t="n">
        <v>1727711</v>
      </c>
      <c r="C12" s="7" t="n">
        <v>1942616</v>
      </c>
      <c r="D12" s="7" t="n">
        <v>2067029</v>
      </c>
      <c r="E12" s="7" t="n">
        <v>2342210</v>
      </c>
      <c r="F12" s="7" t="n">
        <v>2514485</v>
      </c>
      <c r="G12" s="7" t="n">
        <v>2638024</v>
      </c>
      <c r="H12" s="26">
        <f>IF(B12=0,0,G12/B12-1)</f>
        <v/>
      </c>
      <c r="I12" s="26">
        <f>IF(B12=0,0,(G12/B12)^(1/5)-1)</f>
        <v/>
      </c>
    </row>
    <row r="13">
      <c r="A13" s="14" t="inlineStr">
        <is>
          <t>Art 8 - Transportation &amp; Buses</t>
        </is>
      </c>
      <c r="B13" s="7" t="n">
        <v>1473419</v>
      </c>
      <c r="C13" s="7" t="n">
        <v>1438023</v>
      </c>
      <c r="D13" s="7" t="n">
        <v>1551608</v>
      </c>
      <c r="E13" s="7" t="n">
        <v>1586682</v>
      </c>
      <c r="F13" s="7" t="n">
        <v>1931576</v>
      </c>
      <c r="G13" s="7" t="n">
        <v>2388457</v>
      </c>
      <c r="H13" s="26">
        <f>IF(B13=0,0,G13/B13-1)</f>
        <v/>
      </c>
      <c r="I13" s="26">
        <f>IF(B13=0,0,(G13/B13)^(1/5)-1)</f>
        <v/>
      </c>
    </row>
    <row r="14">
      <c r="A14" s="14" t="inlineStr">
        <is>
          <t>Art 9 - Facilities &amp; Maintenance</t>
        </is>
      </c>
      <c r="B14" s="7" t="n">
        <v>5028523</v>
      </c>
      <c r="C14" s="7" t="n">
        <v>5100232</v>
      </c>
      <c r="D14" s="7" t="n">
        <v>5167753.71</v>
      </c>
      <c r="E14" s="7" t="n">
        <v>5139408</v>
      </c>
      <c r="F14" s="7" t="n">
        <v>5490511</v>
      </c>
      <c r="G14" s="7" t="n">
        <v>5993777</v>
      </c>
      <c r="H14" s="26">
        <f>IF(B14=0,0,G14/B14-1)</f>
        <v/>
      </c>
      <c r="I14" s="26">
        <f>IF(B14=0,0,(G14/B14)^(1/5)-1)</f>
        <v/>
      </c>
    </row>
    <row r="15">
      <c r="A15" s="14" t="inlineStr">
        <is>
          <t>Art 10 - Debt Service</t>
        </is>
      </c>
      <c r="B15" s="7" t="n">
        <v>1427247</v>
      </c>
      <c r="C15" s="7" t="n">
        <v>-27346</v>
      </c>
      <c r="D15" s="7" t="n">
        <v>-42208</v>
      </c>
      <c r="E15" s="7" t="n">
        <v>1111064</v>
      </c>
      <c r="F15" s="7" t="n">
        <v>1087428</v>
      </c>
      <c r="G15" s="7" t="n">
        <v>1071577</v>
      </c>
      <c r="H15" s="26">
        <f>IF(B15=0,0,G15/B15-1)</f>
        <v/>
      </c>
      <c r="I15" s="26">
        <f>IF(B15=0,0,(G15/B15)^(1/5)-1)</f>
        <v/>
      </c>
    </row>
    <row r="16">
      <c r="A16" s="14" t="inlineStr">
        <is>
          <t>Art 11 - All Other Expenses</t>
        </is>
      </c>
      <c r="B16" s="7" t="n">
        <v>294645</v>
      </c>
      <c r="C16" s="14" t="n"/>
      <c r="D16" s="14" t="n"/>
      <c r="E16" s="7" t="n">
        <v>185334</v>
      </c>
      <c r="F16" s="7" t="n">
        <v>139591</v>
      </c>
      <c r="G16" s="7" t="n">
        <v>69796</v>
      </c>
      <c r="H16" s="26">
        <f>IF(B16=0,0,G16/B16-1)</f>
        <v/>
      </c>
      <c r="I16" s="26">
        <f>IF(B16=0,0,(G16/B16)^(1/5)-1)</f>
        <v/>
      </c>
    </row>
    <row r="17">
      <c r="A17" s="17" t="inlineStr">
        <is>
          <t>TOTAL EXPENDITURES</t>
        </is>
      </c>
      <c r="B17" s="18">
        <f>B6+B7+B8+B9+B10+B11+B12+B13+B14+B15+B16</f>
        <v/>
      </c>
      <c r="C17" s="18">
        <f>C6+C7+C8+C9+C10+C11+C12+C13+C14+C15+C16</f>
        <v/>
      </c>
      <c r="D17" s="18">
        <f>D6+D7+D8+D9+D10+D11+D12+D13+D14+D15+D16</f>
        <v/>
      </c>
      <c r="E17" s="18">
        <f>E6+E7+E8+E9+E10+E11+E12+E13+E14+E15+E16</f>
        <v/>
      </c>
      <c r="F17" s="18">
        <f>F6+F7+F8+F9+F10+F11+F12+F13+F14+F15+F16</f>
        <v/>
      </c>
      <c r="G17" s="18">
        <f>G6+G7+G8+G9+G10+G11+G12+G13+G14+G15+G16</f>
        <v/>
      </c>
      <c r="H17" s="27">
        <f>IF(B17=0,0,G17/B17-1)</f>
        <v/>
      </c>
      <c r="I17" s="27">
        <f>IF(B17=0,0,(G17/B17)^(1/5)-1)</f>
        <v/>
      </c>
    </row>
    <row r="19">
      <c r="A19" s="3" t="inlineStr">
        <is>
          <t>Year-over-Year Growth Rate</t>
        </is>
      </c>
    </row>
    <row r="20">
      <c r="A20" s="5" t="inlineStr">
        <is>
          <t>Article</t>
        </is>
      </c>
      <c r="B20" s="5" t="inlineStr">
        <is>
          <t>FY23</t>
        </is>
      </c>
      <c r="C20" s="5" t="inlineStr">
        <is>
          <t>FY24</t>
        </is>
      </c>
      <c r="D20" s="5" t="inlineStr">
        <is>
          <t>FY25</t>
        </is>
      </c>
      <c r="E20" s="5" t="inlineStr">
        <is>
          <t>FY26</t>
        </is>
      </c>
      <c r="F20" s="5" t="inlineStr">
        <is>
          <t>FY27</t>
        </is>
      </c>
    </row>
    <row r="21">
      <c r="A21" s="14" t="inlineStr">
        <is>
          <t>Art 1</t>
        </is>
      </c>
      <c r="B21" s="26">
        <f>IF(B6=0,0,C6/B6-1)</f>
        <v/>
      </c>
      <c r="C21" s="26">
        <f>IF(C6=0,0,D6/C6-1)</f>
        <v/>
      </c>
      <c r="D21" s="26">
        <f>IF(D6=0,0,E6/D6-1)</f>
        <v/>
      </c>
      <c r="E21" s="26">
        <f>IF(E6=0,0,F6/E6-1)</f>
        <v/>
      </c>
      <c r="F21" s="26">
        <f>IF(F6=0,0,G6/F6-1)</f>
        <v/>
      </c>
    </row>
    <row r="22">
      <c r="A22" s="14" t="inlineStr">
        <is>
          <t>Art 2</t>
        </is>
      </c>
      <c r="B22" s="26">
        <f>IF(B7=0,0,C7/B7-1)</f>
        <v/>
      </c>
      <c r="C22" s="26">
        <f>IF(C7=0,0,D7/C7-1)</f>
        <v/>
      </c>
      <c r="D22" s="26">
        <f>IF(D7=0,0,E7/D7-1)</f>
        <v/>
      </c>
      <c r="E22" s="26">
        <f>IF(E7=0,0,F7/E7-1)</f>
        <v/>
      </c>
      <c r="F22" s="26">
        <f>IF(F7=0,0,G7/F7-1)</f>
        <v/>
      </c>
    </row>
    <row r="23">
      <c r="A23" s="14" t="inlineStr">
        <is>
          <t>Art 3</t>
        </is>
      </c>
      <c r="B23" s="26">
        <f>IF(B8=0,0,C8/B8-1)</f>
        <v/>
      </c>
      <c r="C23" s="26">
        <f>IF(C8=0,0,D8/C8-1)</f>
        <v/>
      </c>
      <c r="D23" s="26">
        <f>IF(D8=0,0,E8/D8-1)</f>
        <v/>
      </c>
      <c r="E23" s="26">
        <f>IF(E8=0,0,F8/E8-1)</f>
        <v/>
      </c>
      <c r="F23" s="26">
        <f>IF(F8=0,0,G8/F8-1)</f>
        <v/>
      </c>
    </row>
    <row r="24">
      <c r="A24" s="14" t="inlineStr">
        <is>
          <t>Art 4</t>
        </is>
      </c>
      <c r="B24" s="26">
        <f>IF(B9=0,0,C9/B9-1)</f>
        <v/>
      </c>
      <c r="C24" s="26">
        <f>IF(C9=0,0,D9/C9-1)</f>
        <v/>
      </c>
      <c r="D24" s="26">
        <f>IF(D9=0,0,E9/D9-1)</f>
        <v/>
      </c>
      <c r="E24" s="26">
        <f>IF(E9=0,0,F9/E9-1)</f>
        <v/>
      </c>
      <c r="F24" s="26">
        <f>IF(F9=0,0,G9/F9-1)</f>
        <v/>
      </c>
    </row>
    <row r="25">
      <c r="A25" s="14" t="inlineStr">
        <is>
          <t>Art 5</t>
        </is>
      </c>
      <c r="B25" s="26">
        <f>IF(B10=0,0,C10/B10-1)</f>
        <v/>
      </c>
      <c r="C25" s="26">
        <f>IF(C10=0,0,D10/C10-1)</f>
        <v/>
      </c>
      <c r="D25" s="26">
        <f>IF(D10=0,0,E10/D10-1)</f>
        <v/>
      </c>
      <c r="E25" s="26">
        <f>IF(E10=0,0,F10/E10-1)</f>
        <v/>
      </c>
      <c r="F25" s="26">
        <f>IF(F10=0,0,G10/F10-1)</f>
        <v/>
      </c>
    </row>
    <row r="26">
      <c r="A26" s="14" t="inlineStr">
        <is>
          <t>Art 6</t>
        </is>
      </c>
      <c r="B26" s="26">
        <f>IF(B11=0,0,C11/B11-1)</f>
        <v/>
      </c>
      <c r="C26" s="26">
        <f>IF(C11=0,0,D11/C11-1)</f>
        <v/>
      </c>
      <c r="D26" s="26">
        <f>IF(D11=0,0,E11/D11-1)</f>
        <v/>
      </c>
      <c r="E26" s="26">
        <f>IF(E11=0,0,F11/E11-1)</f>
        <v/>
      </c>
      <c r="F26" s="26">
        <f>IF(F11=0,0,G11/F11-1)</f>
        <v/>
      </c>
    </row>
    <row r="27">
      <c r="A27" s="14" t="inlineStr">
        <is>
          <t>Art 7</t>
        </is>
      </c>
      <c r="B27" s="26">
        <f>IF(B12=0,0,C12/B12-1)</f>
        <v/>
      </c>
      <c r="C27" s="26">
        <f>IF(C12=0,0,D12/C12-1)</f>
        <v/>
      </c>
      <c r="D27" s="26">
        <f>IF(D12=0,0,E12/D12-1)</f>
        <v/>
      </c>
      <c r="E27" s="26">
        <f>IF(E12=0,0,F12/E12-1)</f>
        <v/>
      </c>
      <c r="F27" s="26">
        <f>IF(F12=0,0,G12/F12-1)</f>
        <v/>
      </c>
    </row>
    <row r="28">
      <c r="A28" s="14" t="inlineStr">
        <is>
          <t>Art 8</t>
        </is>
      </c>
      <c r="B28" s="26">
        <f>IF(B13=0,0,C13/B13-1)</f>
        <v/>
      </c>
      <c r="C28" s="26">
        <f>IF(C13=0,0,D13/C13-1)</f>
        <v/>
      </c>
      <c r="D28" s="26">
        <f>IF(D13=0,0,E13/D13-1)</f>
        <v/>
      </c>
      <c r="E28" s="26">
        <f>IF(E13=0,0,F13/E13-1)</f>
        <v/>
      </c>
      <c r="F28" s="26">
        <f>IF(F13=0,0,G13/F13-1)</f>
        <v/>
      </c>
    </row>
    <row r="29">
      <c r="A29" s="14" t="inlineStr">
        <is>
          <t>Art 9</t>
        </is>
      </c>
      <c r="B29" s="26">
        <f>IF(B14=0,0,C14/B14-1)</f>
        <v/>
      </c>
      <c r="C29" s="26">
        <f>IF(C14=0,0,D14/C14-1)</f>
        <v/>
      </c>
      <c r="D29" s="26">
        <f>IF(D14=0,0,E14/D14-1)</f>
        <v/>
      </c>
      <c r="E29" s="26">
        <f>IF(E14=0,0,F14/E14-1)</f>
        <v/>
      </c>
      <c r="F29" s="26">
        <f>IF(F14=0,0,G14/F14-1)</f>
        <v/>
      </c>
    </row>
    <row r="30">
      <c r="A30" s="14" t="inlineStr">
        <is>
          <t>Art 10</t>
        </is>
      </c>
      <c r="B30" s="26">
        <f>IF(B15=0,0,C15/B15-1)</f>
        <v/>
      </c>
      <c r="C30" s="26">
        <f>IF(C15=0,0,D15/C15-1)</f>
        <v/>
      </c>
      <c r="D30" s="26">
        <f>IF(D15=0,0,E15/D15-1)</f>
        <v/>
      </c>
      <c r="E30" s="26">
        <f>IF(E15=0,0,F15/E15-1)</f>
        <v/>
      </c>
      <c r="F30" s="26">
        <f>IF(F15=0,0,G15/F15-1)</f>
        <v/>
      </c>
    </row>
    <row r="31">
      <c r="A31" s="14" t="inlineStr">
        <is>
          <t>Art 11</t>
        </is>
      </c>
      <c r="B31" s="26">
        <f>IF(B16=0,0,C16/B16-1)</f>
        <v/>
      </c>
      <c r="C31" s="26">
        <f>IF(C16=0,0,D16/C16-1)</f>
        <v/>
      </c>
      <c r="D31" s="26">
        <f>IF(D16=0,0,E16/D16-1)</f>
        <v/>
      </c>
      <c r="E31" s="26">
        <f>IF(E16=0,0,F16/E16-1)</f>
        <v/>
      </c>
      <c r="F31" s="26">
        <f>IF(F16=0,0,G16/F16-1)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Cost Per Student (FY23)</t>
        </is>
      </c>
    </row>
    <row r="3">
      <c r="A3" s="2" t="inlineStr">
        <is>
          <t>No enrollment data available for cost-per-student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1000.1100.1000.51010.010</t>
        </is>
      </c>
      <c r="B7" s="6" t="inlineStr">
        <is>
          <t>Teacher Salary</t>
        </is>
      </c>
      <c r="C7" s="24" t="n">
        <v>1688598</v>
      </c>
      <c r="D7" s="24" t="n">
        <v>1688520</v>
      </c>
      <c r="E7" s="24" t="n">
        <v>1921743</v>
      </c>
      <c r="F7" s="24" t="n">
        <v>1823358</v>
      </c>
      <c r="G7" s="24" t="n">
        <v>2060580</v>
      </c>
      <c r="H7" s="24">
        <f>G7-F7</f>
        <v/>
      </c>
      <c r="I7" s="8">
        <f>IF(F7=0,0,G7/F7-1)</f>
        <v/>
      </c>
    </row>
    <row r="8">
      <c r="A8" s="6" t="inlineStr">
        <is>
          <t>1000.1100.1000.51020.010</t>
        </is>
      </c>
      <c r="B8" s="6" t="inlineStr">
        <is>
          <t>Ed Tech Salaries</t>
        </is>
      </c>
      <c r="C8" s="24" t="n">
        <v>88541</v>
      </c>
      <c r="D8" s="24" t="n">
        <v>86416</v>
      </c>
      <c r="E8" s="24" t="n">
        <v>127074</v>
      </c>
      <c r="F8" s="24" t="n">
        <v>76259</v>
      </c>
      <c r="G8" s="24" t="n">
        <v>89990</v>
      </c>
      <c r="H8" s="24">
        <f>G8-F8</f>
        <v/>
      </c>
      <c r="I8" s="8">
        <f>IF(F8=0,0,G8/F8-1)</f>
        <v/>
      </c>
    </row>
    <row r="9">
      <c r="A9" s="6" t="inlineStr">
        <is>
          <t>1000.1100.1000.51230.010</t>
        </is>
      </c>
      <c r="B9" s="6" t="inlineStr">
        <is>
          <t>Salaries-Subs</t>
        </is>
      </c>
      <c r="C9" s="24" t="n">
        <v>64149</v>
      </c>
      <c r="D9" s="24" t="n">
        <v>54336</v>
      </c>
      <c r="E9" s="24" t="n">
        <v>151065</v>
      </c>
      <c r="F9" s="24" t="n">
        <v>60000</v>
      </c>
      <c r="G9" s="24" t="n">
        <v>65000</v>
      </c>
      <c r="H9" s="24">
        <f>G9-F9</f>
        <v/>
      </c>
      <c r="I9" s="8">
        <f>IF(F9=0,0,G9/F9-1)</f>
        <v/>
      </c>
    </row>
    <row r="10">
      <c r="A10" s="6" t="inlineStr">
        <is>
          <t>1000.1100.1000.51500.010</t>
        </is>
      </c>
      <c r="B10" s="6" t="inlineStr">
        <is>
          <t>Stipends</t>
        </is>
      </c>
      <c r="C10" s="24" t="n">
        <v>1888</v>
      </c>
      <c r="D10" s="24" t="n">
        <v>1107</v>
      </c>
      <c r="E10" s="24" t="n">
        <v>3045</v>
      </c>
      <c r="F10" s="24" t="n">
        <v>22328</v>
      </c>
      <c r="G10" s="24" t="n">
        <v>32870</v>
      </c>
      <c r="H10" s="24">
        <f>G10-F10</f>
        <v/>
      </c>
      <c r="I10" s="8">
        <f>IF(F10=0,0,G10/F10-1)</f>
        <v/>
      </c>
    </row>
    <row r="11">
      <c r="A11" s="6" t="inlineStr">
        <is>
          <t>1000.1100.1000.52000.010</t>
        </is>
      </c>
      <c r="B11" s="6" t="inlineStr">
        <is>
          <t>Stipend Benefit</t>
        </is>
      </c>
      <c r="C11" s="24" t="n">
        <v>921</v>
      </c>
      <c r="D11" s="24" t="n">
        <v>469</v>
      </c>
      <c r="E11" s="24" t="n">
        <v>4</v>
      </c>
      <c r="F11" s="24" t="n">
        <v>323</v>
      </c>
      <c r="G11" s="24" t="n">
        <v>422</v>
      </c>
      <c r="H11" s="24">
        <f>G11-F11</f>
        <v/>
      </c>
      <c r="I11" s="8">
        <f>IF(F11=0,0,G11/F11-1)</f>
        <v/>
      </c>
    </row>
    <row r="12">
      <c r="A12" s="6" t="inlineStr">
        <is>
          <t>1000.1100.1000.52010.010</t>
        </is>
      </c>
      <c r="B12" s="6" t="inlineStr">
        <is>
          <t>Teacher Benefits</t>
        </is>
      </c>
      <c r="C12" s="24" t="n">
        <v>444253</v>
      </c>
      <c r="D12" s="24" t="n">
        <v>433145</v>
      </c>
      <c r="E12" s="24" t="n">
        <v>112490</v>
      </c>
      <c r="F12" s="24" t="n">
        <v>491882</v>
      </c>
      <c r="G12" s="24" t="n">
        <v>472460</v>
      </c>
      <c r="H12" s="24">
        <f>G12-F12</f>
        <v/>
      </c>
      <c r="I12" s="8">
        <f>IF(F12=0,0,G12/F12-1)</f>
        <v/>
      </c>
    </row>
    <row r="13">
      <c r="A13" s="6" t="inlineStr">
        <is>
          <t>1000.1100.1000.52020.010</t>
        </is>
      </c>
      <c r="B13" s="6" t="inlineStr">
        <is>
          <t>Ed Tech Benefits</t>
        </is>
      </c>
      <c r="C13" s="24" t="n">
        <v>39719</v>
      </c>
      <c r="D13" s="24" t="n">
        <v>33991</v>
      </c>
      <c r="E13" s="24" t="n">
        <v>15543</v>
      </c>
      <c r="F13" s="24" t="n">
        <v>21723</v>
      </c>
      <c r="G13" s="24" t="n">
        <v>42408</v>
      </c>
      <c r="H13" s="24">
        <f>G13-F13</f>
        <v/>
      </c>
      <c r="I13" s="8">
        <f>IF(F13=0,0,G13/F13-1)</f>
        <v/>
      </c>
    </row>
    <row r="14">
      <c r="A14" s="6" t="inlineStr">
        <is>
          <t>1000.1100.1000.52030.010</t>
        </is>
      </c>
      <c r="B14" s="6" t="inlineStr">
        <is>
          <t>Benefits-Subs</t>
        </is>
      </c>
      <c r="C14" s="24" t="n">
        <v>2671</v>
      </c>
      <c r="D14" s="24" t="n">
        <v>2417</v>
      </c>
      <c r="E14" s="24" t="n">
        <v>146</v>
      </c>
      <c r="F14" s="24" t="n">
        <v>894</v>
      </c>
      <c r="G14" s="24" t="n">
        <v>1007</v>
      </c>
      <c r="H14" s="24">
        <f>G14-F14</f>
        <v/>
      </c>
      <c r="I14" s="8">
        <f>IF(F14=0,0,G14/F14-1)</f>
        <v/>
      </c>
    </row>
    <row r="15">
      <c r="A15" s="6" t="inlineStr">
        <is>
          <t>1000.1100.1000.52300.010</t>
        </is>
      </c>
      <c r="B15" s="6" t="inlineStr">
        <is>
          <t>Retirement</t>
        </is>
      </c>
      <c r="C15" s="24" t="n">
        <v>75</v>
      </c>
      <c r="D15" s="24" t="n">
        <v>40</v>
      </c>
      <c r="E15" s="24" t="n">
        <v>0</v>
      </c>
      <c r="F15" s="24" t="n">
        <v>928</v>
      </c>
      <c r="G15" s="24" t="n">
        <v>1213</v>
      </c>
      <c r="H15" s="24">
        <f>G15-F15</f>
        <v/>
      </c>
      <c r="I15" s="8">
        <f>IF(F15=0,0,G15/F15-1)</f>
        <v/>
      </c>
    </row>
    <row r="16">
      <c r="A16" s="6" t="inlineStr">
        <is>
          <t>1000.1100.1000.52310.010</t>
        </is>
      </c>
      <c r="B16" s="6" t="inlineStr">
        <is>
          <t>Retirement</t>
        </is>
      </c>
      <c r="C16" s="24" t="n">
        <v>69009</v>
      </c>
      <c r="D16" s="24" t="n">
        <v>70713</v>
      </c>
      <c r="E16" s="24" t="n">
        <v>17765</v>
      </c>
      <c r="F16" s="24" t="n">
        <v>75934</v>
      </c>
      <c r="G16" s="24" t="n">
        <v>85779</v>
      </c>
      <c r="H16" s="24">
        <f>G16-F16</f>
        <v/>
      </c>
      <c r="I16" s="8">
        <f>IF(F16=0,0,G16/F16-1)</f>
        <v/>
      </c>
    </row>
    <row r="17">
      <c r="A17" s="6" t="inlineStr">
        <is>
          <t>1000.1100.1000.52320.010</t>
        </is>
      </c>
      <c r="B17" s="6" t="inlineStr">
        <is>
          <t>Retirement</t>
        </is>
      </c>
      <c r="C17" s="24" t="n">
        <v>3515</v>
      </c>
      <c r="D17" s="24" t="n">
        <v>2827</v>
      </c>
      <c r="E17" s="24" t="n">
        <v>998</v>
      </c>
      <c r="F17" s="24" t="n">
        <v>3147</v>
      </c>
      <c r="G17" s="24" t="n">
        <v>3629</v>
      </c>
      <c r="H17" s="24">
        <f>G17-F17</f>
        <v/>
      </c>
      <c r="I17" s="8">
        <f>IF(F17=0,0,G17/F17-1)</f>
        <v/>
      </c>
    </row>
    <row r="18">
      <c r="A18" s="6" t="inlineStr">
        <is>
          <t>1000.1100.1000.52330.010</t>
        </is>
      </c>
      <c r="B18" s="6" t="inlineStr">
        <is>
          <t>Retirement</t>
        </is>
      </c>
      <c r="C18" s="24" t="n">
        <v>272</v>
      </c>
      <c r="D18" s="24" t="n">
        <v>693</v>
      </c>
      <c r="E18" s="24" t="n">
        <v>820</v>
      </c>
      <c r="F18" s="24" t="n">
        <v>2496</v>
      </c>
      <c r="G18" s="24" t="n">
        <v>2704</v>
      </c>
      <c r="H18" s="24">
        <f>G18-F18</f>
        <v/>
      </c>
      <c r="I18" s="8">
        <f>IF(F18=0,0,G18/F18-1)</f>
        <v/>
      </c>
    </row>
    <row r="19">
      <c r="A19" s="6" t="inlineStr">
        <is>
          <t>1000.1100.1000.53400.010</t>
        </is>
      </c>
      <c r="B19" s="6" t="inlineStr">
        <is>
          <t>Professional Services</t>
        </is>
      </c>
      <c r="C19" s="24" t="n">
        <v>4664</v>
      </c>
      <c r="D19" s="24" t="n">
        <v>6380</v>
      </c>
      <c r="E19" s="24" t="n">
        <v>11370</v>
      </c>
      <c r="F19" s="24" t="n">
        <v>19677</v>
      </c>
      <c r="G19" s="24" t="n">
        <v>20587</v>
      </c>
      <c r="H19" s="24">
        <f>G19-F19</f>
        <v/>
      </c>
      <c r="I19" s="8">
        <f>IF(F19=0,0,G19/F19-1)</f>
        <v/>
      </c>
    </row>
    <row r="20">
      <c r="A20" s="6" t="inlineStr">
        <is>
          <t>1000.1100.1000.54300.010</t>
        </is>
      </c>
      <c r="B20" s="6" t="inlineStr">
        <is>
          <t>Copiers- Equipment Maint</t>
        </is>
      </c>
      <c r="C20" s="24" t="n">
        <v>5285</v>
      </c>
      <c r="D20" s="24" t="n">
        <v>2997</v>
      </c>
      <c r="E20" s="24" t="n">
        <v>15303</v>
      </c>
      <c r="F20" s="24" t="n">
        <v>11333</v>
      </c>
      <c r="G20" s="24" t="n">
        <v>11100</v>
      </c>
      <c r="H20" s="24">
        <f>G20-F20</f>
        <v/>
      </c>
      <c r="I20" s="8">
        <f>IF(F20=0,0,G20/F20-1)</f>
        <v/>
      </c>
    </row>
    <row r="21">
      <c r="A21" s="6" t="inlineStr">
        <is>
          <t>1000.1100.1000.54330.010</t>
        </is>
      </c>
      <c r="B21" s="6" t="inlineStr">
        <is>
          <t>Software</t>
        </is>
      </c>
      <c r="C21" s="24" t="n">
        <v>499</v>
      </c>
      <c r="D21" s="24" t="n">
        <v>963</v>
      </c>
      <c r="E21" s="24" t="n">
        <v>1313</v>
      </c>
      <c r="F21" s="24" t="n">
        <v>9081</v>
      </c>
      <c r="G21" s="24" t="n">
        <v>9361</v>
      </c>
      <c r="H21" s="24">
        <f>G21-F21</f>
        <v/>
      </c>
      <c r="I21" s="8">
        <f>IF(F21=0,0,G21/F21-1)</f>
        <v/>
      </c>
    </row>
    <row r="22">
      <c r="A22" s="6" t="inlineStr">
        <is>
          <t>1000.1100.1000.55800.010</t>
        </is>
      </c>
      <c r="B22" s="6" t="inlineStr">
        <is>
          <t>Travel</t>
        </is>
      </c>
      <c r="C22" s="24" t="n">
        <v>904</v>
      </c>
      <c r="D22" s="24" t="n">
        <v>1839</v>
      </c>
      <c r="E22" s="24" t="n">
        <v>327</v>
      </c>
      <c r="F22" s="24" t="n">
        <v>2654</v>
      </c>
      <c r="G22" s="24" t="n">
        <v>2000</v>
      </c>
      <c r="H22" s="24">
        <f>G22-F22</f>
        <v/>
      </c>
      <c r="I22" s="8">
        <f>IF(F22=0,0,G22/F22-1)</f>
        <v/>
      </c>
    </row>
    <row r="23">
      <c r="A23" s="6" t="inlineStr">
        <is>
          <t>1000.1100.1000.56100.010</t>
        </is>
      </c>
      <c r="B23" s="6" t="inlineStr">
        <is>
          <t>Supplies</t>
        </is>
      </c>
      <c r="C23" s="24" t="n">
        <v>51298</v>
      </c>
      <c r="D23" s="24" t="n">
        <v>54294</v>
      </c>
      <c r="E23" s="24" t="n">
        <v>48048</v>
      </c>
      <c r="F23" s="24" t="n">
        <v>60209</v>
      </c>
      <c r="G23" s="24" t="n">
        <v>63031</v>
      </c>
      <c r="H23" s="24">
        <f>G23-F23</f>
        <v/>
      </c>
      <c r="I23" s="8">
        <f>IF(F23=0,0,G23/F23-1)</f>
        <v/>
      </c>
    </row>
    <row r="24">
      <c r="A24" s="6" t="inlineStr">
        <is>
          <t>1000.1100.1000.56400.010</t>
        </is>
      </c>
      <c r="B24" s="6" t="inlineStr">
        <is>
          <t>Books</t>
        </is>
      </c>
      <c r="C24" s="24" t="n">
        <v>10378</v>
      </c>
      <c r="D24" s="24" t="n">
        <v>16969</v>
      </c>
      <c r="E24" s="24" t="n">
        <v>9515</v>
      </c>
      <c r="F24" s="24" t="n">
        <v>11517</v>
      </c>
      <c r="G24" s="24" t="n">
        <v>12195</v>
      </c>
      <c r="H24" s="24">
        <f>G24-F24</f>
        <v/>
      </c>
      <c r="I24" s="8">
        <f>IF(F24=0,0,G24/F24-1)</f>
        <v/>
      </c>
    </row>
    <row r="25">
      <c r="A25" s="6" t="inlineStr">
        <is>
          <t>1000.1100.1000.57300.010</t>
        </is>
      </c>
      <c r="B25" s="6" t="inlineStr">
        <is>
          <t>Equipment</t>
        </is>
      </c>
      <c r="C25" s="24" t="n">
        <v>15115</v>
      </c>
      <c r="D25" s="24" t="n">
        <v>17476</v>
      </c>
      <c r="E25" s="24" t="n">
        <v>20356</v>
      </c>
      <c r="F25" s="24" t="n">
        <v>6065</v>
      </c>
      <c r="G25" s="24" t="n">
        <v>14110</v>
      </c>
      <c r="H25" s="24">
        <f>G25-F25</f>
        <v/>
      </c>
      <c r="I25" s="8">
        <f>IF(F25=0,0,G25/F25-1)</f>
        <v/>
      </c>
    </row>
    <row r="26">
      <c r="A26" s="6" t="inlineStr">
        <is>
          <t>1000.1100.1000.58100.010</t>
        </is>
      </c>
      <c r="B26" s="6" t="inlineStr">
        <is>
          <t>Dues &amp; Fees</t>
        </is>
      </c>
      <c r="C26" s="24" t="n">
        <v>360</v>
      </c>
      <c r="D26" s="24" t="n">
        <v>0</v>
      </c>
      <c r="E26" s="24" t="n">
        <v>409</v>
      </c>
      <c r="F26" s="24" t="n">
        <v>585</v>
      </c>
      <c r="G26" s="24" t="n">
        <v>585</v>
      </c>
      <c r="H26" s="24">
        <f>G26-F26</f>
        <v/>
      </c>
      <c r="I26" s="8">
        <f>IF(F26=0,0,G26/F26-1)</f>
        <v/>
      </c>
    </row>
    <row r="27">
      <c r="A27" s="14" t="n"/>
      <c r="B27" s="28" t="inlineStr">
        <is>
          <t>Program 1100 Total</t>
        </is>
      </c>
      <c r="C27" s="29">
        <f>SUM(C7:C26)</f>
        <v/>
      </c>
      <c r="D27" s="29">
        <f>SUM(D7:D26)</f>
        <v/>
      </c>
      <c r="E27" s="29">
        <f>SUM(E7:E26)</f>
        <v/>
      </c>
      <c r="F27" s="29">
        <f>SUM(F7:F26)</f>
        <v/>
      </c>
      <c r="G27" s="29">
        <f>SUM(G7:G26)</f>
        <v/>
      </c>
      <c r="H27" s="29">
        <f>SUM(H7:H26)</f>
        <v/>
      </c>
      <c r="I27" s="29">
        <f>SUM(I7:I26)</f>
        <v/>
      </c>
    </row>
    <row r="28">
      <c r="A28" s="6" t="inlineStr">
        <is>
          <t>1000.1120.1000.51010.010</t>
        </is>
      </c>
      <c r="B28" s="6" t="inlineStr">
        <is>
          <t>Teacher Salaries</t>
        </is>
      </c>
      <c r="C28" s="24" t="n">
        <v>166966</v>
      </c>
      <c r="D28" s="24" t="n">
        <v>395276</v>
      </c>
      <c r="E28" s="24" t="n">
        <v>341025</v>
      </c>
      <c r="F28" s="24" t="n">
        <v>282589</v>
      </c>
      <c r="G28" s="24" t="n">
        <v>370997</v>
      </c>
      <c r="H28" s="24">
        <f>G28-F28</f>
        <v/>
      </c>
      <c r="I28" s="8">
        <f>IF(F28=0,0,G28/F28-1)</f>
        <v/>
      </c>
    </row>
    <row r="29">
      <c r="A29" s="6" t="inlineStr">
        <is>
          <t>1000.1120.1000.51020.010</t>
        </is>
      </c>
      <c r="B29" s="6" t="inlineStr">
        <is>
          <t>Ed Tech Salaries</t>
        </is>
      </c>
      <c r="C29" s="24" t="n">
        <v>23520</v>
      </c>
      <c r="D29" s="24" t="n">
        <v>58508</v>
      </c>
      <c r="E29" s="24" t="n">
        <v>33545</v>
      </c>
      <c r="F29" s="24" t="n">
        <v>23398</v>
      </c>
      <c r="G29" s="24" t="n">
        <v>37392</v>
      </c>
      <c r="H29" s="24">
        <f>G29-F29</f>
        <v/>
      </c>
      <c r="I29" s="8">
        <f>IF(F29=0,0,G29/F29-1)</f>
        <v/>
      </c>
    </row>
    <row r="30">
      <c r="A30" s="6" t="inlineStr">
        <is>
          <t>1000.1120.1000.52010.010</t>
        </is>
      </c>
      <c r="B30" s="6" t="inlineStr">
        <is>
          <t>Teacher Benefits</t>
        </is>
      </c>
      <c r="C30" s="24" t="n">
        <v>65025</v>
      </c>
      <c r="D30" s="24" t="n">
        <v>125817</v>
      </c>
      <c r="E30" s="24" t="n">
        <v>23002</v>
      </c>
      <c r="F30" s="24" t="n">
        <v>81043</v>
      </c>
      <c r="G30" s="24" t="n">
        <v>82923</v>
      </c>
      <c r="H30" s="24">
        <f>G30-F30</f>
        <v/>
      </c>
      <c r="I30" s="8">
        <f>IF(F30=0,0,G30/F30-1)</f>
        <v/>
      </c>
    </row>
    <row r="31">
      <c r="A31" s="6" t="inlineStr">
        <is>
          <t>1000.1120.1000.52020.010</t>
        </is>
      </c>
      <c r="B31" s="6" t="inlineStr">
        <is>
          <t>Ed Tech Benefits</t>
        </is>
      </c>
      <c r="C31" s="24" t="n">
        <v>3421</v>
      </c>
      <c r="D31" s="24" t="n">
        <v>20334</v>
      </c>
      <c r="E31" s="24" t="n">
        <v>14868</v>
      </c>
      <c r="F31" s="24" t="n">
        <v>7883</v>
      </c>
      <c r="G31" s="24" t="n">
        <v>15440</v>
      </c>
      <c r="H31" s="24">
        <f>G31-F31</f>
        <v/>
      </c>
      <c r="I31" s="8">
        <f>IF(F31=0,0,G31/F31-1)</f>
        <v/>
      </c>
    </row>
    <row r="32">
      <c r="A32" s="6" t="inlineStr">
        <is>
          <t>1000.1120.1000.52310.010</t>
        </is>
      </c>
      <c r="B32" s="6" t="inlineStr">
        <is>
          <t>Retirement</t>
        </is>
      </c>
      <c r="C32" s="24" t="n">
        <v>6844</v>
      </c>
      <c r="D32" s="24" t="n">
        <v>11598</v>
      </c>
      <c r="E32" s="24" t="n">
        <v>2943</v>
      </c>
      <c r="F32" s="24" t="n">
        <v>12119</v>
      </c>
      <c r="G32" s="24" t="n">
        <v>12827</v>
      </c>
      <c r="H32" s="24">
        <f>G32-F32</f>
        <v/>
      </c>
      <c r="I32" s="8">
        <f>IF(F32=0,0,G32/F32-1)</f>
        <v/>
      </c>
    </row>
    <row r="33">
      <c r="A33" s="6" t="inlineStr">
        <is>
          <t>1000.1120.1000.52320.010</t>
        </is>
      </c>
      <c r="B33" s="6" t="inlineStr">
        <is>
          <t>Retirement</t>
        </is>
      </c>
      <c r="C33" s="24" t="n">
        <v>934</v>
      </c>
      <c r="D33" s="24" t="n">
        <v>2402</v>
      </c>
      <c r="E33" s="24" t="n">
        <v>572</v>
      </c>
      <c r="F33" s="24" t="n">
        <v>973</v>
      </c>
      <c r="G33" s="24" t="n">
        <v>2704</v>
      </c>
      <c r="H33" s="24">
        <f>G33-F33</f>
        <v/>
      </c>
      <c r="I33" s="8">
        <f>IF(F33=0,0,G33/F33-1)</f>
        <v/>
      </c>
    </row>
    <row r="34">
      <c r="A34" s="14" t="n"/>
      <c r="B34" s="28" t="inlineStr">
        <is>
          <t>Program 1120 Total</t>
        </is>
      </c>
      <c r="C34" s="29">
        <f>SUM(C28:C33)</f>
        <v/>
      </c>
      <c r="D34" s="29">
        <f>SUM(D28:D33)</f>
        <v/>
      </c>
      <c r="E34" s="29">
        <f>SUM(E28:E33)</f>
        <v/>
      </c>
      <c r="F34" s="29">
        <f>SUM(F28:F33)</f>
        <v/>
      </c>
      <c r="G34" s="29">
        <f>SUM(G28:G33)</f>
        <v/>
      </c>
      <c r="H34" s="29">
        <f>SUM(H28:H33)</f>
        <v/>
      </c>
      <c r="I34" s="29">
        <f>SUM(I28:I33)</f>
        <v/>
      </c>
    </row>
    <row r="35">
      <c r="A35" s="6" t="inlineStr">
        <is>
          <t>1000.4200.1000.53000.010</t>
        </is>
      </c>
      <c r="B35" s="6" t="inlineStr">
        <is>
          <t>Purchased Professional</t>
        </is>
      </c>
      <c r="C35" s="24" t="n">
        <v>25000</v>
      </c>
      <c r="D35" s="24" t="n">
        <v>25000</v>
      </c>
      <c r="E35" s="24" t="n">
        <v>25000</v>
      </c>
      <c r="F35" s="24" t="n">
        <v>25000</v>
      </c>
      <c r="G35" s="24" t="n">
        <v>25000</v>
      </c>
      <c r="H35" s="24">
        <f>G35-F35</f>
        <v/>
      </c>
      <c r="I35" s="8">
        <f>IF(F35=0,0,G35/F35-1)</f>
        <v/>
      </c>
    </row>
    <row r="36">
      <c r="A36" s="14" t="n"/>
      <c r="B36" s="30" t="inlineStr">
        <is>
          <t>Function 1000 Total</t>
        </is>
      </c>
      <c r="C36" s="31">
        <f>C27+C34</f>
        <v/>
      </c>
      <c r="D36" s="31">
        <f>D27+D34</f>
        <v/>
      </c>
      <c r="E36" s="31">
        <f>E27+E34</f>
        <v/>
      </c>
      <c r="F36" s="31">
        <f>F27+F34</f>
        <v/>
      </c>
      <c r="G36" s="31">
        <f>G27+G34</f>
        <v/>
      </c>
      <c r="H36" s="31">
        <f>H27+H34</f>
        <v/>
      </c>
      <c r="I36" s="31">
        <f>I27+I34</f>
        <v/>
      </c>
    </row>
    <row r="37">
      <c r="A37" s="14" t="n"/>
      <c r="B37" s="17" t="inlineStr">
        <is>
          <t>Cost Center ('010',) Total</t>
        </is>
      </c>
      <c r="C37" s="32">
        <f>C36</f>
        <v/>
      </c>
      <c r="D37" s="32">
        <f>D36</f>
        <v/>
      </c>
      <c r="E37" s="32">
        <f>E36</f>
        <v/>
      </c>
      <c r="F37" s="32">
        <f>F36</f>
        <v/>
      </c>
      <c r="G37" s="32">
        <f>G36</f>
        <v/>
      </c>
      <c r="H37" s="32">
        <f>H36</f>
        <v/>
      </c>
      <c r="I37" s="32">
        <f>I36</f>
        <v/>
      </c>
    </row>
    <row r="39">
      <c r="A39" s="3" t="inlineStr">
        <is>
          <t>Cost Center: ('020',)</t>
        </is>
      </c>
    </row>
    <row r="40">
      <c r="A40" s="6" t="inlineStr">
        <is>
          <t>1000.1100.1000.51010.020</t>
        </is>
      </c>
      <c r="B40" s="6" t="inlineStr">
        <is>
          <t>Teacher Salary</t>
        </is>
      </c>
      <c r="C40" s="24" t="n">
        <v>893772</v>
      </c>
      <c r="D40" s="24" t="n">
        <v>969014</v>
      </c>
      <c r="E40" s="24" t="n">
        <v>803730</v>
      </c>
      <c r="F40" s="24" t="n">
        <v>1066763</v>
      </c>
      <c r="G40" s="24" t="n">
        <v>1016769</v>
      </c>
      <c r="H40" s="24">
        <f>G40-F40</f>
        <v/>
      </c>
      <c r="I40" s="8">
        <f>IF(F40=0,0,G40/F40-1)</f>
        <v/>
      </c>
    </row>
    <row r="41">
      <c r="A41" s="6" t="inlineStr">
        <is>
          <t>1000.1100.1000.51020.020</t>
        </is>
      </c>
      <c r="B41" s="6" t="inlineStr">
        <is>
          <t>Ed Tech Salaries</t>
        </is>
      </c>
      <c r="C41" s="24" t="n">
        <v>58289</v>
      </c>
      <c r="D41" s="24" t="n">
        <v>73048</v>
      </c>
      <c r="E41" s="24" t="n">
        <v>81387</v>
      </c>
      <c r="F41" s="24" t="n">
        <v>84750</v>
      </c>
      <c r="G41" s="24" t="n">
        <v>82481</v>
      </c>
      <c r="H41" s="24">
        <f>G41-F41</f>
        <v/>
      </c>
      <c r="I41" s="8">
        <f>IF(F41=0,0,G41/F41-1)</f>
        <v/>
      </c>
    </row>
    <row r="42">
      <c r="A42" s="6" t="inlineStr">
        <is>
          <t>1000.1100.1000.51230.020</t>
        </is>
      </c>
      <c r="B42" s="6" t="inlineStr">
        <is>
          <t>Substitute Wages</t>
        </is>
      </c>
      <c r="C42" s="24" t="n">
        <v>26474</v>
      </c>
      <c r="D42" s="24" t="n">
        <v>31345</v>
      </c>
      <c r="E42" s="24" t="n">
        <v>14868</v>
      </c>
      <c r="F42" s="24" t="n">
        <v>30000</v>
      </c>
      <c r="G42" s="24" t="n">
        <v>30000</v>
      </c>
      <c r="H42" s="24">
        <f>G42-F42</f>
        <v/>
      </c>
      <c r="I42" s="8">
        <f>IF(F42=0,0,G42/F42-1)</f>
        <v/>
      </c>
    </row>
    <row r="43">
      <c r="A43" s="6" t="inlineStr">
        <is>
          <t>1000.1100.1000.51500.020</t>
        </is>
      </c>
      <c r="B43" s="6" t="inlineStr">
        <is>
          <t>Stipends</t>
        </is>
      </c>
      <c r="C43" s="24" t="n">
        <v>0</v>
      </c>
      <c r="D43" s="24" t="n">
        <v>0</v>
      </c>
      <c r="E43" s="24" t="n">
        <v>0</v>
      </c>
      <c r="F43" s="24" t="n">
        <v>13900</v>
      </c>
      <c r="G43" s="24" t="n">
        <v>11775</v>
      </c>
      <c r="H43" s="24">
        <f>G43-F43</f>
        <v/>
      </c>
      <c r="I43" s="8">
        <f>IF(F43=0,0,G43/F43-1)</f>
        <v/>
      </c>
    </row>
    <row r="44">
      <c r="A44" s="6" t="inlineStr">
        <is>
          <t>1000.1100.1000.52000.020</t>
        </is>
      </c>
      <c r="B44" s="6" t="inlineStr">
        <is>
          <t>Stipend Benefits</t>
        </is>
      </c>
      <c r="C44" s="24" t="n">
        <v>0</v>
      </c>
      <c r="D44" s="24" t="n">
        <v>0</v>
      </c>
      <c r="E44" s="24" t="n">
        <v>0</v>
      </c>
      <c r="F44" s="24" t="n">
        <v>229</v>
      </c>
      <c r="G44" s="24" t="n">
        <v>253</v>
      </c>
      <c r="H44" s="24">
        <f>G44-F44</f>
        <v/>
      </c>
      <c r="I44" s="8">
        <f>IF(F44=0,0,G44/F44-1)</f>
        <v/>
      </c>
    </row>
    <row r="45">
      <c r="A45" s="6" t="inlineStr">
        <is>
          <t>1000.1100.1000.52010.020</t>
        </is>
      </c>
      <c r="B45" s="6" t="inlineStr">
        <is>
          <t>Teacher Benefits</t>
        </is>
      </c>
      <c r="C45" s="24" t="n">
        <v>220845</v>
      </c>
      <c r="D45" s="24" t="n">
        <v>235748</v>
      </c>
      <c r="E45" s="24" t="n">
        <v>51068</v>
      </c>
      <c r="F45" s="24" t="n">
        <v>293631</v>
      </c>
      <c r="G45" s="24" t="n">
        <v>233494</v>
      </c>
      <c r="H45" s="24">
        <f>G45-F45</f>
        <v/>
      </c>
      <c r="I45" s="8">
        <f>IF(F45=0,0,G45/F45-1)</f>
        <v/>
      </c>
    </row>
    <row r="46">
      <c r="A46" s="6" t="inlineStr">
        <is>
          <t>1000.1100.1000.52020.020</t>
        </is>
      </c>
      <c r="B46" s="6" t="inlineStr">
        <is>
          <t>Ed Tech Benefits</t>
        </is>
      </c>
      <c r="C46" s="24" t="n">
        <v>14904</v>
      </c>
      <c r="D46" s="24" t="n">
        <v>16721</v>
      </c>
      <c r="E46" s="24" t="n">
        <v>7666</v>
      </c>
      <c r="F46" s="24" t="n">
        <v>9393</v>
      </c>
      <c r="G46" s="24" t="n">
        <v>38830</v>
      </c>
      <c r="H46" s="24">
        <f>G46-F46</f>
        <v/>
      </c>
      <c r="I46" s="8">
        <f>IF(F46=0,0,G46/F46-1)</f>
        <v/>
      </c>
    </row>
    <row r="47">
      <c r="A47" s="6" t="inlineStr">
        <is>
          <t>1000.1100.1000.52030.020</t>
        </is>
      </c>
      <c r="B47" s="6" t="inlineStr">
        <is>
          <t>Substitute Benefits</t>
        </is>
      </c>
      <c r="C47" s="24" t="n">
        <v>2536</v>
      </c>
      <c r="D47" s="24" t="n">
        <v>1643</v>
      </c>
      <c r="E47" s="24" t="n">
        <v>7</v>
      </c>
      <c r="F47" s="24" t="n">
        <v>535</v>
      </c>
      <c r="G47" s="24" t="n">
        <v>585</v>
      </c>
      <c r="H47" s="24">
        <f>G47-F47</f>
        <v/>
      </c>
      <c r="I47" s="8">
        <f>IF(F47=0,0,G47/F47-1)</f>
        <v/>
      </c>
    </row>
    <row r="48">
      <c r="A48" s="6" t="inlineStr">
        <is>
          <t>1000.1100.1000.52300.020</t>
        </is>
      </c>
      <c r="B48" s="6" t="inlineStr">
        <is>
          <t>Retirement</t>
        </is>
      </c>
      <c r="C48" s="24" t="n">
        <v>0</v>
      </c>
      <c r="D48" s="24" t="n">
        <v>0</v>
      </c>
      <c r="E48" s="24" t="n">
        <v>0</v>
      </c>
      <c r="F48" s="24" t="n">
        <v>488</v>
      </c>
      <c r="G48" s="24" t="n">
        <v>540</v>
      </c>
      <c r="H48" s="24">
        <f>G48-F48</f>
        <v/>
      </c>
      <c r="I48" s="8">
        <f>IF(F48=0,0,G48/F48-1)</f>
        <v/>
      </c>
    </row>
    <row r="49">
      <c r="A49" s="6" t="inlineStr">
        <is>
          <t>1000.1100.1000.52310.020</t>
        </is>
      </c>
      <c r="B49" s="6" t="inlineStr">
        <is>
          <t>Retirement</t>
        </is>
      </c>
      <c r="C49" s="24" t="n">
        <v>35531</v>
      </c>
      <c r="D49" s="24" t="n">
        <v>40191</v>
      </c>
      <c r="E49" s="24" t="n">
        <v>8168</v>
      </c>
      <c r="F49" s="24" t="n">
        <v>45250</v>
      </c>
      <c r="G49" s="24" t="n">
        <v>42297</v>
      </c>
      <c r="H49" s="24">
        <f>G49-F49</f>
        <v/>
      </c>
      <c r="I49" s="8">
        <f>IF(F49=0,0,G49/F49-1)</f>
        <v/>
      </c>
    </row>
    <row r="50">
      <c r="A50" s="6" t="inlineStr">
        <is>
          <t>1000.1100.1000.52320.020</t>
        </is>
      </c>
      <c r="B50" s="6" t="inlineStr">
        <is>
          <t>Retirement</t>
        </is>
      </c>
      <c r="C50" s="24" t="n">
        <v>2317</v>
      </c>
      <c r="D50" s="24" t="n">
        <v>2791</v>
      </c>
      <c r="E50" s="24" t="n">
        <v>712</v>
      </c>
      <c r="F50" s="24" t="n">
        <v>3146</v>
      </c>
      <c r="G50" s="24" t="n">
        <v>3431</v>
      </c>
      <c r="H50" s="24">
        <f>G50-F50</f>
        <v/>
      </c>
      <c r="I50" s="8">
        <f>IF(F50=0,0,G50/F50-1)</f>
        <v/>
      </c>
    </row>
    <row r="51">
      <c r="A51" s="6" t="inlineStr">
        <is>
          <t>1000.1100.1000.52330.020</t>
        </is>
      </c>
      <c r="B51" s="6" t="inlineStr">
        <is>
          <t>Retirement</t>
        </is>
      </c>
      <c r="C51" s="24" t="n">
        <v>287</v>
      </c>
      <c r="D51" s="24" t="n">
        <v>61</v>
      </c>
      <c r="E51" s="24" t="n">
        <v>0</v>
      </c>
      <c r="F51" s="24" t="n">
        <v>1248</v>
      </c>
      <c r="G51" s="24" t="n">
        <v>0</v>
      </c>
      <c r="H51" s="24">
        <f>G51-F51</f>
        <v/>
      </c>
      <c r="I51" s="8">
        <f>IF(F51=0,0,G51/F51-1)</f>
        <v/>
      </c>
    </row>
    <row r="52">
      <c r="A52" s="6" t="inlineStr">
        <is>
          <t>1000.1100.1000.53400.020</t>
        </is>
      </c>
      <c r="B52" s="6" t="inlineStr">
        <is>
          <t>Professional Servics</t>
        </is>
      </c>
      <c r="C52" s="24" t="n">
        <v>4331</v>
      </c>
      <c r="D52" s="24" t="n">
        <v>2463</v>
      </c>
      <c r="E52" s="24" t="n">
        <v>1024</v>
      </c>
      <c r="F52" s="24" t="n">
        <v>7630</v>
      </c>
      <c r="G52" s="24" t="n">
        <v>7960</v>
      </c>
      <c r="H52" s="24">
        <f>G52-F52</f>
        <v/>
      </c>
      <c r="I52" s="8">
        <f>IF(F52=0,0,G52/F52-1)</f>
        <v/>
      </c>
    </row>
    <row r="53">
      <c r="A53" s="6" t="inlineStr">
        <is>
          <t>1000.1100.1000.54300.020</t>
        </is>
      </c>
      <c r="B53" s="6" t="inlineStr">
        <is>
          <t>Copiers-Equipment Maint</t>
        </is>
      </c>
      <c r="C53" s="24" t="n">
        <v>10219</v>
      </c>
      <c r="D53" s="24" t="n">
        <v>8908</v>
      </c>
      <c r="E53" s="24" t="n">
        <v>10721</v>
      </c>
      <c r="F53" s="24" t="n">
        <v>11027</v>
      </c>
      <c r="G53" s="24" t="n">
        <v>11150</v>
      </c>
      <c r="H53" s="24">
        <f>G53-F53</f>
        <v/>
      </c>
      <c r="I53" s="8">
        <f>IF(F53=0,0,G53/F53-1)</f>
        <v/>
      </c>
    </row>
    <row r="54">
      <c r="A54" s="6" t="inlineStr">
        <is>
          <t>1000.1100.1000.54330.020</t>
        </is>
      </c>
      <c r="B54" s="6" t="inlineStr">
        <is>
          <t>Software</t>
        </is>
      </c>
      <c r="C54" s="24" t="n">
        <v>0</v>
      </c>
      <c r="D54" s="24" t="n">
        <v>0</v>
      </c>
      <c r="E54" s="24" t="n">
        <v>0</v>
      </c>
      <c r="F54" s="24" t="n">
        <v>6275</v>
      </c>
      <c r="G54" s="24" t="n">
        <v>5520</v>
      </c>
      <c r="H54" s="24">
        <f>G54-F54</f>
        <v/>
      </c>
      <c r="I54" s="8">
        <f>IF(F54=0,0,G54/F54-1)</f>
        <v/>
      </c>
    </row>
    <row r="55">
      <c r="A55" s="6" t="inlineStr">
        <is>
          <t>1000.1100.1000.55800.020</t>
        </is>
      </c>
      <c r="B55" s="6" t="inlineStr">
        <is>
          <t>Travel</t>
        </is>
      </c>
      <c r="C55" s="24" t="n">
        <v>434</v>
      </c>
      <c r="D55" s="24" t="n">
        <v>402</v>
      </c>
      <c r="E55" s="24" t="n">
        <v>46</v>
      </c>
      <c r="F55" s="24" t="n">
        <v>540</v>
      </c>
      <c r="G55" s="24" t="n">
        <v>540</v>
      </c>
      <c r="H55" s="24">
        <f>G55-F55</f>
        <v/>
      </c>
      <c r="I55" s="8">
        <f>IF(F55=0,0,G55/F55-1)</f>
        <v/>
      </c>
    </row>
    <row r="56">
      <c r="A56" s="6" t="inlineStr">
        <is>
          <t>1000.1100.1000.56100.020</t>
        </is>
      </c>
      <c r="B56" s="6" t="inlineStr">
        <is>
          <t>Instructional Supplies</t>
        </is>
      </c>
      <c r="C56" s="24" t="n">
        <v>37922</v>
      </c>
      <c r="D56" s="24" t="n">
        <v>32220</v>
      </c>
      <c r="E56" s="24" t="n">
        <v>48395</v>
      </c>
      <c r="F56" s="24" t="n">
        <v>47731</v>
      </c>
      <c r="G56" s="24" t="n">
        <v>47087</v>
      </c>
      <c r="H56" s="24">
        <f>G56-F56</f>
        <v/>
      </c>
      <c r="I56" s="8">
        <f>IF(F56=0,0,G56/F56-1)</f>
        <v/>
      </c>
    </row>
    <row r="57">
      <c r="A57" s="6" t="inlineStr">
        <is>
          <t>1000.1100.1000.56400.020</t>
        </is>
      </c>
      <c r="B57" s="6" t="inlineStr">
        <is>
          <t>BOOKS</t>
        </is>
      </c>
      <c r="C57" s="24" t="n">
        <v>6777</v>
      </c>
      <c r="D57" s="24" t="n">
        <v>5938</v>
      </c>
      <c r="E57" s="24" t="n">
        <v>8096</v>
      </c>
      <c r="F57" s="24" t="n">
        <v>16307</v>
      </c>
      <c r="G57" s="24" t="n">
        <v>6775</v>
      </c>
      <c r="H57" s="24">
        <f>G57-F57</f>
        <v/>
      </c>
      <c r="I57" s="8">
        <f>IF(F57=0,0,G57/F57-1)</f>
        <v/>
      </c>
    </row>
    <row r="58">
      <c r="A58" s="6" t="inlineStr">
        <is>
          <t>1000.1100.1000.57300.020</t>
        </is>
      </c>
      <c r="B58" s="6" t="inlineStr">
        <is>
          <t>Equipment</t>
        </is>
      </c>
      <c r="C58" s="24" t="n">
        <v>11239</v>
      </c>
      <c r="D58" s="24" t="n">
        <v>10940</v>
      </c>
      <c r="E58" s="24" t="n">
        <v>18664</v>
      </c>
      <c r="F58" s="24" t="n">
        <v>9730</v>
      </c>
      <c r="G58" s="24" t="n">
        <v>4865</v>
      </c>
      <c r="H58" s="24">
        <f>G58-F58</f>
        <v/>
      </c>
      <c r="I58" s="8">
        <f>IF(F58=0,0,G58/F58-1)</f>
        <v/>
      </c>
    </row>
    <row r="59">
      <c r="A59" s="14" t="n"/>
      <c r="B59" s="28" t="inlineStr">
        <is>
          <t>Program 1100 Total</t>
        </is>
      </c>
      <c r="C59" s="29">
        <f>SUM(C40:C58)</f>
        <v/>
      </c>
      <c r="D59" s="29">
        <f>SUM(D40:D58)</f>
        <v/>
      </c>
      <c r="E59" s="29">
        <f>SUM(E40:E58)</f>
        <v/>
      </c>
      <c r="F59" s="29">
        <f>SUM(F40:F58)</f>
        <v/>
      </c>
      <c r="G59" s="29">
        <f>SUM(G40:G58)</f>
        <v/>
      </c>
      <c r="H59" s="29">
        <f>SUM(H40:H58)</f>
        <v/>
      </c>
      <c r="I59" s="29">
        <f>SUM(I40:I58)</f>
        <v/>
      </c>
    </row>
    <row r="60">
      <c r="A60" s="6" t="inlineStr">
        <is>
          <t>1000.1120.1000.51010.020</t>
        </is>
      </c>
      <c r="B60" s="6" t="inlineStr">
        <is>
          <t>Salaries</t>
        </is>
      </c>
      <c r="C60" s="24" t="n">
        <v>270862</v>
      </c>
      <c r="D60" s="24" t="n">
        <v>222916</v>
      </c>
      <c r="E60" s="24" t="n">
        <v>540256</v>
      </c>
      <c r="F60" s="24" t="n">
        <v>459833</v>
      </c>
      <c r="G60" s="24" t="n">
        <v>531179</v>
      </c>
      <c r="H60" s="24">
        <f>G60-F60</f>
        <v/>
      </c>
      <c r="I60" s="8">
        <f>IF(F60=0,0,G60/F60-1)</f>
        <v/>
      </c>
    </row>
    <row r="61">
      <c r="A61" s="6" t="inlineStr">
        <is>
          <t>1000.1120.1000.51020.020</t>
        </is>
      </c>
      <c r="B61" s="6" t="inlineStr">
        <is>
          <t>Ed Tech Salaries</t>
        </is>
      </c>
      <c r="C61" s="24" t="n">
        <v>25519</v>
      </c>
      <c r="D61" s="24" t="n">
        <v>27168</v>
      </c>
      <c r="E61" s="24" t="n">
        <v>36968</v>
      </c>
      <c r="F61" s="24" t="n">
        <v>100491</v>
      </c>
      <c r="G61" s="24" t="n">
        <v>89426</v>
      </c>
      <c r="H61" s="24">
        <f>G61-F61</f>
        <v/>
      </c>
      <c r="I61" s="8">
        <f>IF(F61=0,0,G61/F61-1)</f>
        <v/>
      </c>
    </row>
    <row r="62">
      <c r="A62" s="6" t="inlineStr">
        <is>
          <t>1000.1120.1000.52010.020</t>
        </is>
      </c>
      <c r="B62" s="6" t="inlineStr">
        <is>
          <t>Benefits</t>
        </is>
      </c>
      <c r="C62" s="24" t="n">
        <v>49236</v>
      </c>
      <c r="D62" s="24" t="n">
        <v>41325</v>
      </c>
      <c r="E62" s="24" t="n">
        <v>16758</v>
      </c>
      <c r="F62" s="24" t="n">
        <v>65514</v>
      </c>
      <c r="G62" s="24" t="n">
        <v>92086</v>
      </c>
      <c r="H62" s="24">
        <f>G62-F62</f>
        <v/>
      </c>
      <c r="I62" s="8">
        <f>IF(F62=0,0,G62/F62-1)</f>
        <v/>
      </c>
    </row>
    <row r="63">
      <c r="A63" s="6" t="inlineStr">
        <is>
          <t>1000.1120.1000.52020.020</t>
        </is>
      </c>
      <c r="B63" s="6" t="inlineStr">
        <is>
          <t>Ed Tech Benefit</t>
        </is>
      </c>
      <c r="C63" s="24" t="n">
        <v>11181</v>
      </c>
      <c r="D63" s="24" t="n">
        <v>12096</v>
      </c>
      <c r="E63" s="24" t="n">
        <v>1839</v>
      </c>
      <c r="F63" s="24" t="n">
        <v>4822</v>
      </c>
      <c r="G63" s="24" t="n">
        <v>45187</v>
      </c>
      <c r="H63" s="24">
        <f>G63-F63</f>
        <v/>
      </c>
      <c r="I63" s="8">
        <f>IF(F63=0,0,G63/F63-1)</f>
        <v/>
      </c>
    </row>
    <row r="64">
      <c r="A64" s="6" t="inlineStr">
        <is>
          <t>1000.1120.1000.52310.020</t>
        </is>
      </c>
      <c r="B64" s="6" t="inlineStr">
        <is>
          <t>Retirement</t>
        </is>
      </c>
      <c r="C64" s="24" t="n">
        <v>10298</v>
      </c>
      <c r="D64" s="24" t="n">
        <v>9460</v>
      </c>
      <c r="E64" s="24" t="n">
        <v>4268</v>
      </c>
      <c r="F64" s="24" t="n">
        <v>19129</v>
      </c>
      <c r="G64" s="24" t="n">
        <v>19392</v>
      </c>
      <c r="H64" s="24">
        <f>G64-F64</f>
        <v/>
      </c>
      <c r="I64" s="8">
        <f>IF(F64=0,0,G64/F64-1)</f>
        <v/>
      </c>
    </row>
    <row r="65">
      <c r="A65" s="6" t="inlineStr">
        <is>
          <t>1000.1120.1000.52320.020</t>
        </is>
      </c>
      <c r="B65" s="6" t="inlineStr">
        <is>
          <t>Retirement</t>
        </is>
      </c>
      <c r="C65" s="24" t="n">
        <v>0</v>
      </c>
      <c r="D65" s="24" t="n">
        <v>0</v>
      </c>
      <c r="E65" s="24" t="n">
        <v>0</v>
      </c>
      <c r="F65" s="24" t="n">
        <v>2303</v>
      </c>
      <c r="G65" s="24" t="n">
        <v>3720</v>
      </c>
      <c r="H65" s="24">
        <f>G65-F65</f>
        <v/>
      </c>
      <c r="I65" s="8">
        <f>IF(F65=0,0,G65/F65-1)</f>
        <v/>
      </c>
    </row>
    <row r="66">
      <c r="A66" s="14" t="n"/>
      <c r="B66" s="28" t="inlineStr">
        <is>
          <t>Program 1120 Total</t>
        </is>
      </c>
      <c r="C66" s="29">
        <f>SUM(C60:C65)</f>
        <v/>
      </c>
      <c r="D66" s="29">
        <f>SUM(D60:D65)</f>
        <v/>
      </c>
      <c r="E66" s="29">
        <f>SUM(E60:E65)</f>
        <v/>
      </c>
      <c r="F66" s="29">
        <f>SUM(F60:F65)</f>
        <v/>
      </c>
      <c r="G66" s="29">
        <f>SUM(G60:G65)</f>
        <v/>
      </c>
      <c r="H66" s="29">
        <f>SUM(H60:H65)</f>
        <v/>
      </c>
      <c r="I66" s="29">
        <f>SUM(I60:I65)</f>
        <v/>
      </c>
    </row>
    <row r="67">
      <c r="A67" s="14" t="n"/>
      <c r="B67" s="30" t="inlineStr">
        <is>
          <t>Function 1000 Total</t>
        </is>
      </c>
      <c r="C67" s="31">
        <f>C59+C66</f>
        <v/>
      </c>
      <c r="D67" s="31">
        <f>D59+D66</f>
        <v/>
      </c>
      <c r="E67" s="31">
        <f>E59+E66</f>
        <v/>
      </c>
      <c r="F67" s="31">
        <f>F59+F66</f>
        <v/>
      </c>
      <c r="G67" s="31">
        <f>G59+G66</f>
        <v/>
      </c>
      <c r="H67" s="31">
        <f>H59+H66</f>
        <v/>
      </c>
      <c r="I67" s="31">
        <f>I59+I66</f>
        <v/>
      </c>
    </row>
    <row r="68">
      <c r="A68" s="14" t="n"/>
      <c r="B68" s="17" t="inlineStr">
        <is>
          <t>Cost Center ('020',) Total</t>
        </is>
      </c>
      <c r="C68" s="32">
        <f>C67</f>
        <v/>
      </c>
      <c r="D68" s="32">
        <f>D67</f>
        <v/>
      </c>
      <c r="E68" s="32">
        <f>E67</f>
        <v/>
      </c>
      <c r="F68" s="32">
        <f>F67</f>
        <v/>
      </c>
      <c r="G68" s="32">
        <f>G67</f>
        <v/>
      </c>
      <c r="H68" s="32">
        <f>H67</f>
        <v/>
      </c>
      <c r="I68" s="32">
        <f>I67</f>
        <v/>
      </c>
    </row>
    <row r="70">
      <c r="A70" s="3" t="inlineStr">
        <is>
          <t>Cost Center: ('030',)</t>
        </is>
      </c>
    </row>
    <row r="71">
      <c r="A71" s="6" t="inlineStr">
        <is>
          <t>1000.1100.1000.51010.030</t>
        </is>
      </c>
      <c r="B71" s="6" t="inlineStr">
        <is>
          <t>Teacher Salaries</t>
        </is>
      </c>
      <c r="C71" s="24" t="n">
        <v>417118</v>
      </c>
      <c r="D71" s="24" t="n">
        <v>387444</v>
      </c>
      <c r="E71" s="24" t="n">
        <v>560957</v>
      </c>
      <c r="F71" s="24" t="n">
        <v>537454</v>
      </c>
      <c r="G71" s="24" t="n">
        <v>556315</v>
      </c>
      <c r="H71" s="24">
        <f>G71-F71</f>
        <v/>
      </c>
      <c r="I71" s="8">
        <f>IF(F71=0,0,G71/F71-1)</f>
        <v/>
      </c>
    </row>
    <row r="72">
      <c r="A72" s="6" t="inlineStr">
        <is>
          <t>1000.1100.1000.51020.030</t>
        </is>
      </c>
      <c r="B72" s="6" t="inlineStr">
        <is>
          <t>Ed Tech Salaries</t>
        </is>
      </c>
      <c r="C72" s="24" t="n">
        <v>15393</v>
      </c>
      <c r="D72" s="24" t="n">
        <v>15580</v>
      </c>
      <c r="E72" s="24" t="n">
        <v>31525</v>
      </c>
      <c r="F72" s="24" t="n">
        <v>40948</v>
      </c>
      <c r="G72" s="24" t="n">
        <v>54294</v>
      </c>
      <c r="H72" s="24">
        <f>G72-F72</f>
        <v/>
      </c>
      <c r="I72" s="8">
        <f>IF(F72=0,0,G72/F72-1)</f>
        <v/>
      </c>
    </row>
    <row r="73">
      <c r="A73" s="6" t="inlineStr">
        <is>
          <t>1000.1100.1000.51230.030</t>
        </is>
      </c>
      <c r="B73" s="6" t="inlineStr">
        <is>
          <t>Sub Salaries</t>
        </is>
      </c>
      <c r="C73" s="24" t="n">
        <v>53265</v>
      </c>
      <c r="D73" s="24" t="n">
        <v>4259</v>
      </c>
      <c r="E73" s="24" t="n">
        <v>34679</v>
      </c>
      <c r="F73" s="24" t="n">
        <v>20000</v>
      </c>
      <c r="G73" s="24" t="n">
        <v>30000</v>
      </c>
      <c r="H73" s="24">
        <f>G73-F73</f>
        <v/>
      </c>
      <c r="I73" s="8">
        <f>IF(F73=0,0,G73/F73-1)</f>
        <v/>
      </c>
    </row>
    <row r="74">
      <c r="A74" s="6" t="inlineStr">
        <is>
          <t>1000.1100.1000.51500.030</t>
        </is>
      </c>
      <c r="B74" s="6" t="inlineStr">
        <is>
          <t>Stipends</t>
        </is>
      </c>
      <c r="C74" s="24" t="n">
        <v>0</v>
      </c>
      <c r="D74" s="24" t="n">
        <v>0</v>
      </c>
      <c r="E74" s="24" t="n">
        <v>0</v>
      </c>
      <c r="F74" s="24" t="n">
        <v>4572</v>
      </c>
      <c r="G74" s="24" t="n">
        <v>4710</v>
      </c>
      <c r="H74" s="24">
        <f>G74-F74</f>
        <v/>
      </c>
      <c r="I74" s="8">
        <f>IF(F74=0,0,G74/F74-1)</f>
        <v/>
      </c>
    </row>
    <row r="75">
      <c r="A75" s="6" t="inlineStr">
        <is>
          <t>1000.1100.1000.52000.030</t>
        </is>
      </c>
      <c r="B75" s="6" t="inlineStr">
        <is>
          <t>Stipend Benefits</t>
        </is>
      </c>
      <c r="C75" s="24" t="n">
        <v>0</v>
      </c>
      <c r="D75" s="24" t="n">
        <v>0</v>
      </c>
      <c r="E75" s="24" t="n">
        <v>0</v>
      </c>
      <c r="F75" s="24" t="n">
        <v>89</v>
      </c>
      <c r="G75" s="24" t="n">
        <v>89</v>
      </c>
      <c r="H75" s="24">
        <f>G75-F75</f>
        <v/>
      </c>
      <c r="I75" s="8">
        <f>IF(F75=0,0,G75/F75-1)</f>
        <v/>
      </c>
    </row>
    <row r="76">
      <c r="A76" s="6" t="inlineStr">
        <is>
          <t>1000.1100.1000.52010.030</t>
        </is>
      </c>
      <c r="B76" s="6" t="inlineStr">
        <is>
          <t>Teacher Benefits</t>
        </is>
      </c>
      <c r="C76" s="24" t="n">
        <v>104056</v>
      </c>
      <c r="D76" s="24" t="n">
        <v>110244</v>
      </c>
      <c r="E76" s="24" t="n">
        <v>33104</v>
      </c>
      <c r="F76" s="24" t="n">
        <v>165278</v>
      </c>
      <c r="G76" s="24" t="n">
        <v>156866</v>
      </c>
      <c r="H76" s="24">
        <f>G76-F76</f>
        <v/>
      </c>
      <c r="I76" s="8">
        <f>IF(F76=0,0,G76/F76-1)</f>
        <v/>
      </c>
    </row>
    <row r="77">
      <c r="A77" s="6" t="inlineStr">
        <is>
          <t>1000.1100.1000.52020.030</t>
        </is>
      </c>
      <c r="B77" s="6" t="inlineStr">
        <is>
          <t>Ed Tech Benefits</t>
        </is>
      </c>
      <c r="C77" s="24" t="n">
        <v>8742</v>
      </c>
      <c r="D77" s="24" t="n">
        <v>6644</v>
      </c>
      <c r="E77" s="24" t="n">
        <v>6008</v>
      </c>
      <c r="F77" s="24" t="n">
        <v>5062</v>
      </c>
      <c r="G77" s="24" t="n">
        <v>13349</v>
      </c>
      <c r="H77" s="24">
        <f>G77-F77</f>
        <v/>
      </c>
      <c r="I77" s="8">
        <f>IF(F77=0,0,G77/F77-1)</f>
        <v/>
      </c>
    </row>
    <row r="78">
      <c r="A78" s="6" t="inlineStr">
        <is>
          <t>1000.1100.1000.52030.030</t>
        </is>
      </c>
      <c r="B78" s="6" t="inlineStr">
        <is>
          <t>Sub Benefits</t>
        </is>
      </c>
      <c r="C78" s="24" t="n">
        <v>9847</v>
      </c>
      <c r="D78" s="24" t="n">
        <v>177</v>
      </c>
      <c r="E78" s="24" t="n">
        <v>5</v>
      </c>
      <c r="F78" s="24" t="n">
        <v>314</v>
      </c>
      <c r="G78" s="24" t="n">
        <v>585</v>
      </c>
      <c r="H78" s="24">
        <f>G78-F78</f>
        <v/>
      </c>
      <c r="I78" s="8">
        <f>IF(F78=0,0,G78/F78-1)</f>
        <v/>
      </c>
    </row>
    <row r="79">
      <c r="A79" s="6" t="inlineStr">
        <is>
          <t>1000.1100.1000.52300.030</t>
        </is>
      </c>
      <c r="B79" s="6" t="inlineStr">
        <is>
          <t>Retirement</t>
        </is>
      </c>
      <c r="C79" s="24" t="n">
        <v>0</v>
      </c>
      <c r="D79" s="24" t="n">
        <v>0</v>
      </c>
      <c r="E79" s="24" t="n">
        <v>0</v>
      </c>
      <c r="F79" s="24" t="n">
        <v>190</v>
      </c>
      <c r="G79" s="24" t="n">
        <v>190</v>
      </c>
      <c r="H79" s="24">
        <f>G79-F79</f>
        <v/>
      </c>
      <c r="I79" s="8">
        <f>IF(F79=0,0,G79/F79-1)</f>
        <v/>
      </c>
    </row>
    <row r="80">
      <c r="A80" s="6" t="inlineStr">
        <is>
          <t>1000.1100.1000.52310.030</t>
        </is>
      </c>
      <c r="B80" s="6" t="inlineStr">
        <is>
          <t>Retirement</t>
        </is>
      </c>
      <c r="C80" s="24" t="n">
        <v>15113</v>
      </c>
      <c r="D80" s="24" t="n">
        <v>15342</v>
      </c>
      <c r="E80" s="24" t="n">
        <v>3864</v>
      </c>
      <c r="F80" s="24" t="n">
        <v>20234</v>
      </c>
      <c r="G80" s="24" t="n">
        <v>23524</v>
      </c>
      <c r="H80" s="24">
        <f>G80-F80</f>
        <v/>
      </c>
      <c r="I80" s="8">
        <f>IF(F80=0,0,G80/F80-1)</f>
        <v/>
      </c>
    </row>
    <row r="81">
      <c r="A81" s="6" t="inlineStr">
        <is>
          <t>1000.1100.1000.52320.030</t>
        </is>
      </c>
      <c r="B81" s="6" t="inlineStr">
        <is>
          <t>Retirement</t>
        </is>
      </c>
      <c r="C81" s="24" t="n">
        <v>619</v>
      </c>
      <c r="D81" s="24" t="n">
        <v>670</v>
      </c>
      <c r="E81" s="24" t="n">
        <v>89</v>
      </c>
      <c r="F81" s="24" t="n">
        <v>1703</v>
      </c>
      <c r="G81" s="24" t="n">
        <v>2258</v>
      </c>
      <c r="H81" s="24">
        <f>G81-F81</f>
        <v/>
      </c>
      <c r="I81" s="8">
        <f>IF(F81=0,0,G81/F81-1)</f>
        <v/>
      </c>
    </row>
    <row r="82">
      <c r="A82" s="6" t="inlineStr">
        <is>
          <t>1000.1100.1000.52330.030</t>
        </is>
      </c>
      <c r="B82" s="6" t="inlineStr">
        <is>
          <t>Retirement</t>
        </is>
      </c>
      <c r="C82" s="24" t="n">
        <v>1433</v>
      </c>
      <c r="D82" s="24" t="n">
        <v>141</v>
      </c>
      <c r="E82" s="24" t="n">
        <v>10</v>
      </c>
      <c r="F82" s="24" t="n">
        <v>832</v>
      </c>
      <c r="G82" s="24" t="n">
        <v>1248</v>
      </c>
      <c r="H82" s="24">
        <f>G82-F82</f>
        <v/>
      </c>
      <c r="I82" s="8">
        <f>IF(F82=0,0,G82/F82-1)</f>
        <v/>
      </c>
    </row>
    <row r="83">
      <c r="A83" s="6" t="inlineStr">
        <is>
          <t>1000.1100.1000.53400.030</t>
        </is>
      </c>
      <c r="B83" s="6" t="inlineStr">
        <is>
          <t>Professional Services</t>
        </is>
      </c>
      <c r="C83" s="24" t="n">
        <v>2937</v>
      </c>
      <c r="D83" s="24" t="n">
        <v>6772</v>
      </c>
      <c r="E83" s="24" t="n">
        <v>3186</v>
      </c>
      <c r="F83" s="24" t="n">
        <v>8750</v>
      </c>
      <c r="G83" s="24" t="n">
        <v>8785</v>
      </c>
      <c r="H83" s="24">
        <f>G83-F83</f>
        <v/>
      </c>
      <c r="I83" s="8">
        <f>IF(F83=0,0,G83/F83-1)</f>
        <v/>
      </c>
    </row>
    <row r="84">
      <c r="A84" s="6" t="inlineStr">
        <is>
          <t>1000.1100.1000.54300.030</t>
        </is>
      </c>
      <c r="B84" s="6" t="inlineStr">
        <is>
          <t>Copiers Repairs/Maint</t>
        </is>
      </c>
      <c r="C84" s="24" t="n">
        <v>3703</v>
      </c>
      <c r="D84" s="24" t="n">
        <v>1980</v>
      </c>
      <c r="E84" s="24" t="n">
        <v>2617</v>
      </c>
      <c r="F84" s="24" t="n">
        <v>8168</v>
      </c>
      <c r="G84" s="24" t="n">
        <v>8168</v>
      </c>
      <c r="H84" s="24">
        <f>G84-F84</f>
        <v/>
      </c>
      <c r="I84" s="8">
        <f>IF(F84=0,0,G84/F84-1)</f>
        <v/>
      </c>
    </row>
    <row r="85">
      <c r="A85" s="6" t="inlineStr">
        <is>
          <t>1000.1100.1000.54330.030</t>
        </is>
      </c>
      <c r="B85" s="6" t="inlineStr">
        <is>
          <t>Software</t>
        </is>
      </c>
      <c r="C85" s="24" t="n">
        <v>0</v>
      </c>
      <c r="D85" s="24" t="n">
        <v>0</v>
      </c>
      <c r="E85" s="24" t="n">
        <v>96</v>
      </c>
      <c r="F85" s="24" t="n">
        <v>5853</v>
      </c>
      <c r="G85" s="24" t="n">
        <v>5853</v>
      </c>
      <c r="H85" s="24">
        <f>G85-F85</f>
        <v/>
      </c>
      <c r="I85" s="8">
        <f>IF(F85=0,0,G85/F85-1)</f>
        <v/>
      </c>
    </row>
    <row r="86">
      <c r="A86" s="6" t="inlineStr">
        <is>
          <t>1000.1100.1000.55800.030</t>
        </is>
      </c>
      <c r="B86" s="6" t="inlineStr">
        <is>
          <t>Travel</t>
        </is>
      </c>
      <c r="C86" s="24" t="n">
        <v>1245</v>
      </c>
      <c r="D86" s="24" t="n">
        <v>1109</v>
      </c>
      <c r="E86" s="24" t="n">
        <v>701</v>
      </c>
      <c r="F86" s="24" t="n">
        <v>1100</v>
      </c>
      <c r="G86" s="24" t="n">
        <v>1100</v>
      </c>
      <c r="H86" s="24">
        <f>G86-F86</f>
        <v/>
      </c>
      <c r="I86" s="8">
        <f>IF(F86=0,0,G86/F86-1)</f>
        <v/>
      </c>
    </row>
    <row r="87">
      <c r="A87" s="6" t="inlineStr">
        <is>
          <t>1000.1100.1000.56100.030</t>
        </is>
      </c>
      <c r="B87" s="6" t="inlineStr">
        <is>
          <t>Instructional Supplies</t>
        </is>
      </c>
      <c r="C87" s="24" t="n">
        <v>17972</v>
      </c>
      <c r="D87" s="24" t="n">
        <v>18667</v>
      </c>
      <c r="E87" s="24" t="n">
        <v>16799</v>
      </c>
      <c r="F87" s="24" t="n">
        <v>18167</v>
      </c>
      <c r="G87" s="24" t="n">
        <v>18357</v>
      </c>
      <c r="H87" s="24">
        <f>G87-F87</f>
        <v/>
      </c>
      <c r="I87" s="8">
        <f>IF(F87=0,0,G87/F87-1)</f>
        <v/>
      </c>
    </row>
    <row r="88">
      <c r="A88" s="6" t="inlineStr">
        <is>
          <t>1000.1100.1000.56110.030</t>
        </is>
      </c>
      <c r="B88" s="6" t="inlineStr">
        <is>
          <t>Equipment &amp; Furniture, Instructional</t>
        </is>
      </c>
      <c r="C88" s="24" t="n">
        <v>0</v>
      </c>
      <c r="D88" s="24" t="n">
        <v>0</v>
      </c>
      <c r="E88" s="24" t="n">
        <v>0</v>
      </c>
      <c r="F88" s="24" t="n">
        <v>0</v>
      </c>
      <c r="G88" s="24" t="n">
        <v>1300</v>
      </c>
      <c r="H88" s="24">
        <f>G88-F88</f>
        <v/>
      </c>
      <c r="I88" s="8">
        <f>IF(F88=0,0,G88/F88-1)</f>
        <v/>
      </c>
    </row>
    <row r="89">
      <c r="A89" s="6" t="inlineStr">
        <is>
          <t>1000.1100.1000.56400.030</t>
        </is>
      </c>
      <c r="B89" s="6" t="inlineStr">
        <is>
          <t>Books</t>
        </is>
      </c>
      <c r="C89" s="24" t="n">
        <v>3378</v>
      </c>
      <c r="D89" s="24" t="n">
        <v>2194</v>
      </c>
      <c r="E89" s="24" t="n">
        <v>3255</v>
      </c>
      <c r="F89" s="24" t="n">
        <v>2371</v>
      </c>
      <c r="G89" s="24" t="n">
        <v>2817</v>
      </c>
      <c r="H89" s="24">
        <f>G89-F89</f>
        <v/>
      </c>
      <c r="I89" s="8">
        <f>IF(F89=0,0,G89/F89-1)</f>
        <v/>
      </c>
    </row>
    <row r="90">
      <c r="A90" s="6" t="inlineStr">
        <is>
          <t>1000.1100.1000.57300.030</t>
        </is>
      </c>
      <c r="B90" s="6" t="inlineStr">
        <is>
          <t>Equipment</t>
        </is>
      </c>
      <c r="C90" s="24" t="n">
        <v>12459</v>
      </c>
      <c r="D90" s="24" t="n">
        <v>4089</v>
      </c>
      <c r="E90" s="24" t="n">
        <v>4819</v>
      </c>
      <c r="F90" s="24" t="n">
        <v>7315</v>
      </c>
      <c r="G90" s="24" t="n">
        <v>0</v>
      </c>
      <c r="H90" s="24">
        <f>G90-F90</f>
        <v/>
      </c>
      <c r="I90" s="8">
        <f>IF(F90=0,0,G90/F90-1)</f>
        <v/>
      </c>
    </row>
    <row r="91">
      <c r="A91" s="6" t="inlineStr">
        <is>
          <t>1000.1100.1000.58100.030</t>
        </is>
      </c>
      <c r="B91" s="6" t="inlineStr">
        <is>
          <t>Dues and Fees</t>
        </is>
      </c>
      <c r="C91" s="24" t="n">
        <v>0</v>
      </c>
      <c r="D91" s="24" t="n">
        <v>0</v>
      </c>
      <c r="E91" s="24" t="n">
        <v>0</v>
      </c>
      <c r="F91" s="24" t="n">
        <v>210</v>
      </c>
      <c r="G91" s="24" t="n">
        <v>210</v>
      </c>
      <c r="H91" s="24">
        <f>G91-F91</f>
        <v/>
      </c>
      <c r="I91" s="8">
        <f>IF(F91=0,0,G91/F91-1)</f>
        <v/>
      </c>
    </row>
    <row r="92">
      <c r="A92" s="6" t="inlineStr">
        <is>
          <t>1000.1100.1000.59000.030</t>
        </is>
      </c>
      <c r="B92" s="6" t="inlineStr">
        <is>
          <t>Experiential Education</t>
        </is>
      </c>
      <c r="C92" s="24" t="n">
        <v>5005</v>
      </c>
      <c r="D92" s="24" t="n">
        <v>0</v>
      </c>
      <c r="E92" s="24" t="n">
        <v>0</v>
      </c>
      <c r="F92" s="24" t="n">
        <v>0</v>
      </c>
      <c r="G92" s="24" t="n">
        <v>0</v>
      </c>
      <c r="H92" s="24">
        <f>G92-F92</f>
        <v/>
      </c>
      <c r="I92" s="8">
        <f>IF(F92=0,0,G92/F92-1)</f>
        <v/>
      </c>
    </row>
    <row r="93">
      <c r="A93" s="14" t="n"/>
      <c r="B93" s="28" t="inlineStr">
        <is>
          <t>Program 1100 Total</t>
        </is>
      </c>
      <c r="C93" s="29">
        <f>SUM(C71:C92)</f>
        <v/>
      </c>
      <c r="D93" s="29">
        <f>SUM(D71:D92)</f>
        <v/>
      </c>
      <c r="E93" s="29">
        <f>SUM(E71:E92)</f>
        <v/>
      </c>
      <c r="F93" s="29">
        <f>SUM(F71:F92)</f>
        <v/>
      </c>
      <c r="G93" s="29">
        <f>SUM(G71:G92)</f>
        <v/>
      </c>
      <c r="H93" s="29">
        <f>SUM(H71:H92)</f>
        <v/>
      </c>
      <c r="I93" s="29">
        <f>SUM(I71:I92)</f>
        <v/>
      </c>
    </row>
    <row r="94">
      <c r="A94" s="6" t="inlineStr">
        <is>
          <t>1000.1120.1000.51010.030</t>
        </is>
      </c>
      <c r="B94" s="6" t="inlineStr">
        <is>
          <t>Teacher Salaries</t>
        </is>
      </c>
      <c r="C94" s="24" t="n">
        <v>52571</v>
      </c>
      <c r="D94" s="24" t="n">
        <v>55452</v>
      </c>
      <c r="E94" s="24" t="n">
        <v>64475</v>
      </c>
      <c r="F94" s="24" t="n">
        <v>60682</v>
      </c>
      <c r="G94" s="24" t="n">
        <v>116823</v>
      </c>
      <c r="H94" s="24">
        <f>G94-F94</f>
        <v/>
      </c>
      <c r="I94" s="8">
        <f>IF(F94=0,0,G94/F94-1)</f>
        <v/>
      </c>
    </row>
    <row r="95">
      <c r="A95" s="6" t="inlineStr">
        <is>
          <t>1000.1120.1000.51020.030</t>
        </is>
      </c>
      <c r="B95" s="6" t="inlineStr">
        <is>
          <t>Ed Tech Salaries</t>
        </is>
      </c>
      <c r="C95" s="24" t="n">
        <v>0</v>
      </c>
      <c r="D95" s="24" t="n">
        <v>0</v>
      </c>
      <c r="E95" s="24" t="n">
        <v>0</v>
      </c>
      <c r="F95" s="24" t="n">
        <v>14244</v>
      </c>
      <c r="G95" s="24" t="n">
        <v>23836</v>
      </c>
      <c r="H95" s="24">
        <f>G95-F95</f>
        <v/>
      </c>
      <c r="I95" s="8">
        <f>IF(F95=0,0,G95/F95-1)</f>
        <v/>
      </c>
    </row>
    <row r="96">
      <c r="A96" s="6" t="inlineStr">
        <is>
          <t>1000.1120.1000.52010.030</t>
        </is>
      </c>
      <c r="B96" s="6" t="inlineStr">
        <is>
          <t>Teacher Benefits</t>
        </is>
      </c>
      <c r="C96" s="24" t="n">
        <v>20443</v>
      </c>
      <c r="D96" s="24" t="n">
        <v>20993</v>
      </c>
      <c r="E96" s="24" t="n">
        <v>4862</v>
      </c>
      <c r="F96" s="24" t="n">
        <v>23148</v>
      </c>
      <c r="G96" s="24" t="n">
        <v>24397</v>
      </c>
      <c r="H96" s="24">
        <f>G96-F96</f>
        <v/>
      </c>
      <c r="I96" s="8">
        <f>IF(F96=0,0,G96/F96-1)</f>
        <v/>
      </c>
    </row>
    <row r="97">
      <c r="A97" s="6" t="inlineStr">
        <is>
          <t>1000.1120.1000.52020.030</t>
        </is>
      </c>
      <c r="B97" s="6" t="inlineStr">
        <is>
          <t>Ed Tech Benefits</t>
        </is>
      </c>
      <c r="C97" s="24" t="n">
        <v>0</v>
      </c>
      <c r="D97" s="24" t="n">
        <v>0</v>
      </c>
      <c r="E97" s="24" t="n">
        <v>0</v>
      </c>
      <c r="F97" s="24" t="n">
        <v>286</v>
      </c>
      <c r="G97" s="24" t="n">
        <v>3461</v>
      </c>
      <c r="H97" s="24">
        <f>G97-F97</f>
        <v/>
      </c>
      <c r="I97" s="8">
        <f>IF(F97=0,0,G97/F97-1)</f>
        <v/>
      </c>
    </row>
    <row r="98">
      <c r="A98" s="6" t="inlineStr">
        <is>
          <t>1000.1120.1000.52310.030</t>
        </is>
      </c>
      <c r="B98" s="6" t="inlineStr">
        <is>
          <t>Retirement</t>
        </is>
      </c>
      <c r="C98" s="24" t="n">
        <v>1217</v>
      </c>
      <c r="D98" s="24" t="n">
        <v>2307</v>
      </c>
      <c r="E98" s="24" t="n">
        <v>563</v>
      </c>
      <c r="F98" s="24" t="n">
        <v>2602</v>
      </c>
      <c r="G98" s="24" t="n">
        <v>4208</v>
      </c>
      <c r="H98" s="24">
        <f>G98-F98</f>
        <v/>
      </c>
      <c r="I98" s="8">
        <f>IF(F98=0,0,G98/F98-1)</f>
        <v/>
      </c>
    </row>
    <row r="99">
      <c r="A99" s="6" t="inlineStr">
        <is>
          <t>1000.1120.1000.52320.030</t>
        </is>
      </c>
      <c r="B99" s="6" t="inlineStr">
        <is>
          <t>Retirement</t>
        </is>
      </c>
      <c r="C99" s="24" t="n">
        <v>0</v>
      </c>
      <c r="D99" s="24" t="n">
        <v>0</v>
      </c>
      <c r="E99" s="24" t="n">
        <v>0</v>
      </c>
      <c r="F99" s="24" t="n">
        <v>593</v>
      </c>
      <c r="G99" s="24" t="n">
        <v>526</v>
      </c>
      <c r="H99" s="24">
        <f>G99-F99</f>
        <v/>
      </c>
      <c r="I99" s="8">
        <f>IF(F99=0,0,G99/F99-1)</f>
        <v/>
      </c>
    </row>
    <row r="100">
      <c r="A100" s="14" t="n"/>
      <c r="B100" s="28" t="inlineStr">
        <is>
          <t>Program 1120 Total</t>
        </is>
      </c>
      <c r="C100" s="29">
        <f>SUM(C94:C99)</f>
        <v/>
      </c>
      <c r="D100" s="29">
        <f>SUM(D94:D99)</f>
        <v/>
      </c>
      <c r="E100" s="29">
        <f>SUM(E94:E99)</f>
        <v/>
      </c>
      <c r="F100" s="29">
        <f>SUM(F94:F99)</f>
        <v/>
      </c>
      <c r="G100" s="29">
        <f>SUM(G94:G99)</f>
        <v/>
      </c>
      <c r="H100" s="29">
        <f>SUM(H94:H99)</f>
        <v/>
      </c>
      <c r="I100" s="29">
        <f>SUM(I94:I99)</f>
        <v/>
      </c>
    </row>
    <row r="101">
      <c r="A101" s="14" t="n"/>
      <c r="B101" s="30" t="inlineStr">
        <is>
          <t>Function 1000 Total</t>
        </is>
      </c>
      <c r="C101" s="31">
        <f>C93+C100</f>
        <v/>
      </c>
      <c r="D101" s="31">
        <f>D93+D100</f>
        <v/>
      </c>
      <c r="E101" s="31">
        <f>E93+E100</f>
        <v/>
      </c>
      <c r="F101" s="31">
        <f>F93+F100</f>
        <v/>
      </c>
      <c r="G101" s="31">
        <f>G93+G100</f>
        <v/>
      </c>
      <c r="H101" s="31">
        <f>H93+H100</f>
        <v/>
      </c>
      <c r="I101" s="31">
        <f>I93+I100</f>
        <v/>
      </c>
    </row>
    <row r="102">
      <c r="A102" s="14" t="n"/>
      <c r="B102" s="17" t="inlineStr">
        <is>
          <t>Cost Center ('030',) Total</t>
        </is>
      </c>
      <c r="C102" s="32">
        <f>C101</f>
        <v/>
      </c>
      <c r="D102" s="32">
        <f>D101</f>
        <v/>
      </c>
      <c r="E102" s="32">
        <f>E101</f>
        <v/>
      </c>
      <c r="F102" s="32">
        <f>F101</f>
        <v/>
      </c>
      <c r="G102" s="32">
        <f>G101</f>
        <v/>
      </c>
      <c r="H102" s="32">
        <f>H101</f>
        <v/>
      </c>
      <c r="I102" s="32">
        <f>I101</f>
        <v/>
      </c>
    </row>
    <row r="104">
      <c r="A104" s="3" t="inlineStr">
        <is>
          <t>Cost Center: ('040',)</t>
        </is>
      </c>
    </row>
    <row r="105">
      <c r="A105" s="6" t="inlineStr">
        <is>
          <t>1000.1100.1000.51010.040</t>
        </is>
      </c>
      <c r="B105" s="6" t="inlineStr">
        <is>
          <t>Teacher Salaries</t>
        </is>
      </c>
      <c r="C105" s="24" t="n">
        <v>1182362</v>
      </c>
      <c r="D105" s="24" t="n">
        <v>1151489</v>
      </c>
      <c r="E105" s="24" t="n">
        <v>1253811</v>
      </c>
      <c r="F105" s="24" t="n">
        <v>1262123</v>
      </c>
      <c r="G105" s="24" t="n">
        <v>1309025</v>
      </c>
      <c r="H105" s="24">
        <f>G105-F105</f>
        <v/>
      </c>
      <c r="I105" s="8">
        <f>IF(F105=0,0,G105/F105-1)</f>
        <v/>
      </c>
    </row>
    <row r="106">
      <c r="A106" s="6" t="inlineStr">
        <is>
          <t>1000.1100.1000.51020.040</t>
        </is>
      </c>
      <c r="B106" s="6" t="inlineStr">
        <is>
          <t>Ed Tech Salaries</t>
        </is>
      </c>
      <c r="C106" s="24" t="n">
        <v>0</v>
      </c>
      <c r="D106" s="24" t="n">
        <v>70350</v>
      </c>
      <c r="E106" s="24" t="n">
        <v>16965</v>
      </c>
      <c r="F106" s="24" t="n">
        <v>33530</v>
      </c>
      <c r="G106" s="24" t="n">
        <v>46363</v>
      </c>
      <c r="H106" s="24">
        <f>G106-F106</f>
        <v/>
      </c>
      <c r="I106" s="8">
        <f>IF(F106=0,0,G106/F106-1)</f>
        <v/>
      </c>
    </row>
    <row r="107">
      <c r="A107" s="6" t="inlineStr">
        <is>
          <t>1000.1100.1000.51230.040</t>
        </is>
      </c>
      <c r="B107" s="6" t="inlineStr">
        <is>
          <t>Substitute Wages</t>
        </is>
      </c>
      <c r="C107" s="24" t="n">
        <v>27708</v>
      </c>
      <c r="D107" s="24" t="n">
        <v>22320</v>
      </c>
      <c r="E107" s="24" t="n">
        <v>24138</v>
      </c>
      <c r="F107" s="24" t="n">
        <v>60000</v>
      </c>
      <c r="G107" s="24" t="n">
        <v>30000</v>
      </c>
      <c r="H107" s="24">
        <f>G107-F107</f>
        <v/>
      </c>
      <c r="I107" s="8">
        <f>IF(F107=0,0,G107/F107-1)</f>
        <v/>
      </c>
    </row>
    <row r="108">
      <c r="A108" s="6" t="inlineStr">
        <is>
          <t>1000.1100.1000.51500.040</t>
        </is>
      </c>
      <c r="B108" s="6" t="inlineStr">
        <is>
          <t>Stipends</t>
        </is>
      </c>
      <c r="C108" s="24" t="n">
        <v>0</v>
      </c>
      <c r="D108" s="24" t="n">
        <v>0</v>
      </c>
      <c r="E108" s="24" t="n">
        <v>0</v>
      </c>
      <c r="F108" s="24" t="n">
        <v>0</v>
      </c>
      <c r="G108" s="24" t="n">
        <v>13002</v>
      </c>
      <c r="H108" s="24">
        <f>G108-F108</f>
        <v/>
      </c>
      <c r="I108" s="8">
        <f>IF(F108=0,0,G108/F108-1)</f>
        <v/>
      </c>
    </row>
    <row r="109">
      <c r="A109" s="6" t="inlineStr">
        <is>
          <t>1000.1100.1000.52000.040</t>
        </is>
      </c>
      <c r="B109" s="6" t="inlineStr">
        <is>
          <t>Stipend Benefits</t>
        </is>
      </c>
      <c r="C109" s="24" t="n">
        <v>0</v>
      </c>
      <c r="D109" s="24" t="n">
        <v>0</v>
      </c>
      <c r="E109" s="24" t="n">
        <v>0</v>
      </c>
      <c r="F109" s="24" t="n">
        <v>0</v>
      </c>
      <c r="G109" s="24" t="n">
        <v>253</v>
      </c>
      <c r="H109" s="24">
        <f>G109-F109</f>
        <v/>
      </c>
      <c r="I109" s="8">
        <f>IF(F109=0,0,G109/F109-1)</f>
        <v/>
      </c>
    </row>
    <row r="110">
      <c r="A110" s="6" t="inlineStr">
        <is>
          <t>1000.1100.1000.52010.040</t>
        </is>
      </c>
      <c r="B110" s="6" t="inlineStr">
        <is>
          <t>Teacher Benefits</t>
        </is>
      </c>
      <c r="C110" s="24" t="n">
        <v>302462</v>
      </c>
      <c r="D110" s="24" t="n">
        <v>272389</v>
      </c>
      <c r="E110" s="24" t="n">
        <v>68094</v>
      </c>
      <c r="F110" s="24" t="n">
        <v>309264</v>
      </c>
      <c r="G110" s="24" t="n">
        <v>302714</v>
      </c>
      <c r="H110" s="24">
        <f>G110-F110</f>
        <v/>
      </c>
      <c r="I110" s="8">
        <f>IF(F110=0,0,G110/F110-1)</f>
        <v/>
      </c>
    </row>
    <row r="111">
      <c r="A111" s="6" t="inlineStr">
        <is>
          <t>1000.1100.1000.52020.040</t>
        </is>
      </c>
      <c r="B111" s="6" t="inlineStr">
        <is>
          <t>Ed Tech Benefits</t>
        </is>
      </c>
      <c r="C111" s="24" t="n">
        <v>0</v>
      </c>
      <c r="D111" s="24" t="n">
        <v>18864</v>
      </c>
      <c r="E111" s="24" t="n">
        <v>1487</v>
      </c>
      <c r="F111" s="24" t="n">
        <v>518</v>
      </c>
      <c r="G111" s="24" t="n">
        <v>23185</v>
      </c>
      <c r="H111" s="24">
        <f>G111-F111</f>
        <v/>
      </c>
      <c r="I111" s="8">
        <f>IF(F111=0,0,G111/F111-1)</f>
        <v/>
      </c>
    </row>
    <row r="112">
      <c r="A112" s="6" t="inlineStr">
        <is>
          <t>1000.1100.1000.52030.040</t>
        </is>
      </c>
      <c r="B112" s="6" t="inlineStr">
        <is>
          <t>Substitute Benefits</t>
        </is>
      </c>
      <c r="C112" s="24" t="n">
        <v>1590</v>
      </c>
      <c r="D112" s="24" t="n">
        <v>848</v>
      </c>
      <c r="E112" s="24" t="n">
        <v>230</v>
      </c>
      <c r="F112" s="24" t="n">
        <v>1044</v>
      </c>
      <c r="G112" s="24" t="n">
        <v>585</v>
      </c>
      <c r="H112" s="24">
        <f>G112-F112</f>
        <v/>
      </c>
      <c r="I112" s="8">
        <f>IF(F112=0,0,G112/F112-1)</f>
        <v/>
      </c>
    </row>
    <row r="113">
      <c r="A113" s="6" t="inlineStr">
        <is>
          <t>1000.1100.1000.52300.040</t>
        </is>
      </c>
      <c r="B113" s="6" t="inlineStr">
        <is>
          <t>Retirement - Stipends</t>
        </is>
      </c>
      <c r="C113" s="24" t="n">
        <v>0</v>
      </c>
      <c r="D113" s="24" t="n">
        <v>0</v>
      </c>
      <c r="E113" s="24" t="n">
        <v>0</v>
      </c>
      <c r="F113" s="24" t="n">
        <v>0</v>
      </c>
      <c r="G113" s="24" t="n">
        <v>540</v>
      </c>
      <c r="H113" s="24">
        <f>G113-F113</f>
        <v/>
      </c>
      <c r="I113" s="8">
        <f>IF(F113=0,0,G113/F113-1)</f>
        <v/>
      </c>
    </row>
    <row r="114">
      <c r="A114" s="6" t="inlineStr">
        <is>
          <t>1000.1100.1000.52310.040</t>
        </is>
      </c>
      <c r="B114" s="6" t="inlineStr">
        <is>
          <t>Retirement</t>
        </is>
      </c>
      <c r="C114" s="24" t="n">
        <v>47914</v>
      </c>
      <c r="D114" s="24" t="n">
        <v>45464</v>
      </c>
      <c r="E114" s="24" t="n">
        <v>9772</v>
      </c>
      <c r="F114" s="24" t="n">
        <v>48049</v>
      </c>
      <c r="G114" s="24" t="n">
        <v>54455</v>
      </c>
      <c r="H114" s="24">
        <f>G114-F114</f>
        <v/>
      </c>
      <c r="I114" s="8">
        <f>IF(F114=0,0,G114/F114-1)</f>
        <v/>
      </c>
    </row>
    <row r="115">
      <c r="A115" s="6" t="inlineStr">
        <is>
          <t>1000.1100.1000.52320.040</t>
        </is>
      </c>
      <c r="B115" s="6" t="inlineStr">
        <is>
          <t>Retirement</t>
        </is>
      </c>
      <c r="C115" s="24" t="n">
        <v>0</v>
      </c>
      <c r="D115" s="24" t="n">
        <v>2888</v>
      </c>
      <c r="E115" s="24" t="n">
        <v>5</v>
      </c>
      <c r="F115" s="24" t="n">
        <v>1041</v>
      </c>
      <c r="G115" s="24" t="n">
        <v>1928</v>
      </c>
      <c r="H115" s="24">
        <f>G115-F115</f>
        <v/>
      </c>
      <c r="I115" s="8">
        <f>IF(F115=0,0,G115/F115-1)</f>
        <v/>
      </c>
    </row>
    <row r="116">
      <c r="A116" s="6" t="inlineStr">
        <is>
          <t>1000.1100.1000.52330.040</t>
        </is>
      </c>
      <c r="B116" s="6" t="inlineStr">
        <is>
          <t>Retirement</t>
        </is>
      </c>
      <c r="C116" s="24" t="n">
        <v>456</v>
      </c>
      <c r="D116" s="24" t="n">
        <v>418</v>
      </c>
      <c r="E116" s="24" t="n">
        <v>156</v>
      </c>
      <c r="F116" s="24" t="n">
        <v>2496</v>
      </c>
      <c r="G116" s="24" t="n">
        <v>1248</v>
      </c>
      <c r="H116" s="24">
        <f>G116-F116</f>
        <v/>
      </c>
      <c r="I116" s="8">
        <f>IF(F116=0,0,G116/F116-1)</f>
        <v/>
      </c>
    </row>
    <row r="117">
      <c r="A117" s="6" t="inlineStr">
        <is>
          <t>1000.1100.1000.53400.040</t>
        </is>
      </c>
      <c r="B117" s="6" t="inlineStr">
        <is>
          <t>Purchased Professional</t>
        </is>
      </c>
      <c r="C117" s="24" t="n">
        <v>14257</v>
      </c>
      <c r="D117" s="24" t="n">
        <v>6374</v>
      </c>
      <c r="E117" s="24" t="n">
        <v>6128</v>
      </c>
      <c r="F117" s="24" t="n">
        <v>15914</v>
      </c>
      <c r="G117" s="24" t="n">
        <v>18579</v>
      </c>
      <c r="H117" s="24">
        <f>G117-F117</f>
        <v/>
      </c>
      <c r="I117" s="8">
        <f>IF(F117=0,0,G117/F117-1)</f>
        <v/>
      </c>
    </row>
    <row r="118">
      <c r="A118" s="6" t="inlineStr">
        <is>
          <t>1000.1100.1000.54300.040</t>
        </is>
      </c>
      <c r="B118" s="6" t="inlineStr">
        <is>
          <t>Copiers Repair/Maint</t>
        </is>
      </c>
      <c r="C118" s="24" t="n">
        <v>9513</v>
      </c>
      <c r="D118" s="24" t="n">
        <v>8921</v>
      </c>
      <c r="E118" s="24" t="n">
        <v>5483</v>
      </c>
      <c r="F118" s="24" t="n">
        <v>11742</v>
      </c>
      <c r="G118" s="24" t="n">
        <v>11500</v>
      </c>
      <c r="H118" s="24">
        <f>G118-F118</f>
        <v/>
      </c>
      <c r="I118" s="8">
        <f>IF(F118=0,0,G118/F118-1)</f>
        <v/>
      </c>
    </row>
    <row r="119">
      <c r="A119" s="6" t="inlineStr">
        <is>
          <t>1000.1100.1000.54330.040</t>
        </is>
      </c>
      <c r="B119" s="6" t="inlineStr">
        <is>
          <t>Software</t>
        </is>
      </c>
      <c r="C119" s="24" t="n">
        <v>0</v>
      </c>
      <c r="D119" s="24" t="n">
        <v>0</v>
      </c>
      <c r="E119" s="24" t="n">
        <v>18</v>
      </c>
      <c r="F119" s="24" t="n">
        <v>3890</v>
      </c>
      <c r="G119" s="24" t="n">
        <v>4175</v>
      </c>
      <c r="H119" s="24">
        <f>G119-F119</f>
        <v/>
      </c>
      <c r="I119" s="8">
        <f>IF(F119=0,0,G119/F119-1)</f>
        <v/>
      </c>
    </row>
    <row r="120">
      <c r="A120" s="6" t="inlineStr">
        <is>
          <t>1000.1100.1000.55800.040</t>
        </is>
      </c>
      <c r="B120" s="6" t="inlineStr">
        <is>
          <t>Travel</t>
        </is>
      </c>
      <c r="C120" s="24" t="n">
        <v>1223</v>
      </c>
      <c r="D120" s="24" t="n">
        <v>1731</v>
      </c>
      <c r="E120" s="24" t="n">
        <v>146</v>
      </c>
      <c r="F120" s="24" t="n">
        <v>570</v>
      </c>
      <c r="G120" s="24" t="n">
        <v>590</v>
      </c>
      <c r="H120" s="24">
        <f>G120-F120</f>
        <v/>
      </c>
      <c r="I120" s="8">
        <f>IF(F120=0,0,G120/F120-1)</f>
        <v/>
      </c>
    </row>
    <row r="121">
      <c r="A121" s="6" t="inlineStr">
        <is>
          <t>1000.1100.1000.56100.040</t>
        </is>
      </c>
      <c r="B121" s="6" t="inlineStr">
        <is>
          <t>Instructional Supplies</t>
        </is>
      </c>
      <c r="C121" s="24" t="n">
        <v>35386</v>
      </c>
      <c r="D121" s="24" t="n">
        <v>27100</v>
      </c>
      <c r="E121" s="24" t="n">
        <v>20330</v>
      </c>
      <c r="F121" s="24" t="n">
        <v>35066</v>
      </c>
      <c r="G121" s="24" t="n">
        <v>37206</v>
      </c>
      <c r="H121" s="24">
        <f>G121-F121</f>
        <v/>
      </c>
      <c r="I121" s="8">
        <f>IF(F121=0,0,G121/F121-1)</f>
        <v/>
      </c>
    </row>
    <row r="122">
      <c r="A122" s="6" t="inlineStr">
        <is>
          <t>1000.1100.1000.56400.040</t>
        </is>
      </c>
      <c r="B122" s="6" t="inlineStr">
        <is>
          <t>Books</t>
        </is>
      </c>
      <c r="C122" s="24" t="n">
        <v>9482</v>
      </c>
      <c r="D122" s="24" t="n">
        <v>9629</v>
      </c>
      <c r="E122" s="24" t="n">
        <v>8309</v>
      </c>
      <c r="F122" s="24" t="n">
        <v>6097</v>
      </c>
      <c r="G122" s="24" t="n">
        <v>6597</v>
      </c>
      <c r="H122" s="24">
        <f>G122-F122</f>
        <v/>
      </c>
      <c r="I122" s="8">
        <f>IF(F122=0,0,G122/F122-1)</f>
        <v/>
      </c>
    </row>
    <row r="123">
      <c r="A123" s="6" t="inlineStr">
        <is>
          <t>1000.1100.1000.57300.040</t>
        </is>
      </c>
      <c r="B123" s="6" t="inlineStr">
        <is>
          <t>Equipment</t>
        </is>
      </c>
      <c r="C123" s="24" t="n">
        <v>10100</v>
      </c>
      <c r="D123" s="24" t="n">
        <v>12170</v>
      </c>
      <c r="E123" s="24" t="n">
        <v>8318</v>
      </c>
      <c r="F123" s="24" t="n">
        <v>6385</v>
      </c>
      <c r="G123" s="24" t="n">
        <v>7164</v>
      </c>
      <c r="H123" s="24">
        <f>G123-F123</f>
        <v/>
      </c>
      <c r="I123" s="8">
        <f>IF(F123=0,0,G123/F123-1)</f>
        <v/>
      </c>
    </row>
    <row r="124">
      <c r="A124" s="6" t="inlineStr">
        <is>
          <t>1000.1100.1000.58100.040</t>
        </is>
      </c>
      <c r="B124" s="6" t="inlineStr">
        <is>
          <t>Dues and Fees</t>
        </is>
      </c>
      <c r="C124" s="24" t="n">
        <v>0</v>
      </c>
      <c r="D124" s="24" t="n">
        <v>0</v>
      </c>
      <c r="E124" s="24" t="n">
        <v>50</v>
      </c>
      <c r="F124" s="24" t="n">
        <v>210</v>
      </c>
      <c r="G124" s="24" t="n">
        <v>0</v>
      </c>
      <c r="H124" s="24">
        <f>G124-F124</f>
        <v/>
      </c>
      <c r="I124" s="8">
        <f>IF(F124=0,0,G124/F124-1)</f>
        <v/>
      </c>
    </row>
    <row r="125">
      <c r="A125" s="14" t="n"/>
      <c r="B125" s="28" t="inlineStr">
        <is>
          <t>Program 1100 Total</t>
        </is>
      </c>
      <c r="C125" s="29">
        <f>SUM(C105:C124)</f>
        <v/>
      </c>
      <c r="D125" s="29">
        <f>SUM(D105:D124)</f>
        <v/>
      </c>
      <c r="E125" s="29">
        <f>SUM(E105:E124)</f>
        <v/>
      </c>
      <c r="F125" s="29">
        <f>SUM(F105:F124)</f>
        <v/>
      </c>
      <c r="G125" s="29">
        <f>SUM(G105:G124)</f>
        <v/>
      </c>
      <c r="H125" s="29">
        <f>SUM(H105:H124)</f>
        <v/>
      </c>
      <c r="I125" s="29">
        <f>SUM(I105:I124)</f>
        <v/>
      </c>
    </row>
    <row r="126">
      <c r="A126" s="14" t="n"/>
      <c r="B126" s="17" t="inlineStr">
        <is>
          <t>Cost Center ('040',) Total</t>
        </is>
      </c>
      <c r="C126" s="32">
        <f>C125</f>
        <v/>
      </c>
      <c r="D126" s="32">
        <f>D125</f>
        <v/>
      </c>
      <c r="E126" s="32">
        <f>E125</f>
        <v/>
      </c>
      <c r="F126" s="32">
        <f>F125</f>
        <v/>
      </c>
      <c r="G126" s="32">
        <f>G125</f>
        <v/>
      </c>
      <c r="H126" s="32">
        <f>H125</f>
        <v/>
      </c>
      <c r="I126" s="32">
        <f>I125</f>
        <v/>
      </c>
    </row>
    <row r="128">
      <c r="A128" s="3" t="inlineStr">
        <is>
          <t>Cost Center: ('050',)</t>
        </is>
      </c>
    </row>
    <row r="129">
      <c r="A129" s="6" t="inlineStr">
        <is>
          <t>1000.1100.1000.51010.050</t>
        </is>
      </c>
      <c r="B129" s="6" t="inlineStr">
        <is>
          <t>Teacher Salaries</t>
        </is>
      </c>
      <c r="C129" s="24" t="n">
        <v>1581220</v>
      </c>
      <c r="D129" s="24" t="n">
        <v>1711235</v>
      </c>
      <c r="E129" s="24" t="n">
        <v>1751006</v>
      </c>
      <c r="F129" s="24" t="n">
        <v>1698538</v>
      </c>
      <c r="G129" s="24" t="n">
        <v>1686356</v>
      </c>
      <c r="H129" s="24">
        <f>G129-F129</f>
        <v/>
      </c>
      <c r="I129" s="8">
        <f>IF(F129=0,0,G129/F129-1)</f>
        <v/>
      </c>
    </row>
    <row r="130">
      <c r="A130" s="6" t="inlineStr">
        <is>
          <t>1000.1100.1000.51020.050</t>
        </is>
      </c>
      <c r="B130" s="6" t="inlineStr">
        <is>
          <t>Ed Tech Salaries</t>
        </is>
      </c>
      <c r="C130" s="24" t="n">
        <v>102807</v>
      </c>
      <c r="D130" s="24" t="n">
        <v>85224</v>
      </c>
      <c r="E130" s="24" t="n">
        <v>81972</v>
      </c>
      <c r="F130" s="24" t="n">
        <v>124929</v>
      </c>
      <c r="G130" s="24" t="n">
        <v>107011</v>
      </c>
      <c r="H130" s="24">
        <f>G130-F130</f>
        <v/>
      </c>
      <c r="I130" s="8">
        <f>IF(F130=0,0,G130/F130-1)</f>
        <v/>
      </c>
    </row>
    <row r="131">
      <c r="A131" s="6" t="inlineStr">
        <is>
          <t>1000.1100.1000.51230.050</t>
        </is>
      </c>
      <c r="B131" s="6" t="inlineStr">
        <is>
          <t>Substitute Wages</t>
        </is>
      </c>
      <c r="C131" s="24" t="n">
        <v>37527</v>
      </c>
      <c r="D131" s="24" t="n">
        <v>18907</v>
      </c>
      <c r="E131" s="24" t="n">
        <v>62395</v>
      </c>
      <c r="F131" s="24" t="n">
        <v>80000</v>
      </c>
      <c r="G131" s="24" t="n">
        <v>65000</v>
      </c>
      <c r="H131" s="24">
        <f>G131-F131</f>
        <v/>
      </c>
      <c r="I131" s="8">
        <f>IF(F131=0,0,G131/F131-1)</f>
        <v/>
      </c>
    </row>
    <row r="132">
      <c r="A132" s="6" t="inlineStr">
        <is>
          <t>1000.1100.1000.51500.050</t>
        </is>
      </c>
      <c r="B132" s="6" t="inlineStr">
        <is>
          <t>Stipends</t>
        </is>
      </c>
      <c r="C132" s="24" t="n">
        <v>3331</v>
      </c>
      <c r="D132" s="24" t="n">
        <v>2565</v>
      </c>
      <c r="E132" s="24" t="n">
        <v>0</v>
      </c>
      <c r="F132" s="24" t="n">
        <v>24437</v>
      </c>
      <c r="G132" s="24" t="n">
        <v>27723</v>
      </c>
      <c r="H132" s="24">
        <f>G132-F132</f>
        <v/>
      </c>
      <c r="I132" s="8">
        <f>IF(F132=0,0,G132/F132-1)</f>
        <v/>
      </c>
    </row>
    <row r="133">
      <c r="A133" s="6" t="inlineStr">
        <is>
          <t>1000.1100.1000.52000.050</t>
        </is>
      </c>
      <c r="B133" s="6" t="inlineStr">
        <is>
          <t>Stipend Benefits</t>
        </is>
      </c>
      <c r="C133" s="24" t="n">
        <v>429</v>
      </c>
      <c r="D133" s="24" t="n">
        <v>7927</v>
      </c>
      <c r="E133" s="24" t="n">
        <v>0</v>
      </c>
      <c r="F133" s="24" t="n">
        <v>354</v>
      </c>
      <c r="G133" s="24" t="n">
        <v>401</v>
      </c>
      <c r="H133" s="24">
        <f>G133-F133</f>
        <v/>
      </c>
      <c r="I133" s="8">
        <f>IF(F133=0,0,G133/F133-1)</f>
        <v/>
      </c>
    </row>
    <row r="134">
      <c r="A134" s="6" t="inlineStr">
        <is>
          <t>1000.1100.1000.52010.050</t>
        </is>
      </c>
      <c r="B134" s="6" t="inlineStr">
        <is>
          <t>Teacher Benefits</t>
        </is>
      </c>
      <c r="C134" s="24" t="n">
        <v>418578</v>
      </c>
      <c r="D134" s="24" t="n">
        <v>407267</v>
      </c>
      <c r="E134" s="24" t="n">
        <v>95632</v>
      </c>
      <c r="F134" s="24" t="n">
        <v>503147</v>
      </c>
      <c r="G134" s="24" t="n">
        <v>424331</v>
      </c>
      <c r="H134" s="24">
        <f>G134-F134</f>
        <v/>
      </c>
      <c r="I134" s="8">
        <f>IF(F134=0,0,G134/F134-1)</f>
        <v/>
      </c>
    </row>
    <row r="135">
      <c r="A135" s="6" t="inlineStr">
        <is>
          <t>1000.1100.1000.52020.050</t>
        </is>
      </c>
      <c r="B135" s="6" t="inlineStr">
        <is>
          <t>Ed Tech Benefits</t>
        </is>
      </c>
      <c r="C135" s="24" t="n">
        <v>34093</v>
      </c>
      <c r="D135" s="24" t="n">
        <v>27831</v>
      </c>
      <c r="E135" s="24" t="n">
        <v>4173</v>
      </c>
      <c r="F135" s="24" t="n">
        <v>8353</v>
      </c>
      <c r="G135" s="24" t="n">
        <v>68385</v>
      </c>
      <c r="H135" s="24">
        <f>G135-F135</f>
        <v/>
      </c>
      <c r="I135" s="8">
        <f>IF(F135=0,0,G135/F135-1)</f>
        <v/>
      </c>
    </row>
    <row r="136">
      <c r="A136" s="6" t="inlineStr">
        <is>
          <t>1000.1100.1000.52030.050</t>
        </is>
      </c>
      <c r="B136" s="6" t="inlineStr">
        <is>
          <t>Substitute Benefits</t>
        </is>
      </c>
      <c r="C136" s="24" t="n">
        <v>2098</v>
      </c>
      <c r="D136" s="24" t="n">
        <v>1106</v>
      </c>
      <c r="E136" s="24" t="n">
        <v>170</v>
      </c>
      <c r="F136" s="24" t="n">
        <v>1384</v>
      </c>
      <c r="G136" s="24" t="n">
        <v>780</v>
      </c>
      <c r="H136" s="24">
        <f>G136-F136</f>
        <v/>
      </c>
      <c r="I136" s="8">
        <f>IF(F136=0,0,G136/F136-1)</f>
        <v/>
      </c>
    </row>
    <row r="137">
      <c r="A137" s="6" t="inlineStr">
        <is>
          <t>1000.1100.1000.52300.050</t>
        </is>
      </c>
      <c r="B137" s="6" t="inlineStr">
        <is>
          <t>Retirement</t>
        </is>
      </c>
      <c r="C137" s="24" t="n">
        <v>55</v>
      </c>
      <c r="D137" s="24" t="n">
        <v>108</v>
      </c>
      <c r="E137" s="24" t="n">
        <v>0</v>
      </c>
      <c r="F137" s="24" t="n">
        <v>1017</v>
      </c>
      <c r="G137" s="24" t="n">
        <v>1153</v>
      </c>
      <c r="H137" s="24">
        <f>G137-F137</f>
        <v/>
      </c>
      <c r="I137" s="8">
        <f>IF(F137=0,0,G137/F137-1)</f>
        <v/>
      </c>
    </row>
    <row r="138">
      <c r="A138" s="6" t="inlineStr">
        <is>
          <t>1000.1100.1000.52310.050</t>
        </is>
      </c>
      <c r="B138" s="6" t="inlineStr">
        <is>
          <t>Retirement</t>
        </is>
      </c>
      <c r="C138" s="24" t="n">
        <v>65260</v>
      </c>
      <c r="D138" s="24" t="n">
        <v>89120</v>
      </c>
      <c r="E138" s="24" t="n">
        <v>15690</v>
      </c>
      <c r="F138" s="24" t="n">
        <v>72324</v>
      </c>
      <c r="G138" s="24" t="n">
        <v>71910</v>
      </c>
      <c r="H138" s="24">
        <f>G138-F138</f>
        <v/>
      </c>
      <c r="I138" s="8">
        <f>IF(F138=0,0,G138/F138-1)</f>
        <v/>
      </c>
    </row>
    <row r="139">
      <c r="A139" s="6" t="inlineStr">
        <is>
          <t>1000.1100.1000.52320.050</t>
        </is>
      </c>
      <c r="B139" s="6" t="inlineStr">
        <is>
          <t>Retirement</t>
        </is>
      </c>
      <c r="C139" s="24" t="n">
        <v>4081</v>
      </c>
      <c r="D139" s="24" t="n">
        <v>3612</v>
      </c>
      <c r="E139" s="24" t="n">
        <v>742</v>
      </c>
      <c r="F139" s="24" t="n">
        <v>3443</v>
      </c>
      <c r="G139" s="24" t="n">
        <v>4452</v>
      </c>
      <c r="H139" s="24">
        <f>G139-F139</f>
        <v/>
      </c>
      <c r="I139" s="8">
        <f>IF(F139=0,0,G139/F139-1)</f>
        <v/>
      </c>
    </row>
    <row r="140">
      <c r="A140" s="6" t="inlineStr">
        <is>
          <t>1000.1100.1000.52330.050</t>
        </is>
      </c>
      <c r="B140" s="6" t="inlineStr">
        <is>
          <t>Retirement</t>
        </is>
      </c>
      <c r="C140" s="24" t="n">
        <v>656</v>
      </c>
      <c r="D140" s="24" t="n">
        <v>410</v>
      </c>
      <c r="E140" s="24" t="n">
        <v>518</v>
      </c>
      <c r="F140" s="24" t="n">
        <v>3328</v>
      </c>
      <c r="G140" s="24" t="n">
        <v>1664</v>
      </c>
      <c r="H140" s="24">
        <f>G140-F140</f>
        <v/>
      </c>
      <c r="I140" s="8">
        <f>IF(F140=0,0,G140/F140-1)</f>
        <v/>
      </c>
    </row>
    <row r="141">
      <c r="A141" s="6" t="inlineStr">
        <is>
          <t>1000.1100.1000.53400.050</t>
        </is>
      </c>
      <c r="B141" s="6" t="inlineStr">
        <is>
          <t>Purchased Professional</t>
        </is>
      </c>
      <c r="C141" s="24" t="n">
        <v>21183</v>
      </c>
      <c r="D141" s="24" t="n">
        <v>30545</v>
      </c>
      <c r="E141" s="24" t="n">
        <v>25811</v>
      </c>
      <c r="F141" s="24" t="n">
        <v>21768</v>
      </c>
      <c r="G141" s="24" t="n">
        <v>21768</v>
      </c>
      <c r="H141" s="24">
        <f>G141-F141</f>
        <v/>
      </c>
      <c r="I141" s="8">
        <f>IF(F141=0,0,G141/F141-1)</f>
        <v/>
      </c>
    </row>
    <row r="142">
      <c r="A142" s="6" t="inlineStr">
        <is>
          <t>1000.1100.1000.54300.050</t>
        </is>
      </c>
      <c r="B142" s="6" t="inlineStr">
        <is>
          <t>Copiers Repair/Maint</t>
        </is>
      </c>
      <c r="C142" s="24" t="n">
        <v>28918</v>
      </c>
      <c r="D142" s="24" t="n">
        <v>24214</v>
      </c>
      <c r="E142" s="24" t="n">
        <v>9700</v>
      </c>
      <c r="F142" s="24" t="n">
        <v>17357</v>
      </c>
      <c r="G142" s="24" t="n">
        <v>16500</v>
      </c>
      <c r="H142" s="24">
        <f>G142-F142</f>
        <v/>
      </c>
      <c r="I142" s="8">
        <f>IF(F142=0,0,G142/F142-1)</f>
        <v/>
      </c>
    </row>
    <row r="143">
      <c r="A143" s="6" t="inlineStr">
        <is>
          <t>1000.1100.1000.54330.050</t>
        </is>
      </c>
      <c r="B143" s="6" t="inlineStr">
        <is>
          <t>Software</t>
        </is>
      </c>
      <c r="C143" s="24" t="n">
        <v>6153</v>
      </c>
      <c r="D143" s="24" t="n">
        <v>4457</v>
      </c>
      <c r="E143" s="24" t="n">
        <v>6149</v>
      </c>
      <c r="F143" s="24" t="n">
        <v>5908</v>
      </c>
      <c r="G143" s="24" t="n">
        <v>5908</v>
      </c>
      <c r="H143" s="24">
        <f>G143-F143</f>
        <v/>
      </c>
      <c r="I143" s="8">
        <f>IF(F143=0,0,G143/F143-1)</f>
        <v/>
      </c>
    </row>
    <row r="144">
      <c r="A144" s="6" t="inlineStr">
        <is>
          <t>1000.1100.1000.55800.050</t>
        </is>
      </c>
      <c r="B144" s="6" t="inlineStr">
        <is>
          <t>Travel</t>
        </is>
      </c>
      <c r="C144" s="24" t="n">
        <v>3061</v>
      </c>
      <c r="D144" s="24" t="n">
        <v>2121</v>
      </c>
      <c r="E144" s="24" t="n">
        <v>889</v>
      </c>
      <c r="F144" s="24" t="n">
        <v>3000</v>
      </c>
      <c r="G144" s="24" t="n">
        <v>3000</v>
      </c>
      <c r="H144" s="24">
        <f>G144-F144</f>
        <v/>
      </c>
      <c r="I144" s="8">
        <f>IF(F144=0,0,G144/F144-1)</f>
        <v/>
      </c>
    </row>
    <row r="145">
      <c r="A145" s="6" t="inlineStr">
        <is>
          <t>1000.1100.1000.56000.050</t>
        </is>
      </c>
      <c r="B145" s="6" t="inlineStr">
        <is>
          <t>Supplies</t>
        </is>
      </c>
      <c r="C145" s="24" t="n">
        <v>0</v>
      </c>
      <c r="D145" s="24" t="n">
        <v>0</v>
      </c>
      <c r="E145" s="24" t="n">
        <v>49</v>
      </c>
      <c r="F145" s="24" t="n">
        <v>0</v>
      </c>
      <c r="G145" s="24" t="n">
        <v>0</v>
      </c>
      <c r="H145" s="24">
        <f>G145-F145</f>
        <v/>
      </c>
      <c r="I145" s="8">
        <f>IF(F145=0,0,G145/F145-1)</f>
        <v/>
      </c>
    </row>
    <row r="146">
      <c r="A146" s="6" t="inlineStr">
        <is>
          <t>1000.1100.1000.56100.050</t>
        </is>
      </c>
      <c r="B146" s="6" t="inlineStr">
        <is>
          <t>Instructional Supplies</t>
        </is>
      </c>
      <c r="C146" s="24" t="n">
        <v>40458</v>
      </c>
      <c r="D146" s="24" t="n">
        <v>36680</v>
      </c>
      <c r="E146" s="24" t="n">
        <v>53562</v>
      </c>
      <c r="F146" s="24" t="n">
        <v>43477</v>
      </c>
      <c r="G146" s="24" t="n">
        <v>43313</v>
      </c>
      <c r="H146" s="24">
        <f>G146-F146</f>
        <v/>
      </c>
      <c r="I146" s="8">
        <f>IF(F146=0,0,G146/F146-1)</f>
        <v/>
      </c>
    </row>
    <row r="147">
      <c r="A147" s="6" t="inlineStr">
        <is>
          <t>1000.1100.1000.56400.050</t>
        </is>
      </c>
      <c r="B147" s="6" t="inlineStr">
        <is>
          <t>Books</t>
        </is>
      </c>
      <c r="C147" s="24" t="n">
        <v>10298</v>
      </c>
      <c r="D147" s="24" t="n">
        <v>7414</v>
      </c>
      <c r="E147" s="24" t="n">
        <v>9696</v>
      </c>
      <c r="F147" s="24" t="n">
        <v>9900</v>
      </c>
      <c r="G147" s="24" t="n">
        <v>9823</v>
      </c>
      <c r="H147" s="24">
        <f>G147-F147</f>
        <v/>
      </c>
      <c r="I147" s="8">
        <f>IF(F147=0,0,G147/F147-1)</f>
        <v/>
      </c>
    </row>
    <row r="148">
      <c r="A148" s="6" t="inlineStr">
        <is>
          <t>1000.1100.1000.57300.050</t>
        </is>
      </c>
      <c r="B148" s="6" t="inlineStr">
        <is>
          <t>Equipment</t>
        </is>
      </c>
      <c r="C148" s="24" t="n">
        <v>19298</v>
      </c>
      <c r="D148" s="24" t="n">
        <v>19870</v>
      </c>
      <c r="E148" s="24" t="n">
        <v>27377</v>
      </c>
      <c r="F148" s="24" t="n">
        <v>24461</v>
      </c>
      <c r="G148" s="24" t="n">
        <v>21466</v>
      </c>
      <c r="H148" s="24">
        <f>G148-F148</f>
        <v/>
      </c>
      <c r="I148" s="8">
        <f>IF(F148=0,0,G148/F148-1)</f>
        <v/>
      </c>
    </row>
    <row r="149">
      <c r="A149" s="6" t="inlineStr">
        <is>
          <t>1000.1100.1000.58100.050</t>
        </is>
      </c>
      <c r="B149" s="6" t="inlineStr">
        <is>
          <t>Dues &amp; Fees</t>
        </is>
      </c>
      <c r="C149" s="24" t="n">
        <v>2427</v>
      </c>
      <c r="D149" s="24" t="n">
        <v>2419</v>
      </c>
      <c r="E149" s="24" t="n">
        <v>45</v>
      </c>
      <c r="F149" s="24" t="n">
        <v>2823</v>
      </c>
      <c r="G149" s="24" t="n">
        <v>2750</v>
      </c>
      <c r="H149" s="24">
        <f>G149-F149</f>
        <v/>
      </c>
      <c r="I149" s="8">
        <f>IF(F149=0,0,G149/F149-1)</f>
        <v/>
      </c>
    </row>
    <row r="150">
      <c r="A150" s="14" t="n"/>
      <c r="B150" s="28" t="inlineStr">
        <is>
          <t>Program 1100 Total</t>
        </is>
      </c>
      <c r="C150" s="29">
        <f>SUM(C129:C149)</f>
        <v/>
      </c>
      <c r="D150" s="29">
        <f>SUM(D129:D149)</f>
        <v/>
      </c>
      <c r="E150" s="29">
        <f>SUM(E129:E149)</f>
        <v/>
      </c>
      <c r="F150" s="29">
        <f>SUM(F129:F149)</f>
        <v/>
      </c>
      <c r="G150" s="29">
        <f>SUM(G129:G149)</f>
        <v/>
      </c>
      <c r="H150" s="29">
        <f>SUM(H129:H149)</f>
        <v/>
      </c>
      <c r="I150" s="29">
        <f>SUM(I129:I149)</f>
        <v/>
      </c>
    </row>
    <row r="151">
      <c r="A151" s="6" t="inlineStr">
        <is>
          <t>1000.4200.1000.53000.050</t>
        </is>
      </c>
      <c r="B151" s="6" t="inlineStr">
        <is>
          <t>Purchased Professional</t>
        </is>
      </c>
      <c r="C151" s="24" t="n">
        <v>25000</v>
      </c>
      <c r="D151" s="24" t="n">
        <v>25000</v>
      </c>
      <c r="E151" s="24" t="n">
        <v>25000</v>
      </c>
      <c r="F151" s="24" t="n">
        <v>25000</v>
      </c>
      <c r="G151" s="24" t="n">
        <v>25000</v>
      </c>
      <c r="H151" s="24">
        <f>G151-F151</f>
        <v/>
      </c>
      <c r="I151" s="8">
        <f>IF(F151=0,0,G151/F151-1)</f>
        <v/>
      </c>
    </row>
    <row r="152">
      <c r="A152" s="14" t="n"/>
      <c r="B152" s="30" t="inlineStr">
        <is>
          <t>Function 1000 Total</t>
        </is>
      </c>
      <c r="C152" s="31">
        <f>C150</f>
        <v/>
      </c>
      <c r="D152" s="31">
        <f>D150</f>
        <v/>
      </c>
      <c r="E152" s="31">
        <f>E150</f>
        <v/>
      </c>
      <c r="F152" s="31">
        <f>F150</f>
        <v/>
      </c>
      <c r="G152" s="31">
        <f>G150</f>
        <v/>
      </c>
      <c r="H152" s="31">
        <f>H150</f>
        <v/>
      </c>
      <c r="I152" s="31">
        <f>I150</f>
        <v/>
      </c>
    </row>
    <row r="153">
      <c r="A153" s="14" t="n"/>
      <c r="B153" s="17" t="inlineStr">
        <is>
          <t>Cost Center ('050',) Total</t>
        </is>
      </c>
      <c r="C153" s="32">
        <f>C152</f>
        <v/>
      </c>
      <c r="D153" s="32">
        <f>D152</f>
        <v/>
      </c>
      <c r="E153" s="32">
        <f>E152</f>
        <v/>
      </c>
      <c r="F153" s="32">
        <f>F152</f>
        <v/>
      </c>
      <c r="G153" s="32">
        <f>G152</f>
        <v/>
      </c>
      <c r="H153" s="32">
        <f>H152</f>
        <v/>
      </c>
      <c r="I153" s="32">
        <f>I152</f>
        <v/>
      </c>
    </row>
    <row r="155">
      <c r="A155" s="3" t="inlineStr">
        <is>
          <t>Cost Center: ('300',)</t>
        </is>
      </c>
    </row>
    <row r="156">
      <c r="A156" s="6" t="inlineStr">
        <is>
          <t>1000.1200.1000.51010.300</t>
        </is>
      </c>
      <c r="B156" s="6" t="inlineStr">
        <is>
          <t>Teacher Salaries</t>
        </is>
      </c>
      <c r="C156" s="24" t="n">
        <v>2399544</v>
      </c>
      <c r="D156" s="24" t="n">
        <v>2690866</v>
      </c>
      <c r="E156" s="24" t="n">
        <v>2941303</v>
      </c>
      <c r="F156" s="24" t="n">
        <v>2971169</v>
      </c>
      <c r="G156" s="24" t="n">
        <v>3047678</v>
      </c>
      <c r="H156" s="24">
        <f>G156-F156</f>
        <v/>
      </c>
      <c r="I156" s="8">
        <f>IF(F156=0,0,G156/F156-1)</f>
        <v/>
      </c>
    </row>
    <row r="157">
      <c r="A157" s="6" t="inlineStr">
        <is>
          <t>1000.1200.1000.51020.300</t>
        </is>
      </c>
      <c r="B157" s="6" t="inlineStr">
        <is>
          <t>Ed Tech Salaries</t>
        </is>
      </c>
      <c r="C157" s="24" t="n">
        <v>117512</v>
      </c>
      <c r="D157" s="24" t="n">
        <v>171639</v>
      </c>
      <c r="E157" s="24" t="n">
        <v>168634</v>
      </c>
      <c r="F157" s="24" t="n">
        <v>127985</v>
      </c>
      <c r="G157" s="24" t="n">
        <v>118487</v>
      </c>
      <c r="H157" s="24">
        <f>G157-F157</f>
        <v/>
      </c>
      <c r="I157" s="8">
        <f>IF(F157=0,0,G157/F157-1)</f>
        <v/>
      </c>
    </row>
    <row r="158">
      <c r="A158" s="6" t="inlineStr">
        <is>
          <t>1000.1200.1000.51230.300</t>
        </is>
      </c>
      <c r="B158" s="6" t="inlineStr">
        <is>
          <t>Substitute Wages</t>
        </is>
      </c>
      <c r="C158" s="24" t="n">
        <v>63086</v>
      </c>
      <c r="D158" s="24" t="n">
        <v>58933</v>
      </c>
      <c r="E158" s="24" t="n">
        <v>46359</v>
      </c>
      <c r="F158" s="24" t="n">
        <v>120000</v>
      </c>
      <c r="G158" s="24" t="n">
        <v>60000</v>
      </c>
      <c r="H158" s="24">
        <f>G158-F158</f>
        <v/>
      </c>
      <c r="I158" s="8">
        <f>IF(F158=0,0,G158/F158-1)</f>
        <v/>
      </c>
    </row>
    <row r="159">
      <c r="A159" s="6" t="inlineStr">
        <is>
          <t>1000.1200.1000.51500.300</t>
        </is>
      </c>
      <c r="B159" s="6" t="inlineStr">
        <is>
          <t>Stipends</t>
        </is>
      </c>
      <c r="C159" s="24" t="n">
        <v>375</v>
      </c>
      <c r="D159" s="24" t="n">
        <v>5708</v>
      </c>
      <c r="E159" s="24" t="n">
        <v>3173</v>
      </c>
      <c r="F159" s="24" t="n">
        <v>7200</v>
      </c>
      <c r="G159" s="24" t="n">
        <v>23610</v>
      </c>
      <c r="H159" s="24">
        <f>G159-F159</f>
        <v/>
      </c>
      <c r="I159" s="8">
        <f>IF(F159=0,0,G159/F159-1)</f>
        <v/>
      </c>
    </row>
    <row r="160">
      <c r="A160" s="6" t="inlineStr">
        <is>
          <t>1000.1200.1000.52000.300</t>
        </is>
      </c>
      <c r="B160" s="6" t="inlineStr">
        <is>
          <t>Stipend Benefits</t>
        </is>
      </c>
      <c r="C160" s="24" t="n">
        <v>92</v>
      </c>
      <c r="D160" s="24" t="n">
        <v>85</v>
      </c>
      <c r="E160" s="24" t="n">
        <v>1</v>
      </c>
      <c r="F160" s="24" t="n">
        <v>420</v>
      </c>
      <c r="G160" s="24" t="n">
        <v>420</v>
      </c>
      <c r="H160" s="24">
        <f>G160-F160</f>
        <v/>
      </c>
      <c r="I160" s="8">
        <f>IF(F160=0,0,G160/F160-1)</f>
        <v/>
      </c>
    </row>
    <row r="161">
      <c r="A161" s="6" t="inlineStr">
        <is>
          <t>1000.1200.1000.52010.300</t>
        </is>
      </c>
      <c r="B161" s="6" t="inlineStr">
        <is>
          <t>Teacher Benefits</t>
        </is>
      </c>
      <c r="C161" s="24" t="n">
        <v>594086</v>
      </c>
      <c r="D161" s="24" t="n">
        <v>616867</v>
      </c>
      <c r="E161" s="24" t="n">
        <v>173760</v>
      </c>
      <c r="F161" s="24" t="n">
        <v>710564</v>
      </c>
      <c r="G161" s="24" t="n">
        <v>653221</v>
      </c>
      <c r="H161" s="24">
        <f>G161-F161</f>
        <v/>
      </c>
      <c r="I161" s="8">
        <f>IF(F161=0,0,G161/F161-1)</f>
        <v/>
      </c>
    </row>
    <row r="162">
      <c r="A162" s="6" t="inlineStr">
        <is>
          <t>1000.1200.1000.52020.300</t>
        </is>
      </c>
      <c r="B162" s="6" t="inlineStr">
        <is>
          <t>Ed Tech Benefits</t>
        </is>
      </c>
      <c r="C162" s="24" t="n">
        <v>50269</v>
      </c>
      <c r="D162" s="24" t="n">
        <v>57826</v>
      </c>
      <c r="E162" s="24" t="n">
        <v>24878</v>
      </c>
      <c r="F162" s="24" t="n">
        <v>38428</v>
      </c>
      <c r="G162" s="24" t="n">
        <v>44159</v>
      </c>
      <c r="H162" s="24">
        <f>G162-F162</f>
        <v/>
      </c>
      <c r="I162" s="8">
        <f>IF(F162=0,0,G162/F162-1)</f>
        <v/>
      </c>
    </row>
    <row r="163">
      <c r="A163" s="6" t="inlineStr">
        <is>
          <t>1000.1200.1000.52030.300</t>
        </is>
      </c>
      <c r="B163" s="6" t="inlineStr">
        <is>
          <t>Substitute Benefits</t>
        </is>
      </c>
      <c r="C163" s="24" t="n">
        <v>4521</v>
      </c>
      <c r="D163" s="24" t="n">
        <v>2450</v>
      </c>
      <c r="E163" s="24" t="n">
        <v>157</v>
      </c>
      <c r="F163" s="24" t="n">
        <v>4392</v>
      </c>
      <c r="G163" s="24" t="n">
        <v>3498</v>
      </c>
      <c r="H163" s="24">
        <f>G163-F163</f>
        <v/>
      </c>
      <c r="I163" s="8">
        <f>IF(F163=0,0,G163/F163-1)</f>
        <v/>
      </c>
    </row>
    <row r="164">
      <c r="A164" s="6" t="inlineStr">
        <is>
          <t>1000.1200.1000.52300.300</t>
        </is>
      </c>
      <c r="B164" s="6" t="inlineStr">
        <is>
          <t>Retirement</t>
        </is>
      </c>
      <c r="C164" s="24" t="n">
        <v>19</v>
      </c>
      <c r="D164" s="24" t="n">
        <v>12</v>
      </c>
      <c r="E164" s="24" t="n">
        <v>0</v>
      </c>
      <c r="F164" s="24" t="n">
        <v>300</v>
      </c>
      <c r="G164" s="24" t="n">
        <v>300</v>
      </c>
      <c r="H164" s="24">
        <f>G164-F164</f>
        <v/>
      </c>
      <c r="I164" s="8">
        <f>IF(F164=0,0,G164/F164-1)</f>
        <v/>
      </c>
    </row>
    <row r="165">
      <c r="A165" s="6" t="inlineStr">
        <is>
          <t>1000.1200.1000.52310.300</t>
        </is>
      </c>
      <c r="B165" s="6" t="inlineStr">
        <is>
          <t>Retirement</t>
        </is>
      </c>
      <c r="C165" s="24" t="n">
        <v>100500</v>
      </c>
      <c r="D165" s="24" t="n">
        <v>114087</v>
      </c>
      <c r="E165" s="24" t="n">
        <v>27685</v>
      </c>
      <c r="F165" s="24" t="n">
        <v>127423</v>
      </c>
      <c r="G165" s="24" t="n">
        <v>126863</v>
      </c>
      <c r="H165" s="24">
        <f>G165-F165</f>
        <v/>
      </c>
      <c r="I165" s="8">
        <f>IF(F165=0,0,G165/F165-1)</f>
        <v/>
      </c>
    </row>
    <row r="166">
      <c r="A166" s="6" t="inlineStr">
        <is>
          <t>1000.1200.1000.52320.300</t>
        </is>
      </c>
      <c r="B166" s="6" t="inlineStr">
        <is>
          <t>Retirement</t>
        </is>
      </c>
      <c r="C166" s="24" t="n">
        <v>2436</v>
      </c>
      <c r="D166" s="24" t="n">
        <v>6397</v>
      </c>
      <c r="E166" s="24" t="n">
        <v>982</v>
      </c>
      <c r="F166" s="24" t="n">
        <v>4970</v>
      </c>
      <c r="G166" s="24" t="n">
        <v>4662</v>
      </c>
      <c r="H166" s="24">
        <f>G166-F166</f>
        <v/>
      </c>
      <c r="I166" s="8">
        <f>IF(F166=0,0,G166/F166-1)</f>
        <v/>
      </c>
    </row>
    <row r="167">
      <c r="A167" s="6" t="inlineStr">
        <is>
          <t>1000.1200.1000.52330.300</t>
        </is>
      </c>
      <c r="B167" s="6" t="inlineStr">
        <is>
          <t>Retirement</t>
        </is>
      </c>
      <c r="C167" s="24" t="n">
        <v>839</v>
      </c>
      <c r="D167" s="24" t="n">
        <v>1373</v>
      </c>
      <c r="E167" s="24" t="n">
        <v>36</v>
      </c>
      <c r="F167" s="24" t="n">
        <v>4992</v>
      </c>
      <c r="G167" s="24" t="n">
        <v>2496</v>
      </c>
      <c r="H167" s="24">
        <f>G167-F167</f>
        <v/>
      </c>
      <c r="I167" s="8">
        <f>IF(F167=0,0,G167/F167-1)</f>
        <v/>
      </c>
    </row>
    <row r="168">
      <c r="A168" s="6" t="inlineStr">
        <is>
          <t>1000.1200.1000.53000.300</t>
        </is>
      </c>
      <c r="B168" s="6" t="inlineStr">
        <is>
          <t>School Resource Officer</t>
        </is>
      </c>
      <c r="C168" s="24" t="n">
        <v>30815</v>
      </c>
      <c r="D168" s="24" t="n">
        <v>32105</v>
      </c>
      <c r="E168" s="24" t="n">
        <v>32966</v>
      </c>
      <c r="F168" s="24" t="n">
        <v>31830</v>
      </c>
      <c r="G168" s="24" t="n">
        <v>31830</v>
      </c>
      <c r="H168" s="24">
        <f>G168-F168</f>
        <v/>
      </c>
      <c r="I168" s="8">
        <f>IF(F168=0,0,G168/F168-1)</f>
        <v/>
      </c>
    </row>
    <row r="169">
      <c r="A169" s="6" t="inlineStr">
        <is>
          <t>1000.1200.1000.53400.300</t>
        </is>
      </c>
      <c r="B169" s="6" t="inlineStr">
        <is>
          <t>Purchased Professional Services</t>
        </is>
      </c>
      <c r="C169" s="24" t="n">
        <v>51047</v>
      </c>
      <c r="D169" s="24" t="n">
        <v>21744</v>
      </c>
      <c r="E169" s="24" t="n">
        <v>33714</v>
      </c>
      <c r="F169" s="24" t="n">
        <v>47903</v>
      </c>
      <c r="G169" s="24" t="n">
        <v>49865</v>
      </c>
      <c r="H169" s="24">
        <f>G169-F169</f>
        <v/>
      </c>
      <c r="I169" s="8">
        <f>IF(F169=0,0,G169/F169-1)</f>
        <v/>
      </c>
    </row>
    <row r="170">
      <c r="A170" s="6" t="inlineStr">
        <is>
          <t>1000.1200.1000.54300.300</t>
        </is>
      </c>
      <c r="B170" s="6" t="inlineStr">
        <is>
          <t>Copier Repair/Maint</t>
        </is>
      </c>
      <c r="C170" s="24" t="n">
        <v>41246</v>
      </c>
      <c r="D170" s="24" t="n">
        <v>42667</v>
      </c>
      <c r="E170" s="24" t="n">
        <v>37945</v>
      </c>
      <c r="F170" s="24" t="n">
        <v>42882</v>
      </c>
      <c r="G170" s="24" t="n">
        <v>42882</v>
      </c>
      <c r="H170" s="24">
        <f>G170-F170</f>
        <v/>
      </c>
      <c r="I170" s="8">
        <f>IF(F170=0,0,G170/F170-1)</f>
        <v/>
      </c>
    </row>
    <row r="171">
      <c r="A171" s="6" t="inlineStr">
        <is>
          <t>1000.1200.1000.55611.300</t>
        </is>
      </c>
      <c r="B171" s="6" t="inlineStr">
        <is>
          <t>16/20 Transfer</t>
        </is>
      </c>
      <c r="C171" s="24" t="n">
        <v>0</v>
      </c>
      <c r="D171" s="24" t="n">
        <v>0</v>
      </c>
      <c r="E171" s="24" t="n">
        <v>0</v>
      </c>
      <c r="F171" s="24" t="n">
        <v>6016</v>
      </c>
      <c r="G171" s="24" t="n">
        <v>0</v>
      </c>
      <c r="H171" s="24">
        <f>G171-F171</f>
        <v/>
      </c>
      <c r="I171" s="8">
        <f>IF(F171=0,0,G171/F171-1)</f>
        <v/>
      </c>
    </row>
    <row r="172">
      <c r="A172" s="6" t="inlineStr">
        <is>
          <t>1000.1200.1000.55630.300</t>
        </is>
      </c>
      <c r="B172" s="6" t="inlineStr">
        <is>
          <t>Secondary Tuition Paid To Private School$15,000</t>
        </is>
      </c>
      <c r="C172" s="24" t="n">
        <v>15000</v>
      </c>
      <c r="D172" s="24" t="n">
        <v>18000</v>
      </c>
      <c r="E172" s="24" t="n">
        <v>0</v>
      </c>
      <c r="F172" s="24" t="n">
        <v>0</v>
      </c>
      <c r="G172" s="24" t="n">
        <v>0</v>
      </c>
      <c r="H172" s="24">
        <f>G172-F172</f>
        <v/>
      </c>
      <c r="I172" s="8">
        <f>IF(F172=0,0,G172/F172-1)</f>
        <v/>
      </c>
    </row>
    <row r="173">
      <c r="A173" s="6" t="inlineStr">
        <is>
          <t>1000.1200.1000.55800.300</t>
        </is>
      </c>
      <c r="B173" s="6" t="inlineStr">
        <is>
          <t>Travel</t>
        </is>
      </c>
      <c r="C173" s="24" t="n">
        <v>1058</v>
      </c>
      <c r="D173" s="24" t="n">
        <v>470</v>
      </c>
      <c r="E173" s="24" t="n">
        <v>0</v>
      </c>
      <c r="F173" s="24" t="n">
        <v>1490</v>
      </c>
      <c r="G173" s="24" t="n">
        <v>1000</v>
      </c>
      <c r="H173" s="24">
        <f>G173-F173</f>
        <v/>
      </c>
      <c r="I173" s="8">
        <f>IF(F173=0,0,G173/F173-1)</f>
        <v/>
      </c>
    </row>
    <row r="174">
      <c r="A174" s="6" t="inlineStr">
        <is>
          <t>1000.1200.1000.56000.300</t>
        </is>
      </c>
      <c r="B174" s="6" t="inlineStr">
        <is>
          <t>Supplies High School</t>
        </is>
      </c>
      <c r="C174" s="24" t="n">
        <v>-750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>
        <f>G174-F174</f>
        <v/>
      </c>
      <c r="I174" s="8">
        <f>IF(F174=0,0,G174/F174-1)</f>
        <v/>
      </c>
    </row>
    <row r="175">
      <c r="A175" s="6" t="inlineStr">
        <is>
          <t>1000.1200.1000.56100.300</t>
        </is>
      </c>
      <c r="B175" s="6" t="inlineStr">
        <is>
          <t>Instructional Supplies High School $49,648</t>
        </is>
      </c>
      <c r="C175" s="24" t="n">
        <v>40212</v>
      </c>
      <c r="D175" s="24" t="n">
        <v>49192</v>
      </c>
      <c r="E175" s="24" t="n">
        <v>44903</v>
      </c>
      <c r="F175" s="24" t="n">
        <v>51279</v>
      </c>
      <c r="G175" s="24" t="n">
        <v>6376</v>
      </c>
      <c r="H175" s="24">
        <f>G175-F175</f>
        <v/>
      </c>
      <c r="I175" s="8">
        <f>IF(F175=0,0,G175/F175-1)</f>
        <v/>
      </c>
    </row>
    <row r="176">
      <c r="A176" s="6" t="inlineStr">
        <is>
          <t>1000.1200.1000.56400.300</t>
        </is>
      </c>
      <c r="B176" s="6" t="inlineStr">
        <is>
          <t>Books High School</t>
        </is>
      </c>
      <c r="C176" s="24" t="n">
        <v>10950</v>
      </c>
      <c r="D176" s="24" t="n">
        <v>6754</v>
      </c>
      <c r="E176" s="24" t="n">
        <v>19268</v>
      </c>
      <c r="F176" s="24" t="n">
        <v>19341</v>
      </c>
      <c r="G176" s="24" t="n">
        <v>13280</v>
      </c>
      <c r="H176" s="24">
        <f>G176-F176</f>
        <v/>
      </c>
      <c r="I176" s="8">
        <f>IF(F176=0,0,G176/F176-1)</f>
        <v/>
      </c>
    </row>
    <row r="177">
      <c r="A177" s="6" t="inlineStr">
        <is>
          <t>1000.1200.1000.57300.300</t>
        </is>
      </c>
      <c r="B177" s="6" t="inlineStr">
        <is>
          <t>Equipment High School</t>
        </is>
      </c>
      <c r="C177" s="24" t="n">
        <v>52214</v>
      </c>
      <c r="D177" s="24" t="n">
        <v>18915</v>
      </c>
      <c r="E177" s="24" t="n">
        <v>19587</v>
      </c>
      <c r="F177" s="24" t="n">
        <v>17956</v>
      </c>
      <c r="G177" s="24" t="n">
        <v>23275</v>
      </c>
      <c r="H177" s="24">
        <f>G177-F177</f>
        <v/>
      </c>
      <c r="I177" s="8">
        <f>IF(F177=0,0,G177/F177-1)</f>
        <v/>
      </c>
    </row>
    <row r="178">
      <c r="A178" s="14" t="n"/>
      <c r="B178" s="28" t="inlineStr">
        <is>
          <t>Program 1200 Total</t>
        </is>
      </c>
      <c r="C178" s="29">
        <f>SUM(C156:C177)</f>
        <v/>
      </c>
      <c r="D178" s="29">
        <f>SUM(D156:D177)</f>
        <v/>
      </c>
      <c r="E178" s="29">
        <f>SUM(E156:E177)</f>
        <v/>
      </c>
      <c r="F178" s="29">
        <f>SUM(F156:F177)</f>
        <v/>
      </c>
      <c r="G178" s="29">
        <f>SUM(G156:G177)</f>
        <v/>
      </c>
      <c r="H178" s="29">
        <f>SUM(H156:H177)</f>
        <v/>
      </c>
      <c r="I178" s="29">
        <f>SUM(I156:I177)</f>
        <v/>
      </c>
    </row>
    <row r="179">
      <c r="A179" s="6" t="inlineStr">
        <is>
          <t>1000.4200.1000.53000.300</t>
        </is>
      </c>
      <c r="B179" s="6" t="inlineStr">
        <is>
          <t>JMG</t>
        </is>
      </c>
      <c r="C179" s="24" t="n">
        <v>25000</v>
      </c>
      <c r="D179" s="24" t="n">
        <v>25000</v>
      </c>
      <c r="E179" s="24" t="n">
        <v>25000</v>
      </c>
      <c r="F179" s="24" t="n">
        <v>25000</v>
      </c>
      <c r="G179" s="24" t="n">
        <v>25000</v>
      </c>
      <c r="H179" s="24">
        <f>G179-F179</f>
        <v/>
      </c>
      <c r="I179" s="8">
        <f>IF(F179=0,0,G179/F179-1)</f>
        <v/>
      </c>
    </row>
    <row r="180">
      <c r="A180" s="14" t="n"/>
      <c r="B180" s="30" t="inlineStr">
        <is>
          <t>Function 1000 Total</t>
        </is>
      </c>
      <c r="C180" s="31">
        <f>C178</f>
        <v/>
      </c>
      <c r="D180" s="31">
        <f>D178</f>
        <v/>
      </c>
      <c r="E180" s="31">
        <f>E178</f>
        <v/>
      </c>
      <c r="F180" s="31">
        <f>F178</f>
        <v/>
      </c>
      <c r="G180" s="31">
        <f>G178</f>
        <v/>
      </c>
      <c r="H180" s="31">
        <f>H178</f>
        <v/>
      </c>
      <c r="I180" s="31">
        <f>I178</f>
        <v/>
      </c>
    </row>
    <row r="181">
      <c r="A181" s="14" t="n"/>
      <c r="B181" s="17" t="inlineStr">
        <is>
          <t>Cost Center ('300',) Total</t>
        </is>
      </c>
      <c r="C181" s="32">
        <f>C180</f>
        <v/>
      </c>
      <c r="D181" s="32">
        <f>D180</f>
        <v/>
      </c>
      <c r="E181" s="32">
        <f>E180</f>
        <v/>
      </c>
      <c r="F181" s="32">
        <f>F180</f>
        <v/>
      </c>
      <c r="G181" s="32">
        <f>G180</f>
        <v/>
      </c>
      <c r="H181" s="32">
        <f>H180</f>
        <v/>
      </c>
      <c r="I181" s="32">
        <f>I180</f>
        <v/>
      </c>
    </row>
    <row r="183">
      <c r="A183" s="3" t="inlineStr">
        <is>
          <t>Cost Center: ('900',)</t>
        </is>
      </c>
    </row>
    <row r="184">
      <c r="A184" s="6" t="inlineStr">
        <is>
          <t>1000.1100.1000.51010.900</t>
        </is>
      </c>
      <c r="B184" s="6" t="inlineStr">
        <is>
          <t>TEACHER ADDITIONAL PAY CLEARING $0</t>
        </is>
      </c>
      <c r="C184" s="24" t="n">
        <v>0</v>
      </c>
      <c r="D184" s="24" t="n">
        <v>6225</v>
      </c>
      <c r="E184" s="24" t="n">
        <v>0</v>
      </c>
      <c r="F184" s="24" t="n">
        <v>0</v>
      </c>
      <c r="G184" s="24" t="n">
        <v>0</v>
      </c>
      <c r="H184" s="24">
        <f>G184-F184</f>
        <v/>
      </c>
      <c r="I184" s="8">
        <f>IF(F184=0,0,G184/F184-1)</f>
        <v/>
      </c>
    </row>
    <row r="185">
      <c r="A185" s="6" t="inlineStr">
        <is>
          <t>1000.1100.1000.59000.900</t>
        </is>
      </c>
      <c r="B185" s="6" t="inlineStr">
        <is>
          <t>Contingency</t>
        </is>
      </c>
      <c r="C185" s="24" t="n">
        <v>0</v>
      </c>
      <c r="D185" s="24" t="n">
        <v>0</v>
      </c>
      <c r="E185" s="24" t="n">
        <v>0</v>
      </c>
      <c r="F185" s="24" t="n">
        <v>177039</v>
      </c>
      <c r="G185" s="24" t="n">
        <v>177000</v>
      </c>
      <c r="H185" s="24">
        <f>G185-F185</f>
        <v/>
      </c>
      <c r="I185" s="8">
        <f>IF(F185=0,0,G185/F185-1)</f>
        <v/>
      </c>
    </row>
    <row r="186">
      <c r="A186" s="14" t="n"/>
      <c r="B186" s="28" t="inlineStr">
        <is>
          <t>Program 1100 Total</t>
        </is>
      </c>
      <c r="C186" s="29">
        <f>SUM(C184:C185)</f>
        <v/>
      </c>
      <c r="D186" s="29">
        <f>SUM(D184:D185)</f>
        <v/>
      </c>
      <c r="E186" s="29">
        <f>SUM(E184:E185)</f>
        <v/>
      </c>
      <c r="F186" s="29">
        <f>SUM(F184:F185)</f>
        <v/>
      </c>
      <c r="G186" s="29">
        <f>SUM(G184:G185)</f>
        <v/>
      </c>
      <c r="H186" s="29">
        <f>SUM(H184:H185)</f>
        <v/>
      </c>
      <c r="I186" s="29">
        <f>SUM(I184:I185)</f>
        <v/>
      </c>
    </row>
    <row r="187">
      <c r="A187" s="14" t="n"/>
      <c r="B187" s="17" t="inlineStr">
        <is>
          <t>Cost Center ('900',) Total</t>
        </is>
      </c>
      <c r="C187" s="32">
        <f>C186</f>
        <v/>
      </c>
      <c r="D187" s="32">
        <f>D186</f>
        <v/>
      </c>
      <c r="E187" s="32">
        <f>E186</f>
        <v/>
      </c>
      <c r="F187" s="32">
        <f>F186</f>
        <v/>
      </c>
      <c r="G187" s="32">
        <f>G186</f>
        <v/>
      </c>
      <c r="H187" s="32">
        <f>H186</f>
        <v/>
      </c>
      <c r="I187" s="32">
        <f>I186</f>
        <v/>
      </c>
    </row>
    <row r="189">
      <c r="A189" s="3" t="inlineStr">
        <is>
          <t>Cost Center: ('950',)</t>
        </is>
      </c>
    </row>
    <row r="190">
      <c r="A190" s="6" t="inlineStr">
        <is>
          <t>1000.4100.1000.51010.950</t>
        </is>
      </c>
      <c r="B190" s="6" t="inlineStr">
        <is>
          <t>Teachers Salary</t>
        </is>
      </c>
      <c r="C190" s="24" t="n">
        <v>47921</v>
      </c>
      <c r="D190" s="24" t="n">
        <v>52617</v>
      </c>
      <c r="E190" s="24" t="n">
        <v>22961</v>
      </c>
      <c r="F190" s="24" t="n">
        <v>31726</v>
      </c>
      <c r="G190" s="24" t="n">
        <v>141542</v>
      </c>
      <c r="H190" s="24">
        <f>G190-F190</f>
        <v/>
      </c>
      <c r="I190" s="8">
        <f>IF(F190=0,0,G190/F190-1)</f>
        <v/>
      </c>
    </row>
    <row r="191">
      <c r="A191" s="6" t="inlineStr">
        <is>
          <t>1000.4100.1000.52010.950</t>
        </is>
      </c>
      <c r="B191" s="6" t="inlineStr">
        <is>
          <t>Teacher Benefits</t>
        </is>
      </c>
      <c r="C191" s="24" t="n">
        <v>8024</v>
      </c>
      <c r="D191" s="24" t="n">
        <v>7981</v>
      </c>
      <c r="E191" s="24" t="n">
        <v>1115</v>
      </c>
      <c r="F191" s="24" t="n">
        <v>601</v>
      </c>
      <c r="G191" s="24" t="n">
        <v>27709</v>
      </c>
      <c r="H191" s="24">
        <f>G191-F191</f>
        <v/>
      </c>
      <c r="I191" s="8">
        <f>IF(F191=0,0,G191/F191-1)</f>
        <v/>
      </c>
    </row>
    <row r="192">
      <c r="A192" s="6" t="inlineStr">
        <is>
          <t>1000.4100.1000.52310.950</t>
        </is>
      </c>
      <c r="B192" s="6" t="inlineStr">
        <is>
          <t>Retirement</t>
        </is>
      </c>
      <c r="C192" s="24" t="n">
        <v>1917</v>
      </c>
      <c r="D192" s="24" t="n">
        <v>2189</v>
      </c>
      <c r="E192" s="24" t="n">
        <v>177</v>
      </c>
      <c r="F192" s="24" t="n">
        <v>1320</v>
      </c>
      <c r="G192" s="24" t="n">
        <v>5888</v>
      </c>
      <c r="H192" s="24">
        <f>G192-F192</f>
        <v/>
      </c>
      <c r="I192" s="8">
        <f>IF(F192=0,0,G192/F192-1)</f>
        <v/>
      </c>
    </row>
    <row r="193">
      <c r="A193" s="6" t="inlineStr">
        <is>
          <t>1000.4100.1000.53000.950</t>
        </is>
      </c>
      <c r="B193" s="6" t="inlineStr">
        <is>
          <t>Purchased Professional Services</t>
        </is>
      </c>
      <c r="C193" s="24" t="n">
        <v>0</v>
      </c>
      <c r="D193" s="24" t="n">
        <v>0</v>
      </c>
      <c r="E193" s="24" t="n">
        <v>0</v>
      </c>
      <c r="F193" s="24" t="n">
        <v>200</v>
      </c>
      <c r="G193" s="24" t="n">
        <v>200</v>
      </c>
      <c r="H193" s="24">
        <f>G193-F193</f>
        <v/>
      </c>
      <c r="I193" s="8">
        <f>IF(F193=0,0,G193/F193-1)</f>
        <v/>
      </c>
    </row>
    <row r="194">
      <c r="A194" s="6" t="inlineStr">
        <is>
          <t>1000.4100.1000.53400.950</t>
        </is>
      </c>
      <c r="B194" s="6" t="inlineStr">
        <is>
          <t>Professional Services</t>
        </is>
      </c>
      <c r="C194" s="24" t="n">
        <v>0</v>
      </c>
      <c r="D194" s="24" t="n">
        <v>643</v>
      </c>
      <c r="E194" s="24" t="n">
        <v>0</v>
      </c>
      <c r="F194" s="24" t="n">
        <v>0</v>
      </c>
      <c r="G194" s="24" t="n">
        <v>250</v>
      </c>
      <c r="H194" s="24">
        <f>G194-F194</f>
        <v/>
      </c>
      <c r="I194" s="8">
        <f>IF(F194=0,0,G194/F194-1)</f>
        <v/>
      </c>
    </row>
    <row r="195">
      <c r="A195" s="6" t="inlineStr">
        <is>
          <t>1000.4100.1000.55800.950</t>
        </is>
      </c>
      <c r="B195" s="6" t="inlineStr">
        <is>
          <t>Travel</t>
        </is>
      </c>
      <c r="C195" s="24" t="n">
        <v>170</v>
      </c>
      <c r="D195" s="24" t="n">
        <v>164</v>
      </c>
      <c r="E195" s="24" t="n">
        <v>0</v>
      </c>
      <c r="F195" s="24" t="n">
        <v>170</v>
      </c>
      <c r="G195" s="24" t="n">
        <v>200</v>
      </c>
      <c r="H195" s="24">
        <f>G195-F195</f>
        <v/>
      </c>
      <c r="I195" s="8">
        <f>IF(F195=0,0,G195/F195-1)</f>
        <v/>
      </c>
    </row>
    <row r="196">
      <c r="A196" s="6" t="inlineStr">
        <is>
          <t>1000.4100.1000.56100.950</t>
        </is>
      </c>
      <c r="B196" s="6" t="inlineStr">
        <is>
          <t>Instructional Supplies</t>
        </is>
      </c>
      <c r="C196" s="24" t="n">
        <v>237</v>
      </c>
      <c r="D196" s="24" t="n">
        <v>264</v>
      </c>
      <c r="E196" s="24" t="n">
        <v>223</v>
      </c>
      <c r="F196" s="24" t="n">
        <v>350</v>
      </c>
      <c r="G196" s="24" t="n">
        <v>350</v>
      </c>
      <c r="H196" s="24">
        <f>G196-F196</f>
        <v/>
      </c>
      <c r="I196" s="8">
        <f>IF(F196=0,0,G196/F196-1)</f>
        <v/>
      </c>
    </row>
    <row r="197">
      <c r="A197" s="14" t="n"/>
      <c r="B197" s="28" t="inlineStr">
        <is>
          <t>Program 4100 Total</t>
        </is>
      </c>
      <c r="C197" s="29">
        <f>SUM(C190:C196)</f>
        <v/>
      </c>
      <c r="D197" s="29">
        <f>SUM(D190:D196)</f>
        <v/>
      </c>
      <c r="E197" s="29">
        <f>SUM(E190:E196)</f>
        <v/>
      </c>
      <c r="F197" s="29">
        <f>SUM(F190:F196)</f>
        <v/>
      </c>
      <c r="G197" s="29">
        <f>SUM(G190:G196)</f>
        <v/>
      </c>
      <c r="H197" s="29">
        <f>SUM(H190:H196)</f>
        <v/>
      </c>
      <c r="I197" s="29">
        <f>SUM(I190:I196)</f>
        <v/>
      </c>
    </row>
    <row r="198">
      <c r="A198" s="6" t="inlineStr">
        <is>
          <t>1000.4900.1000.51010.950</t>
        </is>
      </c>
      <c r="B198" s="6" t="inlineStr">
        <is>
          <t>Teacher Salaries</t>
        </is>
      </c>
      <c r="C198" s="24" t="n">
        <v>121383</v>
      </c>
      <c r="D198" s="24" t="n">
        <v>126718</v>
      </c>
      <c r="E198" s="24" t="n">
        <v>179842</v>
      </c>
      <c r="F198" s="24" t="n">
        <v>190080</v>
      </c>
      <c r="G198" s="24" t="n">
        <v>206642</v>
      </c>
      <c r="H198" s="24">
        <f>G198-F198</f>
        <v/>
      </c>
      <c r="I198" s="8">
        <f>IF(F198=0,0,G198/F198-1)</f>
        <v/>
      </c>
    </row>
    <row r="199">
      <c r="A199" s="6" t="inlineStr">
        <is>
          <t>1000.4900.1000.51500.950</t>
        </is>
      </c>
      <c r="B199" s="6" t="inlineStr">
        <is>
          <t>Stipends</t>
        </is>
      </c>
      <c r="C199" s="24" t="n">
        <v>5000</v>
      </c>
      <c r="D199" s="24" t="n">
        <v>3000</v>
      </c>
      <c r="E199" s="24" t="n">
        <v>3209</v>
      </c>
      <c r="F199" s="24" t="n">
        <v>15444</v>
      </c>
      <c r="G199" s="24" t="n">
        <v>15444</v>
      </c>
      <c r="H199" s="24">
        <f>G199-F199</f>
        <v/>
      </c>
      <c r="I199" s="8">
        <f>IF(F199=0,0,G199/F199-1)</f>
        <v/>
      </c>
    </row>
    <row r="200">
      <c r="A200" s="6" t="inlineStr">
        <is>
          <t>1000.4900.1000.52000.950</t>
        </is>
      </c>
      <c r="B200" s="6" t="inlineStr">
        <is>
          <t>Stipends</t>
        </is>
      </c>
      <c r="C200" s="24" t="n">
        <v>29</v>
      </c>
      <c r="D200" s="24" t="n">
        <v>15</v>
      </c>
      <c r="E200" s="24" t="n">
        <v>0</v>
      </c>
      <c r="F200" s="24" t="n">
        <v>772</v>
      </c>
      <c r="G200" s="24" t="n">
        <v>772</v>
      </c>
      <c r="H200" s="24">
        <f>G200-F200</f>
        <v/>
      </c>
      <c r="I200" s="8">
        <f>IF(F200=0,0,G200/F200-1)</f>
        <v/>
      </c>
    </row>
    <row r="201">
      <c r="A201" s="6" t="inlineStr">
        <is>
          <t>1000.4900.1000.52010.950</t>
        </is>
      </c>
      <c r="B201" s="6" t="inlineStr">
        <is>
          <t>Teacher Benefits</t>
        </is>
      </c>
      <c r="C201" s="24" t="n">
        <v>29628</v>
      </c>
      <c r="D201" s="24" t="n">
        <v>29457</v>
      </c>
      <c r="E201" s="24" t="n">
        <v>4116</v>
      </c>
      <c r="F201" s="24" t="n">
        <v>27500</v>
      </c>
      <c r="G201" s="24" t="n">
        <v>32865</v>
      </c>
      <c r="H201" s="24">
        <f>G201-F201</f>
        <v/>
      </c>
      <c r="I201" s="8">
        <f>IF(F201=0,0,G201/F201-1)</f>
        <v/>
      </c>
    </row>
    <row r="202">
      <c r="A202" s="6" t="inlineStr">
        <is>
          <t>1000.4900.1000.52300.950</t>
        </is>
      </c>
      <c r="B202" s="6" t="inlineStr">
        <is>
          <t>Retirement</t>
        </is>
      </c>
      <c r="C202" s="24" t="n">
        <v>0</v>
      </c>
      <c r="D202" s="24" t="n">
        <v>0</v>
      </c>
      <c r="E202" s="24" t="n">
        <v>0</v>
      </c>
      <c r="F202" s="24" t="n">
        <v>642</v>
      </c>
      <c r="G202" s="24" t="n">
        <v>642</v>
      </c>
      <c r="H202" s="24">
        <f>G202-F202</f>
        <v/>
      </c>
      <c r="I202" s="8">
        <f>IF(F202=0,0,G202/F202-1)</f>
        <v/>
      </c>
    </row>
    <row r="203">
      <c r="A203" s="6" t="inlineStr">
        <is>
          <t>1000.4900.1000.52310.950</t>
        </is>
      </c>
      <c r="B203" s="6" t="inlineStr">
        <is>
          <t>Retirement</t>
        </is>
      </c>
      <c r="C203" s="24" t="n">
        <v>5243</v>
      </c>
      <c r="D203" s="24" t="n">
        <v>5580</v>
      </c>
      <c r="E203" s="24" t="n">
        <v>1388</v>
      </c>
      <c r="F203" s="24" t="n">
        <v>8166</v>
      </c>
      <c r="G203" s="24" t="n">
        <v>8596</v>
      </c>
      <c r="H203" s="24">
        <f>G203-F203</f>
        <v/>
      </c>
      <c r="I203" s="8">
        <f>IF(F203=0,0,G203/F203-1)</f>
        <v/>
      </c>
    </row>
    <row r="204">
      <c r="A204" s="6" t="inlineStr">
        <is>
          <t>1000.4900.1000.53000.950</t>
        </is>
      </c>
      <c r="B204" s="6" t="inlineStr">
        <is>
          <t>Purchased Professional Services</t>
        </is>
      </c>
      <c r="C204" s="24" t="n">
        <v>0</v>
      </c>
      <c r="D204" s="24" t="n">
        <v>0</v>
      </c>
      <c r="E204" s="24" t="n">
        <v>1822</v>
      </c>
      <c r="F204" s="24" t="n">
        <v>3867</v>
      </c>
      <c r="G204" s="24" t="n">
        <v>4515</v>
      </c>
      <c r="H204" s="24">
        <f>G204-F204</f>
        <v/>
      </c>
      <c r="I204" s="8">
        <f>IF(F204=0,0,G204/F204-1)</f>
        <v/>
      </c>
    </row>
    <row r="205">
      <c r="A205" s="6" t="inlineStr">
        <is>
          <t>1000.4900.1000.53400.950</t>
        </is>
      </c>
      <c r="B205" s="6" t="inlineStr">
        <is>
          <t>Professional Services Testing</t>
        </is>
      </c>
      <c r="C205" s="24" t="n">
        <v>177</v>
      </c>
      <c r="D205" s="24" t="n">
        <v>1404</v>
      </c>
      <c r="E205" s="24" t="n">
        <v>0</v>
      </c>
      <c r="F205" s="24" t="n">
        <v>0</v>
      </c>
      <c r="G205" s="24" t="n">
        <v>0</v>
      </c>
      <c r="H205" s="24">
        <f>G205-F205</f>
        <v/>
      </c>
      <c r="I205" s="8">
        <f>IF(F205=0,0,G205/F205-1)</f>
        <v/>
      </c>
    </row>
    <row r="206">
      <c r="A206" s="6" t="inlineStr">
        <is>
          <t>1000.4900.1000.53440.950</t>
        </is>
      </c>
      <c r="B206" s="6" t="inlineStr">
        <is>
          <t>GaTE K-8 Professional Servies</t>
        </is>
      </c>
      <c r="C206" s="24" t="n">
        <v>4107</v>
      </c>
      <c r="D206" s="24" t="n">
        <v>1410</v>
      </c>
      <c r="E206" s="24" t="n">
        <v>316</v>
      </c>
      <c r="F206" s="24" t="n">
        <v>0</v>
      </c>
      <c r="G206" s="24" t="n">
        <v>0</v>
      </c>
      <c r="H206" s="24">
        <f>G206-F206</f>
        <v/>
      </c>
      <c r="I206" s="8">
        <f>IF(F206=0,0,G206/F206-1)</f>
        <v/>
      </c>
    </row>
    <row r="207">
      <c r="A207" s="6" t="inlineStr">
        <is>
          <t>1000.4900.1000.55800.950</t>
        </is>
      </c>
      <c r="B207" s="6" t="inlineStr">
        <is>
          <t>Travel</t>
        </is>
      </c>
      <c r="C207" s="24" t="n">
        <v>431</v>
      </c>
      <c r="D207" s="24" t="n">
        <v>448</v>
      </c>
      <c r="E207" s="24" t="n">
        <v>0</v>
      </c>
      <c r="F207" s="24" t="n">
        <v>908</v>
      </c>
      <c r="G207" s="24" t="n">
        <v>908</v>
      </c>
      <c r="H207" s="24">
        <f>G207-F207</f>
        <v/>
      </c>
      <c r="I207" s="8">
        <f>IF(F207=0,0,G207/F207-1)</f>
        <v/>
      </c>
    </row>
    <row r="208">
      <c r="A208" s="6" t="inlineStr">
        <is>
          <t>1000.4900.1000.56100.950</t>
        </is>
      </c>
      <c r="B208" s="6" t="inlineStr">
        <is>
          <t>GaTE K-8 Instructional Supplies</t>
        </is>
      </c>
      <c r="C208" s="24" t="n">
        <v>1223</v>
      </c>
      <c r="D208" s="24" t="n">
        <v>1780</v>
      </c>
      <c r="E208" s="24" t="n">
        <v>1147</v>
      </c>
      <c r="F208" s="24" t="n">
        <v>4292</v>
      </c>
      <c r="G208" s="24" t="n">
        <v>3836</v>
      </c>
      <c r="H208" s="24">
        <f>G208-F208</f>
        <v/>
      </c>
      <c r="I208" s="8">
        <f>IF(F208=0,0,G208/F208-1)</f>
        <v/>
      </c>
    </row>
    <row r="209">
      <c r="A209" s="6" t="inlineStr">
        <is>
          <t>1000.4900.1000.56400.950</t>
        </is>
      </c>
      <c r="B209" s="6" t="inlineStr">
        <is>
          <t>GaTE K-8 Books</t>
        </is>
      </c>
      <c r="C209" s="24" t="n">
        <v>711</v>
      </c>
      <c r="D209" s="24" t="n">
        <v>495</v>
      </c>
      <c r="E209" s="24" t="n">
        <v>447</v>
      </c>
      <c r="F209" s="24" t="n">
        <v>1200</v>
      </c>
      <c r="G209" s="24" t="n">
        <v>1200</v>
      </c>
      <c r="H209" s="24">
        <f>G209-F209</f>
        <v/>
      </c>
      <c r="I209" s="8">
        <f>IF(F209=0,0,G209/F209-1)</f>
        <v/>
      </c>
    </row>
    <row r="210">
      <c r="A210" s="6" t="inlineStr">
        <is>
          <t>1000.4900.1000.58100.950</t>
        </is>
      </c>
      <c r="B210" s="6" t="inlineStr">
        <is>
          <t>Dues and Fees</t>
        </is>
      </c>
      <c r="C210" s="24" t="n">
        <v>0</v>
      </c>
      <c r="D210" s="24" t="n">
        <v>0</v>
      </c>
      <c r="E210" s="24" t="n">
        <v>0</v>
      </c>
      <c r="F210" s="24" t="n">
        <v>2752</v>
      </c>
      <c r="G210" s="24" t="n">
        <v>3352</v>
      </c>
      <c r="H210" s="24">
        <f>G210-F210</f>
        <v/>
      </c>
      <c r="I210" s="8">
        <f>IF(F210=0,0,G210/F210-1)</f>
        <v/>
      </c>
    </row>
    <row r="211">
      <c r="A211" s="14" t="n"/>
      <c r="B211" s="28" t="inlineStr">
        <is>
          <t>Program 4900 Total</t>
        </is>
      </c>
      <c r="C211" s="29">
        <f>SUM(C198:C210)</f>
        <v/>
      </c>
      <c r="D211" s="29">
        <f>SUM(D198:D210)</f>
        <v/>
      </c>
      <c r="E211" s="29">
        <f>SUM(E198:E210)</f>
        <v/>
      </c>
      <c r="F211" s="29">
        <f>SUM(F198:F210)</f>
        <v/>
      </c>
      <c r="G211" s="29">
        <f>SUM(G198:G210)</f>
        <v/>
      </c>
      <c r="H211" s="29">
        <f>SUM(H198:H210)</f>
        <v/>
      </c>
      <c r="I211" s="29">
        <f>SUM(I198:I210)</f>
        <v/>
      </c>
    </row>
    <row r="212">
      <c r="A212" s="14" t="n"/>
      <c r="B212" s="30" t="inlineStr">
        <is>
          <t>Function 1000 Total</t>
        </is>
      </c>
      <c r="C212" s="31">
        <f>C197+C211</f>
        <v/>
      </c>
      <c r="D212" s="31">
        <f>D197+D211</f>
        <v/>
      </c>
      <c r="E212" s="31">
        <f>E197+E211</f>
        <v/>
      </c>
      <c r="F212" s="31">
        <f>F197+F211</f>
        <v/>
      </c>
      <c r="G212" s="31">
        <f>G197+G211</f>
        <v/>
      </c>
      <c r="H212" s="31">
        <f>H197+H211</f>
        <v/>
      </c>
      <c r="I212" s="31">
        <f>I197+I211</f>
        <v/>
      </c>
    </row>
    <row r="213">
      <c r="A213" s="14" t="n"/>
      <c r="B213" s="17" t="inlineStr">
        <is>
          <t>Cost Center ('950',) Total</t>
        </is>
      </c>
      <c r="C213" s="32">
        <f>C212</f>
        <v/>
      </c>
      <c r="D213" s="32">
        <f>D212</f>
        <v/>
      </c>
      <c r="E213" s="32">
        <f>E212</f>
        <v/>
      </c>
      <c r="F213" s="32">
        <f>F212</f>
        <v/>
      </c>
      <c r="G213" s="32">
        <f>G212</f>
        <v/>
      </c>
      <c r="H213" s="32">
        <f>H212</f>
        <v/>
      </c>
      <c r="I213" s="32">
        <f>I212</f>
        <v/>
      </c>
    </row>
    <row r="215">
      <c r="A215" s="3" t="inlineStr">
        <is>
          <t>Cost Center: ('990',)</t>
        </is>
      </c>
    </row>
    <row r="216">
      <c r="A216" s="6" t="inlineStr">
        <is>
          <t>1000.4100.1000.51010.990</t>
        </is>
      </c>
      <c r="B216" s="6" t="inlineStr">
        <is>
          <t>Teacher Salaries</t>
        </is>
      </c>
      <c r="C216" s="24" t="n">
        <v>11980</v>
      </c>
      <c r="D216" s="24" t="n">
        <v>12707</v>
      </c>
      <c r="E216" s="24" t="n">
        <v>7108</v>
      </c>
      <c r="F216" s="24" t="n">
        <v>7932</v>
      </c>
      <c r="G216" s="24" t="n">
        <v>15821</v>
      </c>
      <c r="H216" s="24">
        <f>G216-F216</f>
        <v/>
      </c>
      <c r="I216" s="8">
        <f>IF(F216=0,0,G216/F216-1)</f>
        <v/>
      </c>
    </row>
    <row r="217">
      <c r="A217" s="6" t="inlineStr">
        <is>
          <t>1000.4100.1000.52010.990</t>
        </is>
      </c>
      <c r="B217" s="6" t="inlineStr">
        <is>
          <t>Teacher Benefits</t>
        </is>
      </c>
      <c r="C217" s="24" t="n">
        <v>2006</v>
      </c>
      <c r="D217" s="24" t="n">
        <v>1940</v>
      </c>
      <c r="E217" s="24" t="n">
        <v>322</v>
      </c>
      <c r="F217" s="24" t="n">
        <v>150</v>
      </c>
      <c r="G217" s="24" t="n">
        <v>1158</v>
      </c>
      <c r="H217" s="24">
        <f>G217-F217</f>
        <v/>
      </c>
      <c r="I217" s="8">
        <f>IF(F217=0,0,G217/F217-1)</f>
        <v/>
      </c>
    </row>
    <row r="218">
      <c r="A218" s="6" t="inlineStr">
        <is>
          <t>1000.4100.1000.52310.990</t>
        </is>
      </c>
      <c r="B218" s="6" t="inlineStr">
        <is>
          <t>Retirement</t>
        </is>
      </c>
      <c r="C218" s="24" t="n">
        <v>479</v>
      </c>
      <c r="D218" s="24" t="n">
        <v>529</v>
      </c>
      <c r="E218" s="24" t="n">
        <v>105</v>
      </c>
      <c r="F218" s="24" t="n">
        <v>330</v>
      </c>
      <c r="G218" s="24" t="n">
        <v>658</v>
      </c>
      <c r="H218" s="24">
        <f>G218-F218</f>
        <v/>
      </c>
      <c r="I218" s="8">
        <f>IF(F218=0,0,G218/F218-1)</f>
        <v/>
      </c>
    </row>
    <row r="219">
      <c r="A219" s="6" t="inlineStr">
        <is>
          <t>1000.4100.1000.53000.990</t>
        </is>
      </c>
      <c r="B219" s="6" t="inlineStr">
        <is>
          <t>Purchased Professional Services</t>
        </is>
      </c>
      <c r="C219" s="24" t="n">
        <v>0</v>
      </c>
      <c r="D219" s="24" t="n">
        <v>0</v>
      </c>
      <c r="E219" s="24" t="n">
        <v>0</v>
      </c>
      <c r="F219" s="24" t="n">
        <v>200</v>
      </c>
      <c r="G219" s="24" t="n">
        <v>200</v>
      </c>
      <c r="H219" s="24">
        <f>G219-F219</f>
        <v/>
      </c>
      <c r="I219" s="8">
        <f>IF(F219=0,0,G219/F219-1)</f>
        <v/>
      </c>
    </row>
    <row r="220">
      <c r="A220" s="6" t="inlineStr">
        <is>
          <t>1000.4100.1000.53400.990</t>
        </is>
      </c>
      <c r="B220" s="6" t="inlineStr">
        <is>
          <t>Professional Services</t>
        </is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250</v>
      </c>
      <c r="H220" s="24">
        <f>G220-F220</f>
        <v/>
      </c>
      <c r="I220" s="8">
        <f>IF(F220=0,0,G220/F220-1)</f>
        <v/>
      </c>
    </row>
    <row r="221">
      <c r="A221" s="6" t="inlineStr">
        <is>
          <t>1000.4100.1000.55800.990</t>
        </is>
      </c>
      <c r="B221" s="6" t="inlineStr">
        <is>
          <t>Travel-Other</t>
        </is>
      </c>
      <c r="C221" s="24" t="n">
        <v>140</v>
      </c>
      <c r="D221" s="24" t="n">
        <v>30</v>
      </c>
      <c r="E221" s="24" t="n">
        <v>0</v>
      </c>
      <c r="F221" s="24" t="n">
        <v>140</v>
      </c>
      <c r="G221" s="24" t="n">
        <v>200</v>
      </c>
      <c r="H221" s="24">
        <f>G221-F221</f>
        <v/>
      </c>
      <c r="I221" s="8">
        <f>IF(F221=0,0,G221/F221-1)</f>
        <v/>
      </c>
    </row>
    <row r="222">
      <c r="A222" s="6" t="inlineStr">
        <is>
          <t>1000.4100.1000.56100.990</t>
        </is>
      </c>
      <c r="B222" s="6" t="inlineStr">
        <is>
          <t>Instructional Supplies</t>
        </is>
      </c>
      <c r="C222" s="24" t="n">
        <v>0</v>
      </c>
      <c r="D222" s="24" t="n">
        <v>590</v>
      </c>
      <c r="E222" s="24" t="n">
        <v>0</v>
      </c>
      <c r="F222" s="24" t="n">
        <v>400</v>
      </c>
      <c r="G222" s="24" t="n">
        <v>350</v>
      </c>
      <c r="H222" s="24">
        <f>G222-F222</f>
        <v/>
      </c>
      <c r="I222" s="8">
        <f>IF(F222=0,0,G222/F222-1)</f>
        <v/>
      </c>
    </row>
    <row r="223">
      <c r="A223" s="14" t="n"/>
      <c r="B223" s="28" t="inlineStr">
        <is>
          <t>Program 4100 Total</t>
        </is>
      </c>
      <c r="C223" s="29">
        <f>SUM(C216:C222)</f>
        <v/>
      </c>
      <c r="D223" s="29">
        <f>SUM(D216:D222)</f>
        <v/>
      </c>
      <c r="E223" s="29">
        <f>SUM(E216:E222)</f>
        <v/>
      </c>
      <c r="F223" s="29">
        <f>SUM(F216:F222)</f>
        <v/>
      </c>
      <c r="G223" s="29">
        <f>SUM(G216:G222)</f>
        <v/>
      </c>
      <c r="H223" s="29">
        <f>SUM(H216:H222)</f>
        <v/>
      </c>
      <c r="I223" s="29">
        <f>SUM(I216:I222)</f>
        <v/>
      </c>
    </row>
    <row r="224">
      <c r="A224" s="6" t="inlineStr">
        <is>
          <t>1000.4900.1000.51010.990</t>
        </is>
      </c>
      <c r="B224" s="6" t="inlineStr">
        <is>
          <t>Teacher Salaries</t>
        </is>
      </c>
      <c r="C224" s="24" t="n">
        <v>48485</v>
      </c>
      <c r="D224" s="24" t="n">
        <v>55635</v>
      </c>
      <c r="E224" s="24" t="n">
        <v>4842</v>
      </c>
      <c r="F224" s="24" t="n">
        <v>10688</v>
      </c>
      <c r="G224" s="24" t="n">
        <v>8520</v>
      </c>
      <c r="H224" s="24">
        <f>G224-F224</f>
        <v/>
      </c>
      <c r="I224" s="8">
        <f>IF(F224=0,0,G224/F224-1)</f>
        <v/>
      </c>
    </row>
    <row r="225">
      <c r="A225" s="6" t="inlineStr">
        <is>
          <t>1000.4900.1000.51500.990</t>
        </is>
      </c>
      <c r="B225" s="6" t="inlineStr">
        <is>
          <t>Stipends</t>
        </is>
      </c>
      <c r="C225" s="24" t="n">
        <v>0</v>
      </c>
      <c r="D225" s="24" t="n">
        <v>0</v>
      </c>
      <c r="E225" s="24" t="n">
        <v>0</v>
      </c>
      <c r="F225" s="24" t="n">
        <v>300</v>
      </c>
      <c r="G225" s="24" t="n">
        <v>300</v>
      </c>
      <c r="H225" s="24">
        <f>G225-F225</f>
        <v/>
      </c>
      <c r="I225" s="8">
        <f>IF(F225=0,0,G225/F225-1)</f>
        <v/>
      </c>
    </row>
    <row r="226">
      <c r="A226" s="6" t="inlineStr">
        <is>
          <t>1000.4900.1000.52000.990</t>
        </is>
      </c>
      <c r="B226" s="6" t="inlineStr">
        <is>
          <t>Stipends</t>
        </is>
      </c>
      <c r="C226" s="24" t="n">
        <v>0</v>
      </c>
      <c r="D226" s="24" t="n">
        <v>0</v>
      </c>
      <c r="E226" s="24" t="n">
        <v>0</v>
      </c>
      <c r="F226" s="24" t="n">
        <v>15</v>
      </c>
      <c r="G226" s="24" t="n">
        <v>0</v>
      </c>
      <c r="H226" s="24">
        <f>G226-F226</f>
        <v/>
      </c>
      <c r="I226" s="8">
        <f>IF(F226=0,0,G226/F226-1)</f>
        <v/>
      </c>
    </row>
    <row r="227">
      <c r="A227" s="6" t="inlineStr">
        <is>
          <t>1000.4900.1000.52010.990</t>
        </is>
      </c>
      <c r="B227" s="6" t="inlineStr">
        <is>
          <t>Teacher Benefits</t>
        </is>
      </c>
      <c r="C227" s="24" t="n">
        <v>20973</v>
      </c>
      <c r="D227" s="24" t="n">
        <v>21107</v>
      </c>
      <c r="E227" s="24" t="n">
        <v>52</v>
      </c>
      <c r="F227" s="24" t="n">
        <v>3173</v>
      </c>
      <c r="G227" s="24" t="n">
        <v>3174</v>
      </c>
      <c r="H227" s="24">
        <f>G227-F227</f>
        <v/>
      </c>
      <c r="I227" s="8">
        <f>IF(F227=0,0,G227/F227-1)</f>
        <v/>
      </c>
    </row>
    <row r="228">
      <c r="A228" s="6" t="inlineStr">
        <is>
          <t>1000.4900.1000.52300.990</t>
        </is>
      </c>
      <c r="B228" s="6" t="inlineStr">
        <is>
          <t>Retirement</t>
        </is>
      </c>
      <c r="C228" s="24" t="n">
        <v>0</v>
      </c>
      <c r="D228" s="24" t="n">
        <v>0</v>
      </c>
      <c r="E228" s="24" t="n">
        <v>0</v>
      </c>
      <c r="F228" s="24" t="n">
        <v>12</v>
      </c>
      <c r="G228" s="24" t="n">
        <v>12</v>
      </c>
      <c r="H228" s="24">
        <f>G228-F228</f>
        <v/>
      </c>
      <c r="I228" s="8">
        <f>IF(F228=0,0,G228/F228-1)</f>
        <v/>
      </c>
    </row>
    <row r="229">
      <c r="A229" s="6" t="inlineStr">
        <is>
          <t>1000.4900.1000.52310.990</t>
        </is>
      </c>
      <c r="B229" s="6" t="inlineStr">
        <is>
          <t>Retirement</t>
        </is>
      </c>
      <c r="C229" s="24" t="n">
        <v>2017</v>
      </c>
      <c r="D229" s="24" t="n">
        <v>2318</v>
      </c>
      <c r="E229" s="24" t="n">
        <v>11</v>
      </c>
      <c r="F229" s="24" t="n">
        <v>1199</v>
      </c>
      <c r="G229" s="24" t="n">
        <v>354</v>
      </c>
      <c r="H229" s="24">
        <f>G229-F229</f>
        <v/>
      </c>
      <c r="I229" s="8">
        <f>IF(F229=0,0,G229/F229-1)</f>
        <v/>
      </c>
    </row>
    <row r="230">
      <c r="A230" s="6" t="inlineStr">
        <is>
          <t>1000.4900.1000.53000.990</t>
        </is>
      </c>
      <c r="B230" s="6" t="inlineStr">
        <is>
          <t>Purchase Professional Services</t>
        </is>
      </c>
      <c r="C230" s="24" t="n">
        <v>0</v>
      </c>
      <c r="D230" s="24" t="n">
        <v>0</v>
      </c>
      <c r="E230" s="24" t="n">
        <v>0</v>
      </c>
      <c r="F230" s="24" t="n">
        <v>345</v>
      </c>
      <c r="G230" s="24" t="n">
        <v>0</v>
      </c>
      <c r="H230" s="24">
        <f>G230-F230</f>
        <v/>
      </c>
      <c r="I230" s="8">
        <f>IF(F230=0,0,G230/F230-1)</f>
        <v/>
      </c>
    </row>
    <row r="231">
      <c r="A231" s="6" t="inlineStr">
        <is>
          <t>1000.4900.1000.53440.990</t>
        </is>
      </c>
      <c r="B231" s="6" t="inlineStr">
        <is>
          <t>GaTE HS Professional Services</t>
        </is>
      </c>
      <c r="C231" s="24" t="n">
        <v>2990</v>
      </c>
      <c r="D231" s="24" t="n">
        <v>2407</v>
      </c>
      <c r="E231" s="24" t="n">
        <v>1099</v>
      </c>
      <c r="F231" s="24" t="n">
        <v>9325</v>
      </c>
      <c r="G231" s="24" t="n">
        <v>9355</v>
      </c>
      <c r="H231" s="24">
        <f>G231-F231</f>
        <v/>
      </c>
      <c r="I231" s="8">
        <f>IF(F231=0,0,G231/F231-1)</f>
        <v/>
      </c>
    </row>
    <row r="232">
      <c r="A232" s="6" t="inlineStr">
        <is>
          <t>1000.4900.1000.55800.990</t>
        </is>
      </c>
      <c r="B232" s="6" t="inlineStr">
        <is>
          <t>Travel</t>
        </is>
      </c>
      <c r="C232" s="24" t="n">
        <v>293</v>
      </c>
      <c r="D232" s="24" t="n">
        <v>483</v>
      </c>
      <c r="E232" s="24" t="n">
        <v>0</v>
      </c>
      <c r="F232" s="24" t="n">
        <v>300</v>
      </c>
      <c r="G232" s="24" t="n">
        <v>0</v>
      </c>
      <c r="H232" s="24">
        <f>G232-F232</f>
        <v/>
      </c>
      <c r="I232" s="8">
        <f>IF(F232=0,0,G232/F232-1)</f>
        <v/>
      </c>
    </row>
    <row r="233">
      <c r="A233" s="6" t="inlineStr">
        <is>
          <t>1000.4900.1000.56100.990</t>
        </is>
      </c>
      <c r="B233" s="6" t="inlineStr">
        <is>
          <t>GaTE HS Instructional Supplies</t>
        </is>
      </c>
      <c r="C233" s="24" t="n">
        <v>0</v>
      </c>
      <c r="D233" s="24" t="n">
        <v>0</v>
      </c>
      <c r="E233" s="24" t="n">
        <v>0</v>
      </c>
      <c r="F233" s="24" t="n">
        <v>563</v>
      </c>
      <c r="G233" s="24" t="n">
        <v>463</v>
      </c>
      <c r="H233" s="24">
        <f>G233-F233</f>
        <v/>
      </c>
      <c r="I233" s="8">
        <f>IF(F233=0,0,G233/F233-1)</f>
        <v/>
      </c>
    </row>
    <row r="234">
      <c r="A234" s="14" t="n"/>
      <c r="B234" s="28" t="inlineStr">
        <is>
          <t>Program 4900 Total</t>
        </is>
      </c>
      <c r="C234" s="29">
        <f>SUM(C224:C233)</f>
        <v/>
      </c>
      <c r="D234" s="29">
        <f>SUM(D224:D233)</f>
        <v/>
      </c>
      <c r="E234" s="29">
        <f>SUM(E224:E233)</f>
        <v/>
      </c>
      <c r="F234" s="29">
        <f>SUM(F224:F233)</f>
        <v/>
      </c>
      <c r="G234" s="29">
        <f>SUM(G224:G233)</f>
        <v/>
      </c>
      <c r="H234" s="29">
        <f>SUM(H224:H233)</f>
        <v/>
      </c>
      <c r="I234" s="29">
        <f>SUM(I224:I233)</f>
        <v/>
      </c>
    </row>
    <row r="235">
      <c r="A235" s="14" t="n"/>
      <c r="B235" s="30" t="inlineStr">
        <is>
          <t>Function 1000 Total</t>
        </is>
      </c>
      <c r="C235" s="31">
        <f>C223+C234</f>
        <v/>
      </c>
      <c r="D235" s="31">
        <f>D223+D234</f>
        <v/>
      </c>
      <c r="E235" s="31">
        <f>E223+E234</f>
        <v/>
      </c>
      <c r="F235" s="31">
        <f>F223+F234</f>
        <v/>
      </c>
      <c r="G235" s="31">
        <f>G223+G234</f>
        <v/>
      </c>
      <c r="H235" s="31">
        <f>H223+H234</f>
        <v/>
      </c>
      <c r="I235" s="31">
        <f>I223+I234</f>
        <v/>
      </c>
    </row>
    <row r="236">
      <c r="A236" s="14" t="n"/>
      <c r="B236" s="17" t="inlineStr">
        <is>
          <t>Cost Center ('990',) Total</t>
        </is>
      </c>
      <c r="C236" s="32">
        <f>C235</f>
        <v/>
      </c>
      <c r="D236" s="32">
        <f>D235</f>
        <v/>
      </c>
      <c r="E236" s="32">
        <f>E235</f>
        <v/>
      </c>
      <c r="F236" s="32">
        <f>F235</f>
        <v/>
      </c>
      <c r="G236" s="32">
        <f>G235</f>
        <v/>
      </c>
      <c r="H236" s="32">
        <f>H235</f>
        <v/>
      </c>
      <c r="I236" s="32">
        <f>I235</f>
        <v/>
      </c>
    </row>
    <row r="238">
      <c r="A238" s="14" t="n"/>
      <c r="B238" s="33" t="inlineStr">
        <is>
          <t>ARTICLE 1 TOTAL</t>
        </is>
      </c>
      <c r="C238" s="34">
        <f>C37+C68+C102+C126+C153+C181+C187+C213+C236</f>
        <v/>
      </c>
      <c r="D238" s="34">
        <f>D37+D68+D102+D126+D153+D181+D187+D213+D236</f>
        <v/>
      </c>
      <c r="E238" s="34">
        <f>E37+E68+E102+E126+E153+E181+E187+E213+E236</f>
        <v/>
      </c>
      <c r="F238" s="34">
        <f>F37+F68+F102+F126+F153+F181+F187+F213+F236</f>
        <v/>
      </c>
      <c r="G238" s="34">
        <f>G37+G68+G102+G126+G153+G181+G187+G213+G236</f>
        <v/>
      </c>
      <c r="H238" s="34">
        <f>H37+H68+H102+H126+H153+H181+H187+H213+H236</f>
        <v/>
      </c>
      <c r="I238" s="34">
        <f>I37+I68+I102+I126+I153+I181+I187+I213+I236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1000.2200.1000.51010.010</t>
        </is>
      </c>
      <c r="B7" s="6" t="inlineStr">
        <is>
          <t>Teacher Salaries</t>
        </is>
      </c>
      <c r="C7" s="24" t="n">
        <v>152481</v>
      </c>
      <c r="D7" s="24" t="n">
        <v>141049</v>
      </c>
      <c r="E7" s="24" t="n">
        <v>197594</v>
      </c>
      <c r="F7" s="24" t="n">
        <v>248107</v>
      </c>
      <c r="G7" s="24" t="n">
        <v>232037</v>
      </c>
      <c r="H7" s="24">
        <f>G7-F7</f>
        <v/>
      </c>
      <c r="I7" s="8">
        <f>IF(F7=0,0,G7/F7-1)</f>
        <v/>
      </c>
    </row>
    <row r="8">
      <c r="A8" s="6" t="inlineStr">
        <is>
          <t>1000.2200.1000.51020.010</t>
        </is>
      </c>
      <c r="B8" s="6" t="inlineStr">
        <is>
          <t>Ed Tech Salaries</t>
        </is>
      </c>
      <c r="C8" s="24" t="n">
        <v>61755</v>
      </c>
      <c r="D8" s="24" t="n">
        <v>71662</v>
      </c>
      <c r="E8" s="24" t="n">
        <v>126067</v>
      </c>
      <c r="F8" s="24" t="n">
        <v>191123</v>
      </c>
      <c r="G8" s="24" t="n">
        <v>150192</v>
      </c>
      <c r="H8" s="24">
        <f>G8-F8</f>
        <v/>
      </c>
      <c r="I8" s="8">
        <f>IF(F8=0,0,G8/F8-1)</f>
        <v/>
      </c>
    </row>
    <row r="9">
      <c r="A9" s="6" t="inlineStr">
        <is>
          <t>1000.2200.1000.52010.010</t>
        </is>
      </c>
      <c r="B9" s="6" t="inlineStr">
        <is>
          <t>Teacher Benefits</t>
        </is>
      </c>
      <c r="C9" s="24" t="n">
        <v>41149</v>
      </c>
      <c r="D9" s="24" t="n">
        <v>36075</v>
      </c>
      <c r="E9" s="24" t="n">
        <v>14909</v>
      </c>
      <c r="F9" s="24" t="n">
        <v>75024</v>
      </c>
      <c r="G9" s="24" t="n">
        <v>48020</v>
      </c>
      <c r="H9" s="24">
        <f>G9-F9</f>
        <v/>
      </c>
      <c r="I9" s="8">
        <f>IF(F9=0,0,G9/F9-1)</f>
        <v/>
      </c>
    </row>
    <row r="10">
      <c r="A10" s="6" t="inlineStr">
        <is>
          <t>1000.2200.1000.52020.010</t>
        </is>
      </c>
      <c r="B10" s="6" t="inlineStr">
        <is>
          <t>Ed Tech Benefits</t>
        </is>
      </c>
      <c r="C10" s="24" t="n">
        <v>22142</v>
      </c>
      <c r="D10" s="24" t="n">
        <v>28739</v>
      </c>
      <c r="E10" s="24" t="n">
        <v>8520</v>
      </c>
      <c r="F10" s="24" t="n">
        <v>2776</v>
      </c>
      <c r="G10" s="24" t="n">
        <v>54442</v>
      </c>
      <c r="H10" s="24">
        <f>G10-F10</f>
        <v/>
      </c>
      <c r="I10" s="8">
        <f>IF(F10=0,0,G10/F10-1)</f>
        <v/>
      </c>
    </row>
    <row r="11">
      <c r="A11" s="6" t="inlineStr">
        <is>
          <t>1000.2200.1000.52310.010</t>
        </is>
      </c>
      <c r="B11" s="6" t="inlineStr">
        <is>
          <t>Retirement</t>
        </is>
      </c>
      <c r="C11" s="24" t="n">
        <v>6175</v>
      </c>
      <c r="D11" s="24" t="n">
        <v>6020</v>
      </c>
      <c r="E11" s="24" t="n">
        <v>1809</v>
      </c>
      <c r="F11" s="24" t="n">
        <v>10640</v>
      </c>
      <c r="G11" s="24" t="n">
        <v>10124</v>
      </c>
      <c r="H11" s="24">
        <f>G11-F11</f>
        <v/>
      </c>
      <c r="I11" s="8">
        <f>IF(F11=0,0,G11/F11-1)</f>
        <v/>
      </c>
    </row>
    <row r="12">
      <c r="A12" s="6" t="inlineStr">
        <is>
          <t>1000.2200.1000.52320.010</t>
        </is>
      </c>
      <c r="B12" s="6" t="inlineStr">
        <is>
          <t>Retirement</t>
        </is>
      </c>
      <c r="C12" s="24" t="n">
        <v>2434</v>
      </c>
      <c r="D12" s="24" t="n">
        <v>3069</v>
      </c>
      <c r="E12" s="24" t="n">
        <v>993</v>
      </c>
      <c r="F12" s="24" t="n">
        <v>6535</v>
      </c>
      <c r="G12" s="24" t="n">
        <v>6247</v>
      </c>
      <c r="H12" s="24">
        <f>G12-F12</f>
        <v/>
      </c>
      <c r="I12" s="8">
        <f>IF(F12=0,0,G12/F12-1)</f>
        <v/>
      </c>
    </row>
    <row r="13">
      <c r="A13" s="14" t="n"/>
      <c r="B13" s="28" t="inlineStr">
        <is>
          <t>Program 2200 Total</t>
        </is>
      </c>
      <c r="C13" s="29">
        <f>SUM(C7:C12)</f>
        <v/>
      </c>
      <c r="D13" s="29">
        <f>SUM(D7:D12)</f>
        <v/>
      </c>
      <c r="E13" s="29">
        <f>SUM(E7:E12)</f>
        <v/>
      </c>
      <c r="F13" s="29">
        <f>SUM(F7:F12)</f>
        <v/>
      </c>
      <c r="G13" s="29">
        <f>SUM(G7:G12)</f>
        <v/>
      </c>
      <c r="H13" s="29">
        <f>SUM(H7:H12)</f>
        <v/>
      </c>
      <c r="I13" s="29">
        <f>SUM(I7:I12)</f>
        <v/>
      </c>
    </row>
    <row r="14">
      <c r="A14" s="6" t="inlineStr">
        <is>
          <t>1000.2300.1000.51010.010</t>
        </is>
      </c>
      <c r="B14" s="6" t="inlineStr">
        <is>
          <t>Teacher Salaries</t>
        </is>
      </c>
      <c r="C14" s="24" t="n">
        <v>48528</v>
      </c>
      <c r="D14" s="24" t="n">
        <v>51548</v>
      </c>
      <c r="E14" s="24" t="n">
        <v>56840</v>
      </c>
      <c r="F14" s="24" t="n">
        <v>0</v>
      </c>
      <c r="G14" s="24" t="n">
        <v>49737</v>
      </c>
      <c r="H14" s="24">
        <f>G14-F14</f>
        <v/>
      </c>
      <c r="I14" s="8">
        <f>IF(F14=0,0,G14/F14-1)</f>
        <v/>
      </c>
    </row>
    <row r="15">
      <c r="A15" s="6" t="inlineStr">
        <is>
          <t>1000.2300.1000.51020.010</t>
        </is>
      </c>
      <c r="B15" s="6" t="inlineStr">
        <is>
          <t>Ed Tech Salaries</t>
        </is>
      </c>
      <c r="C15" s="24" t="n">
        <v>103881</v>
      </c>
      <c r="D15" s="24" t="n">
        <v>92140</v>
      </c>
      <c r="E15" s="24" t="n">
        <v>123583</v>
      </c>
      <c r="F15" s="24" t="n">
        <v>150893</v>
      </c>
      <c r="G15" s="24" t="n">
        <v>107718</v>
      </c>
      <c r="H15" s="24">
        <f>G15-F15</f>
        <v/>
      </c>
      <c r="I15" s="8">
        <f>IF(F15=0,0,G15/F15-1)</f>
        <v/>
      </c>
    </row>
    <row r="16">
      <c r="A16" s="6" t="inlineStr">
        <is>
          <t>1000.2300.1000.52010.010</t>
        </is>
      </c>
      <c r="B16" s="6" t="inlineStr">
        <is>
          <t>Teacher Benefits</t>
        </is>
      </c>
      <c r="C16" s="24" t="n">
        <v>14751</v>
      </c>
      <c r="D16" s="24" t="n">
        <v>14687</v>
      </c>
      <c r="E16" s="24" t="n">
        <v>3290</v>
      </c>
      <c r="F16" s="24" t="n">
        <v>0</v>
      </c>
      <c r="G16" s="24" t="n">
        <v>21391</v>
      </c>
      <c r="H16" s="24">
        <f>G16-F16</f>
        <v/>
      </c>
      <c r="I16" s="8">
        <f>IF(F16=0,0,G16/F16-1)</f>
        <v/>
      </c>
    </row>
    <row r="17">
      <c r="A17" s="6" t="inlineStr">
        <is>
          <t>1000.2300.1000.52020.010</t>
        </is>
      </c>
      <c r="B17" s="6" t="inlineStr">
        <is>
          <t>Ed Tech Benefits</t>
        </is>
      </c>
      <c r="C17" s="24" t="n">
        <v>25998</v>
      </c>
      <c r="D17" s="24" t="n">
        <v>26831</v>
      </c>
      <c r="E17" s="24" t="n">
        <v>23539</v>
      </c>
      <c r="F17" s="24" t="n">
        <v>27805</v>
      </c>
      <c r="G17" s="24" t="n">
        <v>43743</v>
      </c>
      <c r="H17" s="24">
        <f>G17-F17</f>
        <v/>
      </c>
      <c r="I17" s="8">
        <f>IF(F17=0,0,G17/F17-1)</f>
        <v/>
      </c>
    </row>
    <row r="18">
      <c r="A18" s="6" t="inlineStr">
        <is>
          <t>1000.2300.1000.52310.010</t>
        </is>
      </c>
      <c r="B18" s="6" t="inlineStr">
        <is>
          <t>Retirement</t>
        </is>
      </c>
      <c r="C18" s="24" t="n">
        <v>1941</v>
      </c>
      <c r="D18" s="24" t="n">
        <v>2196</v>
      </c>
      <c r="E18" s="24" t="n">
        <v>522</v>
      </c>
      <c r="F18" s="24" t="n">
        <v>1997</v>
      </c>
      <c r="G18" s="24" t="n">
        <v>2069</v>
      </c>
      <c r="H18" s="24">
        <f>G18-F18</f>
        <v/>
      </c>
      <c r="I18" s="8">
        <f>IF(F18=0,0,G18/F18-1)</f>
        <v/>
      </c>
    </row>
    <row r="19">
      <c r="A19" s="6" t="inlineStr">
        <is>
          <t>1000.2300.1000.52320.010</t>
        </is>
      </c>
      <c r="B19" s="6" t="inlineStr">
        <is>
          <t>Retirement</t>
        </is>
      </c>
      <c r="C19" s="24" t="n">
        <v>4124</v>
      </c>
      <c r="D19" s="24" t="n">
        <v>3864</v>
      </c>
      <c r="E19" s="24" t="n">
        <v>923</v>
      </c>
      <c r="F19" s="24" t="n">
        <v>4796</v>
      </c>
      <c r="G19" s="24" t="n">
        <v>4481</v>
      </c>
      <c r="H19" s="24">
        <f>G19-F19</f>
        <v/>
      </c>
      <c r="I19" s="8">
        <f>IF(F19=0,0,G19/F19-1)</f>
        <v/>
      </c>
    </row>
    <row r="20">
      <c r="A20" s="14" t="n"/>
      <c r="B20" s="28" t="inlineStr">
        <is>
          <t>Program 2300 Total</t>
        </is>
      </c>
      <c r="C20" s="29">
        <f>SUM(C14:C19)</f>
        <v/>
      </c>
      <c r="D20" s="29">
        <f>SUM(D14:D19)</f>
        <v/>
      </c>
      <c r="E20" s="29">
        <f>SUM(E14:E19)</f>
        <v/>
      </c>
      <c r="F20" s="29">
        <f>SUM(F14:F19)</f>
        <v/>
      </c>
      <c r="G20" s="29">
        <f>SUM(G14:G19)</f>
        <v/>
      </c>
      <c r="H20" s="29">
        <f>SUM(H14:H19)</f>
        <v/>
      </c>
      <c r="I20" s="29">
        <f>SUM(I14:I19)</f>
        <v/>
      </c>
    </row>
    <row r="21">
      <c r="A21" s="14" t="n"/>
      <c r="B21" s="30" t="inlineStr">
        <is>
          <t>Function 1000 Total</t>
        </is>
      </c>
      <c r="C21" s="31">
        <f>C13+C20</f>
        <v/>
      </c>
      <c r="D21" s="31">
        <f>D13+D20</f>
        <v/>
      </c>
      <c r="E21" s="31">
        <f>E13+E20</f>
        <v/>
      </c>
      <c r="F21" s="31">
        <f>F13+F20</f>
        <v/>
      </c>
      <c r="G21" s="31">
        <f>G13+G20</f>
        <v/>
      </c>
      <c r="H21" s="31">
        <f>H13+H20</f>
        <v/>
      </c>
      <c r="I21" s="31">
        <f>I13+I20</f>
        <v/>
      </c>
    </row>
    <row r="22">
      <c r="A22" s="6" t="inlineStr">
        <is>
          <t>1000.2800.2110.51010.010</t>
        </is>
      </c>
      <c r="B22" s="6" t="inlineStr">
        <is>
          <t>Social Worker Salary</t>
        </is>
      </c>
      <c r="C22" s="24" t="n">
        <v>56743</v>
      </c>
      <c r="D22" s="24" t="n">
        <v>60723</v>
      </c>
      <c r="E22" s="24" t="n">
        <v>62472</v>
      </c>
      <c r="F22" s="24" t="n">
        <v>68150</v>
      </c>
      <c r="G22" s="24" t="n">
        <v>72464</v>
      </c>
      <c r="H22" s="24">
        <f>G22-F22</f>
        <v/>
      </c>
      <c r="I22" s="8">
        <f>IF(F22=0,0,G22/F22-1)</f>
        <v/>
      </c>
    </row>
    <row r="23">
      <c r="A23" s="6" t="inlineStr">
        <is>
          <t>1000.2800.2110.52010.010</t>
        </is>
      </c>
      <c r="B23" s="6" t="inlineStr">
        <is>
          <t>Social Worker Benefits</t>
        </is>
      </c>
      <c r="C23" s="24" t="n">
        <v>10030</v>
      </c>
      <c r="D23" s="24" t="n">
        <v>10010</v>
      </c>
      <c r="E23" s="24" t="n">
        <v>2213</v>
      </c>
      <c r="F23" s="24" t="n">
        <v>10079</v>
      </c>
      <c r="G23" s="24" t="n">
        <v>10511</v>
      </c>
      <c r="H23" s="24">
        <f>G23-F23</f>
        <v/>
      </c>
      <c r="I23" s="8">
        <f>IF(F23=0,0,G23/F23-1)</f>
        <v/>
      </c>
    </row>
    <row r="24">
      <c r="A24" s="6" t="inlineStr">
        <is>
          <t>1000.2800.2110.52310.010</t>
        </is>
      </c>
      <c r="B24" s="6" t="inlineStr">
        <is>
          <t>Retirement</t>
        </is>
      </c>
      <c r="C24" s="24" t="n">
        <v>2265</v>
      </c>
      <c r="D24" s="24" t="n">
        <v>2526</v>
      </c>
      <c r="E24" s="24" t="n">
        <v>614</v>
      </c>
      <c r="F24" s="24" t="n">
        <v>2835</v>
      </c>
      <c r="G24" s="24" t="n">
        <v>3014</v>
      </c>
      <c r="H24" s="24">
        <f>G24-F24</f>
        <v/>
      </c>
      <c r="I24" s="8">
        <f>IF(F24=0,0,G24/F24-1)</f>
        <v/>
      </c>
    </row>
    <row r="25">
      <c r="A25" s="14" t="n"/>
      <c r="B25" s="28" t="inlineStr">
        <is>
          <t>Program 2800 Total</t>
        </is>
      </c>
      <c r="C25" s="29">
        <f>SUM(C22:C24)</f>
        <v/>
      </c>
      <c r="D25" s="29">
        <f>SUM(D22:D24)</f>
        <v/>
      </c>
      <c r="E25" s="29">
        <f>SUM(E22:E24)</f>
        <v/>
      </c>
      <c r="F25" s="29">
        <f>SUM(F22:F24)</f>
        <v/>
      </c>
      <c r="G25" s="29">
        <f>SUM(G22:G24)</f>
        <v/>
      </c>
      <c r="H25" s="29">
        <f>SUM(H22:H24)</f>
        <v/>
      </c>
      <c r="I25" s="29">
        <f>SUM(I22:I24)</f>
        <v/>
      </c>
    </row>
    <row r="26">
      <c r="A26" s="6" t="inlineStr">
        <is>
          <t>1000.2800.2140.51010.010</t>
        </is>
      </c>
      <c r="B26" s="6" t="inlineStr">
        <is>
          <t>Psychological Services Salary</t>
        </is>
      </c>
      <c r="C26" s="24" t="n">
        <v>47830</v>
      </c>
      <c r="D26" s="24" t="n">
        <v>58588</v>
      </c>
      <c r="E26" s="24" t="n">
        <v>22930</v>
      </c>
      <c r="F26" s="24" t="n">
        <v>28798</v>
      </c>
      <c r="G26" s="24" t="n">
        <v>0</v>
      </c>
      <c r="H26" s="24">
        <f>G26-F26</f>
        <v/>
      </c>
      <c r="I26" s="8">
        <f>IF(F26=0,0,G26/F26-1)</f>
        <v/>
      </c>
    </row>
    <row r="27">
      <c r="A27" s="6" t="inlineStr">
        <is>
          <t>1000.2800.2140.52010.010</t>
        </is>
      </c>
      <c r="B27" s="6" t="inlineStr">
        <is>
          <t>Psych Services Benefit</t>
        </is>
      </c>
      <c r="C27" s="24" t="n">
        <v>6225</v>
      </c>
      <c r="D27" s="24" t="n">
        <v>7763</v>
      </c>
      <c r="E27" s="24" t="n">
        <v>1278</v>
      </c>
      <c r="F27" s="24" t="n">
        <v>5566</v>
      </c>
      <c r="G27" s="24" t="n">
        <v>11708</v>
      </c>
      <c r="H27" s="24">
        <f>G27-F27</f>
        <v/>
      </c>
      <c r="I27" s="8">
        <f>IF(F27=0,0,G27/F27-1)</f>
        <v/>
      </c>
    </row>
    <row r="28">
      <c r="A28" s="6" t="inlineStr">
        <is>
          <t>1000.2800.2140.52310.010</t>
        </is>
      </c>
      <c r="B28" s="6" t="inlineStr">
        <is>
          <t>Retirement</t>
        </is>
      </c>
      <c r="C28" s="24" t="n">
        <v>1913</v>
      </c>
      <c r="D28" s="24" t="n">
        <v>2485</v>
      </c>
      <c r="E28" s="24" t="n">
        <v>294</v>
      </c>
      <c r="F28" s="24" t="n">
        <v>1198</v>
      </c>
      <c r="G28" s="24" t="n">
        <v>1674</v>
      </c>
      <c r="H28" s="24">
        <f>G28-F28</f>
        <v/>
      </c>
      <c r="I28" s="8">
        <f>IF(F28=0,0,G28/F28-1)</f>
        <v/>
      </c>
    </row>
    <row r="29">
      <c r="A29" s="6" t="inlineStr">
        <is>
          <t>1000.2800.2140.55800.010</t>
        </is>
      </c>
      <c r="B29" s="6" t="inlineStr">
        <is>
          <t>Travel</t>
        </is>
      </c>
      <c r="C29" s="24" t="n">
        <v>0</v>
      </c>
      <c r="D29" s="24" t="n">
        <v>0</v>
      </c>
      <c r="E29" s="24" t="n">
        <v>0</v>
      </c>
      <c r="F29" s="24" t="n">
        <v>116</v>
      </c>
      <c r="G29" s="24" t="n">
        <v>580</v>
      </c>
      <c r="H29" s="24">
        <f>G29-F29</f>
        <v/>
      </c>
      <c r="I29" s="8">
        <f>IF(F29=0,0,G29/F29-1)</f>
        <v/>
      </c>
    </row>
    <row r="30">
      <c r="A30" s="14" t="n"/>
      <c r="B30" s="28" t="inlineStr">
        <is>
          <t>Program 2800 Total</t>
        </is>
      </c>
      <c r="C30" s="29">
        <f>SUM(C26:C29)</f>
        <v/>
      </c>
      <c r="D30" s="29">
        <f>SUM(D26:D29)</f>
        <v/>
      </c>
      <c r="E30" s="29">
        <f>SUM(E26:E29)</f>
        <v/>
      </c>
      <c r="F30" s="29">
        <f>SUM(F26:F29)</f>
        <v/>
      </c>
      <c r="G30" s="29">
        <f>SUM(G26:G29)</f>
        <v/>
      </c>
      <c r="H30" s="29">
        <f>SUM(H26:H29)</f>
        <v/>
      </c>
      <c r="I30" s="29">
        <f>SUM(I26:I29)</f>
        <v/>
      </c>
    </row>
    <row r="31">
      <c r="A31" s="6" t="inlineStr">
        <is>
          <t>1000.2800.2150.51010.010</t>
        </is>
      </c>
      <c r="B31" s="6" t="inlineStr">
        <is>
          <t>Speech &amp; Audiology Salaries</t>
        </is>
      </c>
      <c r="C31" s="24" t="n">
        <v>84750</v>
      </c>
      <c r="D31" s="24" t="n">
        <v>79062</v>
      </c>
      <c r="E31" s="24" t="n">
        <v>73212</v>
      </c>
      <c r="F31" s="24" t="n">
        <v>76835</v>
      </c>
      <c r="G31" s="24" t="n">
        <v>94657</v>
      </c>
      <c r="H31" s="24">
        <f>G31-F31</f>
        <v/>
      </c>
      <c r="I31" s="8">
        <f>IF(F31=0,0,G31/F31-1)</f>
        <v/>
      </c>
    </row>
    <row r="32">
      <c r="A32" s="6" t="inlineStr">
        <is>
          <t>1000.2800.2150.52010.010</t>
        </is>
      </c>
      <c r="B32" s="6" t="inlineStr">
        <is>
          <t>Speech &amp; Audiology Benefits</t>
        </is>
      </c>
      <c r="C32" s="24" t="n">
        <v>11545</v>
      </c>
      <c r="D32" s="24" t="n">
        <v>10545</v>
      </c>
      <c r="E32" s="24" t="n">
        <v>2136</v>
      </c>
      <c r="F32" s="24" t="n">
        <v>12163</v>
      </c>
      <c r="G32" s="24" t="n">
        <v>16465</v>
      </c>
      <c r="H32" s="24">
        <f>G32-F32</f>
        <v/>
      </c>
      <c r="I32" s="8">
        <f>IF(F32=0,0,G32/F32-1)</f>
        <v/>
      </c>
    </row>
    <row r="33">
      <c r="A33" s="6" t="inlineStr">
        <is>
          <t>1000.2800.2150.52310.010</t>
        </is>
      </c>
      <c r="B33" s="6" t="inlineStr">
        <is>
          <t>Retirement</t>
        </is>
      </c>
      <c r="C33" s="24" t="n">
        <v>3386</v>
      </c>
      <c r="D33" s="24" t="n">
        <v>3289</v>
      </c>
      <c r="E33" s="24" t="n">
        <v>734</v>
      </c>
      <c r="F33" s="24" t="n">
        <v>3295</v>
      </c>
      <c r="G33" s="24" t="n">
        <v>4409</v>
      </c>
      <c r="H33" s="24">
        <f>G33-F33</f>
        <v/>
      </c>
      <c r="I33" s="8">
        <f>IF(F33=0,0,G33/F33-1)</f>
        <v/>
      </c>
    </row>
    <row r="34">
      <c r="A34" s="6" t="inlineStr">
        <is>
          <t>1000.2800.2150.53440.010</t>
        </is>
      </c>
      <c r="B34" s="6" t="inlineStr">
        <is>
          <t>Professional Services</t>
        </is>
      </c>
      <c r="C34" s="24" t="n">
        <v>559</v>
      </c>
      <c r="D34" s="24" t="n">
        <v>0</v>
      </c>
      <c r="E34" s="24" t="n">
        <v>0</v>
      </c>
      <c r="F34" s="24" t="n">
        <v>0</v>
      </c>
      <c r="G34" s="24" t="n">
        <v>0</v>
      </c>
      <c r="H34" s="24">
        <f>G34-F34</f>
        <v/>
      </c>
      <c r="I34" s="8">
        <f>IF(F34=0,0,G34/F34-1)</f>
        <v/>
      </c>
    </row>
    <row r="35">
      <c r="A35" s="14" t="n"/>
      <c r="B35" s="28" t="inlineStr">
        <is>
          <t>Program 2800 Total</t>
        </is>
      </c>
      <c r="C35" s="29">
        <f>SUM(C31:C34)</f>
        <v/>
      </c>
      <c r="D35" s="29">
        <f>SUM(D31:D34)</f>
        <v/>
      </c>
      <c r="E35" s="29">
        <f>SUM(E31:E34)</f>
        <v/>
      </c>
      <c r="F35" s="29">
        <f>SUM(F31:F34)</f>
        <v/>
      </c>
      <c r="G35" s="29">
        <f>SUM(G31:G34)</f>
        <v/>
      </c>
      <c r="H35" s="29">
        <f>SUM(H31:H34)</f>
        <v/>
      </c>
      <c r="I35" s="29">
        <f>SUM(I31:I34)</f>
        <v/>
      </c>
    </row>
    <row r="36">
      <c r="A36" s="6" t="inlineStr">
        <is>
          <t>1000.2800.2160.51010.010</t>
        </is>
      </c>
      <c r="B36" s="6" t="inlineStr">
        <is>
          <t>OT Salary</t>
        </is>
      </c>
      <c r="C36" s="24" t="n">
        <v>5980</v>
      </c>
      <c r="D36" s="24" t="n">
        <v>0</v>
      </c>
      <c r="E36" s="24" t="n">
        <v>59200</v>
      </c>
      <c r="F36" s="24" t="n">
        <v>52329</v>
      </c>
      <c r="G36" s="24" t="n">
        <v>72426</v>
      </c>
      <c r="H36" s="24">
        <f>G36-F36</f>
        <v/>
      </c>
      <c r="I36" s="8">
        <f>IF(F36=0,0,G36/F36-1)</f>
        <v/>
      </c>
    </row>
    <row r="37">
      <c r="A37" s="6" t="inlineStr">
        <is>
          <t>1000.2800.2160.52010.010</t>
        </is>
      </c>
      <c r="B37" s="6" t="inlineStr">
        <is>
          <t>OT Benefits</t>
        </is>
      </c>
      <c r="C37" s="24" t="n">
        <v>1098</v>
      </c>
      <c r="D37" s="24" t="n">
        <v>0</v>
      </c>
      <c r="E37" s="24" t="n">
        <v>2142</v>
      </c>
      <c r="F37" s="24" t="n">
        <v>977</v>
      </c>
      <c r="G37" s="24" t="n">
        <v>21038</v>
      </c>
      <c r="H37" s="24">
        <f>G37-F37</f>
        <v/>
      </c>
      <c r="I37" s="8">
        <f>IF(F37=0,0,G37/F37-1)</f>
        <v/>
      </c>
    </row>
    <row r="38">
      <c r="A38" s="6" t="inlineStr">
        <is>
          <t>1000.2800.2160.52310.010</t>
        </is>
      </c>
      <c r="B38" s="6" t="inlineStr">
        <is>
          <t>Retirement</t>
        </is>
      </c>
      <c r="C38" s="24" t="n">
        <v>237</v>
      </c>
      <c r="D38" s="24" t="n">
        <v>0</v>
      </c>
      <c r="E38" s="24" t="n">
        <v>0</v>
      </c>
      <c r="F38" s="24" t="n">
        <v>2177</v>
      </c>
      <c r="G38" s="24" t="n">
        <v>3484</v>
      </c>
      <c r="H38" s="24">
        <f>G38-F38</f>
        <v/>
      </c>
      <c r="I38" s="8">
        <f>IF(F38=0,0,G38/F38-1)</f>
        <v/>
      </c>
    </row>
    <row r="39">
      <c r="A39" s="6" t="inlineStr">
        <is>
          <t>1000.2800.2160.55800.010</t>
        </is>
      </c>
      <c r="B39" s="6" t="inlineStr">
        <is>
          <t>Travel</t>
        </is>
      </c>
      <c r="C39" s="24" t="n">
        <v>202</v>
      </c>
      <c r="D39" s="24" t="n">
        <v>0</v>
      </c>
      <c r="E39" s="24" t="n">
        <v>0</v>
      </c>
      <c r="F39" s="24" t="n">
        <v>210</v>
      </c>
      <c r="G39" s="24" t="n">
        <v>210</v>
      </c>
      <c r="H39" s="24">
        <f>G39-F39</f>
        <v/>
      </c>
      <c r="I39" s="8">
        <f>IF(F39=0,0,G39/F39-1)</f>
        <v/>
      </c>
    </row>
    <row r="40">
      <c r="A40" s="14" t="n"/>
      <c r="B40" s="28" t="inlineStr">
        <is>
          <t>Program 2800 Total</t>
        </is>
      </c>
      <c r="C40" s="29">
        <f>SUM(C36:C39)</f>
        <v/>
      </c>
      <c r="D40" s="29">
        <f>SUM(D36:D39)</f>
        <v/>
      </c>
      <c r="E40" s="29">
        <f>SUM(E36:E39)</f>
        <v/>
      </c>
      <c r="F40" s="29">
        <f>SUM(F36:F39)</f>
        <v/>
      </c>
      <c r="G40" s="29">
        <f>SUM(G36:G39)</f>
        <v/>
      </c>
      <c r="H40" s="29">
        <f>SUM(H36:H39)</f>
        <v/>
      </c>
      <c r="I40" s="29">
        <f>SUM(I36:I39)</f>
        <v/>
      </c>
    </row>
    <row r="41">
      <c r="A41" s="14" t="n"/>
      <c r="B41" s="17" t="inlineStr">
        <is>
          <t>Cost Center ('010',) Total</t>
        </is>
      </c>
      <c r="C41" s="32">
        <f>C21+C25+C30+C35+C40</f>
        <v/>
      </c>
      <c r="D41" s="32">
        <f>D21+D25+D30+D35+D40</f>
        <v/>
      </c>
      <c r="E41" s="32">
        <f>E21+E25+E30+E35+E40</f>
        <v/>
      </c>
      <c r="F41" s="32">
        <f>F21+F25+F30+F35+F40</f>
        <v/>
      </c>
      <c r="G41" s="32">
        <f>G21+G25+G30+G35+G40</f>
        <v/>
      </c>
      <c r="H41" s="32">
        <f>H21+H25+H30+H35+H40</f>
        <v/>
      </c>
      <c r="I41" s="32">
        <f>I21+I25+I30+I35+I40</f>
        <v/>
      </c>
    </row>
    <row r="43">
      <c r="A43" s="3" t="inlineStr">
        <is>
          <t>Cost Center: ('020',)</t>
        </is>
      </c>
    </row>
    <row r="44">
      <c r="A44" s="6" t="inlineStr">
        <is>
          <t>1000.2200.1000.51010.020</t>
        </is>
      </c>
      <c r="B44" s="6" t="inlineStr">
        <is>
          <t>Teacher Salaries</t>
        </is>
      </c>
      <c r="C44" s="24" t="n">
        <v>203278</v>
      </c>
      <c r="D44" s="24" t="n">
        <v>258883</v>
      </c>
      <c r="E44" s="24" t="n">
        <v>189588</v>
      </c>
      <c r="F44" s="24" t="n">
        <v>126566</v>
      </c>
      <c r="G44" s="24" t="n">
        <v>72067</v>
      </c>
      <c r="H44" s="24">
        <f>G44-F44</f>
        <v/>
      </c>
      <c r="I44" s="8">
        <f>IF(F44=0,0,G44/F44-1)</f>
        <v/>
      </c>
    </row>
    <row r="45">
      <c r="A45" s="6" t="inlineStr">
        <is>
          <t>1000.2200.1000.51020.020</t>
        </is>
      </c>
      <c r="B45" s="6" t="inlineStr">
        <is>
          <t>Ed Tech Salaries</t>
        </is>
      </c>
      <c r="C45" s="24" t="n">
        <v>80372</v>
      </c>
      <c r="D45" s="24" t="n">
        <v>90149</v>
      </c>
      <c r="E45" s="24" t="n">
        <v>90581</v>
      </c>
      <c r="F45" s="24" t="n">
        <v>51759</v>
      </c>
      <c r="G45" s="24" t="n">
        <v>0</v>
      </c>
      <c r="H45" s="24">
        <f>G45-F45</f>
        <v/>
      </c>
      <c r="I45" s="8">
        <f>IF(F45=0,0,G45/F45-1)</f>
        <v/>
      </c>
    </row>
    <row r="46">
      <c r="A46" s="6" t="inlineStr">
        <is>
          <t>1000.2200.1000.51230.020</t>
        </is>
      </c>
      <c r="B46" s="6" t="inlineStr">
        <is>
          <t>Sub Wages</t>
        </is>
      </c>
      <c r="C46" s="24" t="n">
        <v>3433</v>
      </c>
      <c r="D46" s="24" t="n">
        <v>596</v>
      </c>
      <c r="E46" s="24" t="n">
        <v>4748</v>
      </c>
      <c r="F46" s="24" t="n">
        <v>0</v>
      </c>
      <c r="G46" s="24" t="n">
        <v>0</v>
      </c>
      <c r="H46" s="24">
        <f>G46-F46</f>
        <v/>
      </c>
      <c r="I46" s="8">
        <f>IF(F46=0,0,G46/F46-1)</f>
        <v/>
      </c>
    </row>
    <row r="47">
      <c r="A47" s="6" t="inlineStr">
        <is>
          <t>1000.2200.1000.52010.020</t>
        </is>
      </c>
      <c r="B47" s="6" t="inlineStr">
        <is>
          <t>Teacher Benefits</t>
        </is>
      </c>
      <c r="C47" s="24" t="n">
        <v>35612</v>
      </c>
      <c r="D47" s="24" t="n">
        <v>46586</v>
      </c>
      <c r="E47" s="24" t="n">
        <v>5735</v>
      </c>
      <c r="F47" s="24" t="n">
        <v>15657</v>
      </c>
      <c r="G47" s="24" t="n">
        <v>10502</v>
      </c>
      <c r="H47" s="24">
        <f>G47-F47</f>
        <v/>
      </c>
      <c r="I47" s="8">
        <f>IF(F47=0,0,G47/F47-1)</f>
        <v/>
      </c>
    </row>
    <row r="48">
      <c r="A48" s="6" t="inlineStr">
        <is>
          <t>1000.2200.1000.52020.020</t>
        </is>
      </c>
      <c r="B48" s="6" t="inlineStr">
        <is>
          <t>Ed Tech Benefits</t>
        </is>
      </c>
      <c r="C48" s="24" t="n">
        <v>23608</v>
      </c>
      <c r="D48" s="24" t="n">
        <v>18762</v>
      </c>
      <c r="E48" s="24" t="n">
        <v>3963</v>
      </c>
      <c r="F48" s="24" t="n">
        <v>8886</v>
      </c>
      <c r="G48" s="24" t="n">
        <v>0</v>
      </c>
      <c r="H48" s="24">
        <f>G48-F48</f>
        <v/>
      </c>
      <c r="I48" s="8">
        <f>IF(F48=0,0,G48/F48-1)</f>
        <v/>
      </c>
    </row>
    <row r="49">
      <c r="A49" s="6" t="inlineStr">
        <is>
          <t>1000.2200.1000.52030.020</t>
        </is>
      </c>
      <c r="B49" s="6" t="inlineStr">
        <is>
          <t>Substitute Benefits</t>
        </is>
      </c>
      <c r="C49" s="24" t="n">
        <v>207</v>
      </c>
      <c r="D49" s="24" t="n">
        <v>18</v>
      </c>
      <c r="E49" s="24" t="n">
        <v>0</v>
      </c>
      <c r="F49" s="24" t="n">
        <v>0</v>
      </c>
      <c r="G49" s="24" t="n">
        <v>0</v>
      </c>
      <c r="H49" s="24">
        <f>G49-F49</f>
        <v/>
      </c>
      <c r="I49" s="8">
        <f>IF(F49=0,0,G49/F49-1)</f>
        <v/>
      </c>
    </row>
    <row r="50">
      <c r="A50" s="6" t="inlineStr">
        <is>
          <t>1000.2200.1000.52310.020</t>
        </is>
      </c>
      <c r="B50" s="6" t="inlineStr">
        <is>
          <t>Retirement</t>
        </is>
      </c>
      <c r="C50" s="24" t="n">
        <v>8181</v>
      </c>
      <c r="D50" s="24" t="n">
        <v>10815</v>
      </c>
      <c r="E50" s="24" t="n">
        <v>1729</v>
      </c>
      <c r="F50" s="24" t="n">
        <v>5428</v>
      </c>
      <c r="G50" s="24" t="n">
        <v>0</v>
      </c>
      <c r="H50" s="24">
        <f>G50-F50</f>
        <v/>
      </c>
      <c r="I50" s="8">
        <f>IF(F50=0,0,G50/F50-1)</f>
        <v/>
      </c>
    </row>
    <row r="51">
      <c r="A51" s="6" t="inlineStr">
        <is>
          <t>1000.2200.1000.52320.020</t>
        </is>
      </c>
      <c r="B51" s="6" t="inlineStr">
        <is>
          <t>Retirement</t>
        </is>
      </c>
      <c r="C51" s="24" t="n">
        <v>3191</v>
      </c>
      <c r="D51" s="24" t="n">
        <v>3670</v>
      </c>
      <c r="E51" s="24" t="n">
        <v>808</v>
      </c>
      <c r="F51" s="24" t="n">
        <v>2128</v>
      </c>
      <c r="G51" s="24" t="n">
        <v>0</v>
      </c>
      <c r="H51" s="24">
        <f>G51-F51</f>
        <v/>
      </c>
      <c r="I51" s="8">
        <f>IF(F51=0,0,G51/F51-1)</f>
        <v/>
      </c>
    </row>
    <row r="52">
      <c r="A52" s="6" t="inlineStr">
        <is>
          <t>1000.2200.1000.52330.020</t>
        </is>
      </c>
      <c r="B52" s="6" t="inlineStr">
        <is>
          <t>Retirement</t>
        </is>
      </c>
      <c r="C52" s="24" t="n">
        <v>52</v>
      </c>
      <c r="D52" s="24" t="n">
        <v>12</v>
      </c>
      <c r="E52" s="24" t="n">
        <v>0</v>
      </c>
      <c r="F52" s="24" t="n">
        <v>0</v>
      </c>
      <c r="G52" s="24" t="n">
        <v>0</v>
      </c>
      <c r="H52" s="24">
        <f>G52-F52</f>
        <v/>
      </c>
      <c r="I52" s="8">
        <f>IF(F52=0,0,G52/F52-1)</f>
        <v/>
      </c>
    </row>
    <row r="53">
      <c r="A53" s="14" t="n"/>
      <c r="B53" s="28" t="inlineStr">
        <is>
          <t>Program 2200 Total</t>
        </is>
      </c>
      <c r="C53" s="29">
        <f>SUM(C44:C52)</f>
        <v/>
      </c>
      <c r="D53" s="29">
        <f>SUM(D44:D52)</f>
        <v/>
      </c>
      <c r="E53" s="29">
        <f>SUM(E44:E52)</f>
        <v/>
      </c>
      <c r="F53" s="29">
        <f>SUM(F44:F52)</f>
        <v/>
      </c>
      <c r="G53" s="29">
        <f>SUM(G44:G52)</f>
        <v/>
      </c>
      <c r="H53" s="29">
        <f>SUM(H44:H52)</f>
        <v/>
      </c>
      <c r="I53" s="29">
        <f>SUM(I44:I52)</f>
        <v/>
      </c>
    </row>
    <row r="54">
      <c r="A54" s="6" t="inlineStr">
        <is>
          <t>1000.2300.1000.51010.020</t>
        </is>
      </c>
      <c r="B54" s="6" t="inlineStr">
        <is>
          <t>Teacher Salaries</t>
        </is>
      </c>
      <c r="C54" s="24" t="n">
        <v>121458</v>
      </c>
      <c r="D54" s="24" t="n">
        <v>57793</v>
      </c>
      <c r="E54" s="24" t="n">
        <v>66695</v>
      </c>
      <c r="F54" s="24" t="n">
        <v>65042</v>
      </c>
      <c r="G54" s="24" t="n">
        <v>128357</v>
      </c>
      <c r="H54" s="24">
        <f>G54-F54</f>
        <v/>
      </c>
      <c r="I54" s="8">
        <f>IF(F54=0,0,G54/F54-1)</f>
        <v/>
      </c>
    </row>
    <row r="55">
      <c r="A55" s="6" t="inlineStr">
        <is>
          <t>1000.2300.1000.51020.020</t>
        </is>
      </c>
      <c r="B55" s="6" t="inlineStr">
        <is>
          <t>Ed Tech Salaries</t>
        </is>
      </c>
      <c r="C55" s="24" t="n">
        <v>71714</v>
      </c>
      <c r="D55" s="24" t="n">
        <v>52849</v>
      </c>
      <c r="E55" s="24" t="n">
        <v>48367</v>
      </c>
      <c r="F55" s="24" t="n">
        <v>76511</v>
      </c>
      <c r="G55" s="24" t="n">
        <v>96978</v>
      </c>
      <c r="H55" s="24">
        <f>G55-F55</f>
        <v/>
      </c>
      <c r="I55" s="8">
        <f>IF(F55=0,0,G55/F55-1)</f>
        <v/>
      </c>
    </row>
    <row r="56">
      <c r="A56" s="6" t="inlineStr">
        <is>
          <t>1000.2300.1000.52010.020</t>
        </is>
      </c>
      <c r="B56" s="6" t="inlineStr">
        <is>
          <t>Teacher Benefits</t>
        </is>
      </c>
      <c r="C56" s="24" t="n">
        <v>26441</v>
      </c>
      <c r="D56" s="24" t="n">
        <v>21736</v>
      </c>
      <c r="E56" s="24" t="n">
        <v>4790</v>
      </c>
      <c r="F56" s="24" t="n">
        <v>21317</v>
      </c>
      <c r="G56" s="24" t="n">
        <v>37614</v>
      </c>
      <c r="H56" s="24">
        <f>G56-F56</f>
        <v/>
      </c>
      <c r="I56" s="8">
        <f>IF(F56=0,0,G56/F56-1)</f>
        <v/>
      </c>
    </row>
    <row r="57">
      <c r="A57" s="6" t="inlineStr">
        <is>
          <t>1000.2300.1000.52020.020</t>
        </is>
      </c>
      <c r="B57" s="6" t="inlineStr">
        <is>
          <t>Ed Tech Benefits</t>
        </is>
      </c>
      <c r="C57" s="24" t="n">
        <v>25330</v>
      </c>
      <c r="D57" s="24" t="n">
        <v>26655</v>
      </c>
      <c r="E57" s="24" t="n">
        <v>6256</v>
      </c>
      <c r="F57" s="24" t="n">
        <v>1158</v>
      </c>
      <c r="G57" s="24" t="n">
        <v>41185</v>
      </c>
      <c r="H57" s="24">
        <f>G57-F57</f>
        <v/>
      </c>
      <c r="I57" s="8">
        <f>IF(F57=0,0,G57/F57-1)</f>
        <v/>
      </c>
    </row>
    <row r="58">
      <c r="A58" s="6" t="inlineStr">
        <is>
          <t>1000.2300.1000.52310.020</t>
        </is>
      </c>
      <c r="B58" s="6" t="inlineStr">
        <is>
          <t>Retirement</t>
        </is>
      </c>
      <c r="C58" s="24" t="n">
        <v>4868</v>
      </c>
      <c r="D58" s="24" t="n">
        <v>2404</v>
      </c>
      <c r="E58" s="24" t="n">
        <v>586</v>
      </c>
      <c r="F58" s="24" t="n">
        <v>2706</v>
      </c>
      <c r="G58" s="24" t="n">
        <v>5339</v>
      </c>
      <c r="H58" s="24">
        <f>G58-F58</f>
        <v/>
      </c>
      <c r="I58" s="8">
        <f>IF(F58=0,0,G58/F58-1)</f>
        <v/>
      </c>
    </row>
    <row r="59">
      <c r="A59" s="6" t="inlineStr">
        <is>
          <t>1000.2300.1000.52320.020</t>
        </is>
      </c>
      <c r="B59" s="6" t="inlineStr">
        <is>
          <t>Retirement</t>
        </is>
      </c>
      <c r="C59" s="24" t="n">
        <v>2847</v>
      </c>
      <c r="D59" s="24" t="n">
        <v>2199</v>
      </c>
      <c r="E59" s="24" t="n">
        <v>561</v>
      </c>
      <c r="F59" s="24" t="n">
        <v>2327</v>
      </c>
      <c r="G59" s="24" t="n">
        <v>0</v>
      </c>
      <c r="H59" s="24">
        <f>G59-F59</f>
        <v/>
      </c>
      <c r="I59" s="8">
        <f>IF(F59=0,0,G59/F59-1)</f>
        <v/>
      </c>
    </row>
    <row r="60">
      <c r="A60" s="14" t="n"/>
      <c r="B60" s="28" t="inlineStr">
        <is>
          <t>Program 2300 Total</t>
        </is>
      </c>
      <c r="C60" s="29">
        <f>SUM(C54:C59)</f>
        <v/>
      </c>
      <c r="D60" s="29">
        <f>SUM(D54:D59)</f>
        <v/>
      </c>
      <c r="E60" s="29">
        <f>SUM(E54:E59)</f>
        <v/>
      </c>
      <c r="F60" s="29">
        <f>SUM(F54:F59)</f>
        <v/>
      </c>
      <c r="G60" s="29">
        <f>SUM(G54:G59)</f>
        <v/>
      </c>
      <c r="H60" s="29">
        <f>SUM(H54:H59)</f>
        <v/>
      </c>
      <c r="I60" s="29">
        <f>SUM(I54:I59)</f>
        <v/>
      </c>
    </row>
    <row r="61">
      <c r="A61" s="14" t="n"/>
      <c r="B61" s="30" t="inlineStr">
        <is>
          <t>Function 1000 Total</t>
        </is>
      </c>
      <c r="C61" s="31">
        <f>C53+C60</f>
        <v/>
      </c>
      <c r="D61" s="31">
        <f>D53+D60</f>
        <v/>
      </c>
      <c r="E61" s="31">
        <f>E53+E60</f>
        <v/>
      </c>
      <c r="F61" s="31">
        <f>F53+F60</f>
        <v/>
      </c>
      <c r="G61" s="31">
        <f>G53+G60</f>
        <v/>
      </c>
      <c r="H61" s="31">
        <f>H53+H60</f>
        <v/>
      </c>
      <c r="I61" s="31">
        <f>I53+I60</f>
        <v/>
      </c>
    </row>
    <row r="62">
      <c r="A62" s="6" t="inlineStr">
        <is>
          <t>1000.2800.2110.51010.020</t>
        </is>
      </c>
      <c r="B62" s="6" t="inlineStr">
        <is>
          <t>Social Worker Salary</t>
        </is>
      </c>
      <c r="C62" s="24" t="n">
        <v>64838</v>
      </c>
      <c r="D62" s="24" t="n">
        <v>67888</v>
      </c>
      <c r="E62" s="24" t="n">
        <v>33722</v>
      </c>
      <c r="F62" s="24" t="n">
        <v>35007</v>
      </c>
      <c r="G62" s="24" t="n">
        <v>36874</v>
      </c>
      <c r="H62" s="24">
        <f>G62-F62</f>
        <v/>
      </c>
      <c r="I62" s="8">
        <f>IF(F62=0,0,G62/F62-1)</f>
        <v/>
      </c>
    </row>
    <row r="63">
      <c r="A63" s="6" t="inlineStr">
        <is>
          <t>1000.2800.2110.52010.020</t>
        </is>
      </c>
      <c r="B63" s="6" t="inlineStr">
        <is>
          <t>Social Worker Benefits</t>
        </is>
      </c>
      <c r="C63" s="24" t="n">
        <v>16987</v>
      </c>
      <c r="D63" s="24" t="n">
        <v>16979</v>
      </c>
      <c r="E63" s="24" t="n">
        <v>1777</v>
      </c>
      <c r="F63" s="24" t="n">
        <v>7814</v>
      </c>
      <c r="G63" s="24" t="n">
        <v>7997</v>
      </c>
      <c r="H63" s="24">
        <f>G63-F63</f>
        <v/>
      </c>
      <c r="I63" s="8">
        <f>IF(F63=0,0,G63/F63-1)</f>
        <v/>
      </c>
    </row>
    <row r="64">
      <c r="A64" s="6" t="inlineStr">
        <is>
          <t>1000.2800.2110.52310.020</t>
        </is>
      </c>
      <c r="B64" s="6" t="inlineStr">
        <is>
          <t>Retirement</t>
        </is>
      </c>
      <c r="C64" s="24" t="n">
        <v>2593</v>
      </c>
      <c r="D64" s="24" t="n">
        <v>2824</v>
      </c>
      <c r="E64" s="24" t="n">
        <v>316</v>
      </c>
      <c r="F64" s="24" t="n">
        <v>1456</v>
      </c>
      <c r="G64" s="24" t="n">
        <v>1533</v>
      </c>
      <c r="H64" s="24">
        <f>G64-F64</f>
        <v/>
      </c>
      <c r="I64" s="8">
        <f>IF(F64=0,0,G64/F64-1)</f>
        <v/>
      </c>
    </row>
    <row r="65">
      <c r="A65" s="6" t="inlineStr">
        <is>
          <t>1000.2800.2110.55800.020</t>
        </is>
      </c>
      <c r="B65" s="6" t="inlineStr">
        <is>
          <t>Travel</t>
        </is>
      </c>
      <c r="C65" s="24" t="n">
        <v>203</v>
      </c>
      <c r="D65" s="24" t="n">
        <v>0</v>
      </c>
      <c r="E65" s="24" t="n">
        <v>0</v>
      </c>
      <c r="F65" s="24" t="n">
        <v>210</v>
      </c>
      <c r="G65" s="24" t="n">
        <v>150</v>
      </c>
      <c r="H65" s="24">
        <f>G65-F65</f>
        <v/>
      </c>
      <c r="I65" s="8">
        <f>IF(F65=0,0,G65/F65-1)</f>
        <v/>
      </c>
    </row>
    <row r="66">
      <c r="A66" s="14" t="n"/>
      <c r="B66" s="28" t="inlineStr">
        <is>
          <t>Program 2800 Total</t>
        </is>
      </c>
      <c r="C66" s="29">
        <f>SUM(C62:C65)</f>
        <v/>
      </c>
      <c r="D66" s="29">
        <f>SUM(D62:D65)</f>
        <v/>
      </c>
      <c r="E66" s="29">
        <f>SUM(E62:E65)</f>
        <v/>
      </c>
      <c r="F66" s="29">
        <f>SUM(F62:F65)</f>
        <v/>
      </c>
      <c r="G66" s="29">
        <f>SUM(G62:G65)</f>
        <v/>
      </c>
      <c r="H66" s="29">
        <f>SUM(H62:H65)</f>
        <v/>
      </c>
      <c r="I66" s="29">
        <f>SUM(I62:I65)</f>
        <v/>
      </c>
    </row>
    <row r="67">
      <c r="A67" s="6" t="inlineStr">
        <is>
          <t>1000.2800.2140.51010.020</t>
        </is>
      </c>
      <c r="B67" s="6" t="inlineStr">
        <is>
          <t>Psychological Services Salary</t>
        </is>
      </c>
      <c r="C67" s="24" t="n">
        <v>16651</v>
      </c>
      <c r="D67" s="24" t="n">
        <v>25390</v>
      </c>
      <c r="E67" s="24" t="n">
        <v>32555</v>
      </c>
      <c r="F67" s="24" t="n">
        <v>28798</v>
      </c>
      <c r="G67" s="24" t="n">
        <v>0</v>
      </c>
      <c r="H67" s="24">
        <f>G67-F67</f>
        <v/>
      </c>
      <c r="I67" s="8">
        <f>IF(F67=0,0,G67/F67-1)</f>
        <v/>
      </c>
    </row>
    <row r="68">
      <c r="A68" s="6" t="inlineStr">
        <is>
          <t>1000.2800.2140.52010.020</t>
        </is>
      </c>
      <c r="B68" s="6" t="inlineStr">
        <is>
          <t>Psych Services Benefit</t>
        </is>
      </c>
      <c r="C68" s="24" t="n">
        <v>3953</v>
      </c>
      <c r="D68" s="24" t="n">
        <v>5029</v>
      </c>
      <c r="E68" s="24" t="n">
        <v>1247</v>
      </c>
      <c r="F68" s="24" t="n">
        <v>5566</v>
      </c>
      <c r="G68" s="24" t="n">
        <v>0</v>
      </c>
      <c r="H68" s="24">
        <f>G68-F68</f>
        <v/>
      </c>
      <c r="I68" s="8">
        <f>IF(F68=0,0,G68/F68-1)</f>
        <v/>
      </c>
    </row>
    <row r="69">
      <c r="A69" s="6" t="inlineStr">
        <is>
          <t>1000.2800.2140.52310.020</t>
        </is>
      </c>
      <c r="B69" s="6" t="inlineStr">
        <is>
          <t>Retirement</t>
        </is>
      </c>
      <c r="C69" s="24" t="n">
        <v>666</v>
      </c>
      <c r="D69" s="24" t="n">
        <v>1056</v>
      </c>
      <c r="E69" s="24" t="n">
        <v>294</v>
      </c>
      <c r="F69" s="24" t="n">
        <v>1198</v>
      </c>
      <c r="G69" s="24" t="n">
        <v>0</v>
      </c>
      <c r="H69" s="24">
        <f>G69-F69</f>
        <v/>
      </c>
      <c r="I69" s="8">
        <f>IF(F69=0,0,G69/F69-1)</f>
        <v/>
      </c>
    </row>
    <row r="70">
      <c r="A70" s="6" t="inlineStr">
        <is>
          <t>1000.2800.2140.55800.020</t>
        </is>
      </c>
      <c r="B70" s="6" t="inlineStr">
        <is>
          <t>Travel</t>
        </is>
      </c>
      <c r="C70" s="24" t="n">
        <v>0</v>
      </c>
      <c r="D70" s="24" t="n">
        <v>0</v>
      </c>
      <c r="E70" s="24" t="n">
        <v>0</v>
      </c>
      <c r="F70" s="24" t="n">
        <v>116</v>
      </c>
      <c r="G70" s="24" t="n">
        <v>125</v>
      </c>
      <c r="H70" s="24">
        <f>G70-F70</f>
        <v/>
      </c>
      <c r="I70" s="8">
        <f>IF(F70=0,0,G70/F70-1)</f>
        <v/>
      </c>
    </row>
    <row r="71">
      <c r="A71" s="14" t="n"/>
      <c r="B71" s="28" t="inlineStr">
        <is>
          <t>Program 2800 Total</t>
        </is>
      </c>
      <c r="C71" s="29">
        <f>SUM(C67:C70)</f>
        <v/>
      </c>
      <c r="D71" s="29">
        <f>SUM(D67:D70)</f>
        <v/>
      </c>
      <c r="E71" s="29">
        <f>SUM(E67:E70)</f>
        <v/>
      </c>
      <c r="F71" s="29">
        <f>SUM(F67:F70)</f>
        <v/>
      </c>
      <c r="G71" s="29">
        <f>SUM(G67:G70)</f>
        <v/>
      </c>
      <c r="H71" s="29">
        <f>SUM(H67:H70)</f>
        <v/>
      </c>
      <c r="I71" s="29">
        <f>SUM(I67:I70)</f>
        <v/>
      </c>
    </row>
    <row r="72">
      <c r="A72" s="6" t="inlineStr">
        <is>
          <t>1000.2800.2150.51010.020</t>
        </is>
      </c>
      <c r="B72" s="6" t="inlineStr">
        <is>
          <t>Speech &amp; Audiology Salaries</t>
        </is>
      </c>
      <c r="C72" s="24" t="n">
        <v>73445</v>
      </c>
      <c r="D72" s="24" t="n">
        <v>68602</v>
      </c>
      <c r="E72" s="24" t="n">
        <v>54524</v>
      </c>
      <c r="F72" s="24" t="n">
        <v>58829</v>
      </c>
      <c r="G72" s="24" t="n">
        <v>55306</v>
      </c>
      <c r="H72" s="24">
        <f>G72-F72</f>
        <v/>
      </c>
      <c r="I72" s="8">
        <f>IF(F72=0,0,G72/F72-1)</f>
        <v/>
      </c>
    </row>
    <row r="73">
      <c r="A73" s="6" t="inlineStr">
        <is>
          <t>1000.2800.2150.52010.020</t>
        </is>
      </c>
      <c r="B73" s="6" t="inlineStr">
        <is>
          <t>Speech &amp; Audiology Benefits</t>
        </is>
      </c>
      <c r="C73" s="24" t="n">
        <v>11707</v>
      </c>
      <c r="D73" s="24" t="n">
        <v>10678</v>
      </c>
      <c r="E73" s="24" t="n">
        <v>2158</v>
      </c>
      <c r="F73" s="24" t="n">
        <v>9908</v>
      </c>
      <c r="G73" s="24" t="n">
        <v>10065</v>
      </c>
      <c r="H73" s="24">
        <f>G73-F73</f>
        <v/>
      </c>
      <c r="I73" s="8">
        <f>IF(F73=0,0,G73/F73-1)</f>
        <v/>
      </c>
    </row>
    <row r="74">
      <c r="A74" s="6" t="inlineStr">
        <is>
          <t>1000.2800.2150.52310.020</t>
        </is>
      </c>
      <c r="B74" s="6" t="inlineStr">
        <is>
          <t>Retirement</t>
        </is>
      </c>
      <c r="C74" s="24" t="n">
        <v>2443</v>
      </c>
      <c r="D74" s="24" t="n">
        <v>2343</v>
      </c>
      <c r="E74" s="24" t="n">
        <v>528</v>
      </c>
      <c r="F74" s="24" t="n">
        <v>2447</v>
      </c>
      <c r="G74" s="24" t="n">
        <v>2300</v>
      </c>
      <c r="H74" s="24">
        <f>G74-F74</f>
        <v/>
      </c>
      <c r="I74" s="8">
        <f>IF(F74=0,0,G74/F74-1)</f>
        <v/>
      </c>
    </row>
    <row r="75">
      <c r="A75" s="14" t="n"/>
      <c r="B75" s="28" t="inlineStr">
        <is>
          <t>Program 2800 Total</t>
        </is>
      </c>
      <c r="C75" s="29">
        <f>SUM(C72:C74)</f>
        <v/>
      </c>
      <c r="D75" s="29">
        <f>SUM(D72:D74)</f>
        <v/>
      </c>
      <c r="E75" s="29">
        <f>SUM(E72:E74)</f>
        <v/>
      </c>
      <c r="F75" s="29">
        <f>SUM(F72:F74)</f>
        <v/>
      </c>
      <c r="G75" s="29">
        <f>SUM(G72:G74)</f>
        <v/>
      </c>
      <c r="H75" s="29">
        <f>SUM(H72:H74)</f>
        <v/>
      </c>
      <c r="I75" s="29">
        <f>SUM(I72:I74)</f>
        <v/>
      </c>
    </row>
    <row r="76">
      <c r="A76" s="6" t="inlineStr">
        <is>
          <t>1000.2800.2160.51010.020</t>
        </is>
      </c>
      <c r="B76" s="6" t="inlineStr">
        <is>
          <t>OT Salary</t>
        </is>
      </c>
      <c r="C76" s="24" t="n">
        <v>21331</v>
      </c>
      <c r="D76" s="24" t="n">
        <v>32217</v>
      </c>
      <c r="E76" s="24" t="n">
        <v>30419</v>
      </c>
      <c r="F76" s="24" t="n">
        <v>44934</v>
      </c>
      <c r="G76" s="24" t="n">
        <v>45323</v>
      </c>
      <c r="H76" s="24">
        <f>G76-F76</f>
        <v/>
      </c>
      <c r="I76" s="8">
        <f>IF(F76=0,0,G76/F76-1)</f>
        <v/>
      </c>
    </row>
    <row r="77">
      <c r="A77" s="6" t="inlineStr">
        <is>
          <t>1000.2800.2160.52010.020</t>
        </is>
      </c>
      <c r="B77" s="6" t="inlineStr">
        <is>
          <t>OT Benefits</t>
        </is>
      </c>
      <c r="C77" s="24" t="n">
        <v>2193</v>
      </c>
      <c r="D77" s="24" t="n">
        <v>4734</v>
      </c>
      <c r="E77" s="24" t="n">
        <v>3303</v>
      </c>
      <c r="F77" s="24" t="n">
        <v>841</v>
      </c>
      <c r="G77" s="24" t="n">
        <v>3319</v>
      </c>
      <c r="H77" s="24">
        <f>G77-F77</f>
        <v/>
      </c>
      <c r="I77" s="8">
        <f>IF(F77=0,0,G77/F77-1)</f>
        <v/>
      </c>
    </row>
    <row r="78">
      <c r="A78" s="6" t="inlineStr">
        <is>
          <t>1000.2800.2160.52310.020</t>
        </is>
      </c>
      <c r="B78" s="6" t="inlineStr">
        <is>
          <t>Retirement</t>
        </is>
      </c>
      <c r="C78" s="24" t="n">
        <v>794</v>
      </c>
      <c r="D78" s="24" t="n">
        <v>1340</v>
      </c>
      <c r="E78" s="24" t="n">
        <v>327</v>
      </c>
      <c r="F78" s="24" t="n">
        <v>1869</v>
      </c>
      <c r="G78" s="24" t="n">
        <v>1885</v>
      </c>
      <c r="H78" s="24">
        <f>G78-F78</f>
        <v/>
      </c>
      <c r="I78" s="8">
        <f>IF(F78=0,0,G78/F78-1)</f>
        <v/>
      </c>
    </row>
    <row r="79">
      <c r="A79" s="6" t="inlineStr">
        <is>
          <t>1000.2800.2160.55800.020</t>
        </is>
      </c>
      <c r="B79" s="6" t="inlineStr">
        <is>
          <t>Travel</t>
        </is>
      </c>
      <c r="C79" s="24" t="n">
        <v>80</v>
      </c>
      <c r="D79" s="24" t="n">
        <v>0</v>
      </c>
      <c r="E79" s="24" t="n">
        <v>0</v>
      </c>
      <c r="F79" s="24" t="n">
        <v>80</v>
      </c>
      <c r="G79" s="24" t="n">
        <v>125</v>
      </c>
      <c r="H79" s="24">
        <f>G79-F79</f>
        <v/>
      </c>
      <c r="I79" s="8">
        <f>IF(F79=0,0,G79/F79-1)</f>
        <v/>
      </c>
    </row>
    <row r="80">
      <c r="A80" s="14" t="n"/>
      <c r="B80" s="28" t="inlineStr">
        <is>
          <t>Program 2800 Total</t>
        </is>
      </c>
      <c r="C80" s="29">
        <f>SUM(C76:C79)</f>
        <v/>
      </c>
      <c r="D80" s="29">
        <f>SUM(D76:D79)</f>
        <v/>
      </c>
      <c r="E80" s="29">
        <f>SUM(E76:E79)</f>
        <v/>
      </c>
      <c r="F80" s="29">
        <f>SUM(F76:F79)</f>
        <v/>
      </c>
      <c r="G80" s="29">
        <f>SUM(G76:G79)</f>
        <v/>
      </c>
      <c r="H80" s="29">
        <f>SUM(H76:H79)</f>
        <v/>
      </c>
      <c r="I80" s="29">
        <f>SUM(I76:I79)</f>
        <v/>
      </c>
    </row>
    <row r="81">
      <c r="A81" s="14" t="n"/>
      <c r="B81" s="17" t="inlineStr">
        <is>
          <t>Cost Center ('020',) Total</t>
        </is>
      </c>
      <c r="C81" s="32">
        <f>C61+C66+C71+C75+C80</f>
        <v/>
      </c>
      <c r="D81" s="32">
        <f>D61+D66+D71+D75+D80</f>
        <v/>
      </c>
      <c r="E81" s="32">
        <f>E61+E66+E71+E75+E80</f>
        <v/>
      </c>
      <c r="F81" s="32">
        <f>F61+F66+F71+F75+F80</f>
        <v/>
      </c>
      <c r="G81" s="32">
        <f>G61+G66+G71+G75+G80</f>
        <v/>
      </c>
      <c r="H81" s="32">
        <f>H61+H66+H71+H75+H80</f>
        <v/>
      </c>
      <c r="I81" s="32">
        <f>I61+I66+I71+I75+I80</f>
        <v/>
      </c>
    </row>
    <row r="83">
      <c r="A83" s="3" t="inlineStr">
        <is>
          <t>Cost Center: ('030',)</t>
        </is>
      </c>
    </row>
    <row r="84">
      <c r="A84" s="6" t="inlineStr">
        <is>
          <t>1000.2200.1000.51010.030</t>
        </is>
      </c>
      <c r="B84" s="6" t="inlineStr">
        <is>
          <t>Teacher Salaries</t>
        </is>
      </c>
      <c r="C84" s="24" t="n">
        <v>49137</v>
      </c>
      <c r="D84" s="24" t="n">
        <v>92910</v>
      </c>
      <c r="E84" s="24" t="n">
        <v>45744</v>
      </c>
      <c r="F84" s="24" t="n">
        <v>37121</v>
      </c>
      <c r="G84" s="24" t="n">
        <v>44563</v>
      </c>
      <c r="H84" s="24">
        <f>G84-F84</f>
        <v/>
      </c>
      <c r="I84" s="8">
        <f>IF(F84=0,0,G84/F84-1)</f>
        <v/>
      </c>
    </row>
    <row r="85">
      <c r="A85" s="6" t="inlineStr">
        <is>
          <t>1000.2200.1000.51020.030</t>
        </is>
      </c>
      <c r="B85" s="6" t="inlineStr">
        <is>
          <t>Ed Tech Salaries</t>
        </is>
      </c>
      <c r="C85" s="24" t="n">
        <v>21830</v>
      </c>
      <c r="D85" s="24" t="n">
        <v>21644</v>
      </c>
      <c r="E85" s="24" t="n">
        <v>25734</v>
      </c>
      <c r="F85" s="24" t="n">
        <v>27727</v>
      </c>
      <c r="G85" s="24" t="n">
        <v>23820</v>
      </c>
      <c r="H85" s="24">
        <f>G85-F85</f>
        <v/>
      </c>
      <c r="I85" s="8">
        <f>IF(F85=0,0,G85/F85-1)</f>
        <v/>
      </c>
    </row>
    <row r="86">
      <c r="A86" s="6" t="inlineStr">
        <is>
          <t>1000.2200.1000.51210.030</t>
        </is>
      </c>
      <c r="B86" s="6" t="inlineStr">
        <is>
          <t>Tutor Wages</t>
        </is>
      </c>
      <c r="C86" s="24" t="n">
        <v>0</v>
      </c>
      <c r="D86" s="24" t="n">
        <v>0</v>
      </c>
      <c r="E86" s="24" t="n">
        <v>2382</v>
      </c>
      <c r="F86" s="24" t="n">
        <v>0</v>
      </c>
      <c r="G86" s="24" t="n">
        <v>0</v>
      </c>
      <c r="H86" s="24">
        <f>G86-F86</f>
        <v/>
      </c>
      <c r="I86" s="8">
        <f>IF(F86=0,0,G86/F86-1)</f>
        <v/>
      </c>
    </row>
    <row r="87">
      <c r="A87" s="6" t="inlineStr">
        <is>
          <t>1000.2200.1000.52010.030</t>
        </is>
      </c>
      <c r="B87" s="6" t="inlineStr">
        <is>
          <t>Teacher Benefits</t>
        </is>
      </c>
      <c r="C87" s="24" t="n">
        <v>19107</v>
      </c>
      <c r="D87" s="24" t="n">
        <v>28672</v>
      </c>
      <c r="E87" s="24" t="n">
        <v>4683</v>
      </c>
      <c r="F87" s="24" t="n">
        <v>84317</v>
      </c>
      <c r="G87" s="24" t="n">
        <v>9431</v>
      </c>
      <c r="H87" s="24">
        <f>G87-F87</f>
        <v/>
      </c>
      <c r="I87" s="8">
        <f>IF(F87=0,0,G87/F87-1)</f>
        <v/>
      </c>
    </row>
    <row r="88">
      <c r="A88" s="6" t="inlineStr">
        <is>
          <t>1000.2200.1000.52020.030</t>
        </is>
      </c>
      <c r="B88" s="6" t="inlineStr">
        <is>
          <t>Ed Tech Benefits</t>
        </is>
      </c>
      <c r="C88" s="24" t="n">
        <v>637</v>
      </c>
      <c r="D88" s="24" t="n">
        <v>635</v>
      </c>
      <c r="E88" s="24" t="n">
        <v>45</v>
      </c>
      <c r="F88" s="24" t="n">
        <v>534</v>
      </c>
      <c r="G88" s="24" t="n">
        <v>4960</v>
      </c>
      <c r="H88" s="24">
        <f>G88-F88</f>
        <v/>
      </c>
      <c r="I88" s="8">
        <f>IF(F88=0,0,G88/F88-1)</f>
        <v/>
      </c>
    </row>
    <row r="89">
      <c r="A89" s="6" t="inlineStr">
        <is>
          <t>1000.2200.1000.52310.030</t>
        </is>
      </c>
      <c r="B89" s="6" t="inlineStr">
        <is>
          <t>Retirement</t>
        </is>
      </c>
      <c r="C89" s="24" t="n">
        <v>2013</v>
      </c>
      <c r="D89" s="24" t="n">
        <v>3849</v>
      </c>
      <c r="E89" s="24" t="n">
        <v>785</v>
      </c>
      <c r="F89" s="24" t="n">
        <v>3693</v>
      </c>
      <c r="G89" s="24" t="n">
        <v>2005</v>
      </c>
      <c r="H89" s="24">
        <f>G89-F89</f>
        <v/>
      </c>
      <c r="I89" s="8">
        <f>IF(F89=0,0,G89/F89-1)</f>
        <v/>
      </c>
    </row>
    <row r="90">
      <c r="A90" s="6" t="inlineStr">
        <is>
          <t>1000.2200.1000.52320.030</t>
        </is>
      </c>
      <c r="B90" s="6" t="inlineStr">
        <is>
          <t>Retirement</t>
        </is>
      </c>
      <c r="C90" s="24" t="n">
        <v>867</v>
      </c>
      <c r="D90" s="24" t="n">
        <v>938</v>
      </c>
      <c r="E90" s="24" t="n">
        <v>290</v>
      </c>
      <c r="F90" s="24" t="n">
        <v>1153</v>
      </c>
      <c r="G90" s="24" t="n">
        <v>991</v>
      </c>
      <c r="H90" s="24">
        <f>G90-F90</f>
        <v/>
      </c>
      <c r="I90" s="8">
        <f>IF(F90=0,0,G90/F90-1)</f>
        <v/>
      </c>
    </row>
    <row r="91">
      <c r="A91" s="14" t="n"/>
      <c r="B91" s="28" t="inlineStr">
        <is>
          <t>Program 2200 Total</t>
        </is>
      </c>
      <c r="C91" s="29">
        <f>SUM(C84:C90)</f>
        <v/>
      </c>
      <c r="D91" s="29">
        <f>SUM(D84:D90)</f>
        <v/>
      </c>
      <c r="E91" s="29">
        <f>SUM(E84:E90)</f>
        <v/>
      </c>
      <c r="F91" s="29">
        <f>SUM(F84:F90)</f>
        <v/>
      </c>
      <c r="G91" s="29">
        <f>SUM(G84:G90)</f>
        <v/>
      </c>
      <c r="H91" s="29">
        <f>SUM(H84:H90)</f>
        <v/>
      </c>
      <c r="I91" s="29">
        <f>SUM(I84:I90)</f>
        <v/>
      </c>
    </row>
    <row r="92">
      <c r="A92" s="6" t="inlineStr">
        <is>
          <t>1000.2300.1000.51020.030</t>
        </is>
      </c>
      <c r="B92" s="6" t="inlineStr">
        <is>
          <t>Ed Tech Salaries</t>
        </is>
      </c>
      <c r="C92" s="24" t="n">
        <v>35466</v>
      </c>
      <c r="D92" s="24" t="n">
        <v>23995</v>
      </c>
      <c r="E92" s="24" t="n">
        <v>524</v>
      </c>
      <c r="F92" s="24" t="n">
        <v>0</v>
      </c>
      <c r="G92" s="24" t="n">
        <v>0</v>
      </c>
      <c r="H92" s="24">
        <f>G92-F92</f>
        <v/>
      </c>
      <c r="I92" s="8">
        <f>IF(F92=0,0,G92/F92-1)</f>
        <v/>
      </c>
    </row>
    <row r="93">
      <c r="A93" s="6" t="inlineStr">
        <is>
          <t>1000.2300.1000.52020.030</t>
        </is>
      </c>
      <c r="B93" s="6" t="inlineStr">
        <is>
          <t>Ed Tech Benefits</t>
        </is>
      </c>
      <c r="C93" s="24" t="n">
        <v>13402</v>
      </c>
      <c r="D93" s="24" t="n">
        <v>9066</v>
      </c>
      <c r="E93" s="24" t="n">
        <v>5</v>
      </c>
      <c r="F93" s="24" t="n">
        <v>0</v>
      </c>
      <c r="G93" s="24" t="n">
        <v>0</v>
      </c>
      <c r="H93" s="24">
        <f>G93-F93</f>
        <v/>
      </c>
      <c r="I93" s="8">
        <f>IF(F93=0,0,G93/F93-1)</f>
        <v/>
      </c>
    </row>
    <row r="94">
      <c r="A94" s="6" t="inlineStr">
        <is>
          <t>1000.2300.1000.52320.030</t>
        </is>
      </c>
      <c r="B94" s="6" t="inlineStr">
        <is>
          <t>Retirement</t>
        </is>
      </c>
      <c r="C94" s="24" t="n">
        <v>429</v>
      </c>
      <c r="D94" s="24" t="n">
        <v>998</v>
      </c>
      <c r="E94" s="24" t="n">
        <v>7</v>
      </c>
      <c r="F94" s="24" t="n">
        <v>1035</v>
      </c>
      <c r="G94" s="24" t="n">
        <v>0</v>
      </c>
      <c r="H94" s="24">
        <f>G94-F94</f>
        <v/>
      </c>
      <c r="I94" s="8">
        <f>IF(F94=0,0,G94/F94-1)</f>
        <v/>
      </c>
    </row>
    <row r="95">
      <c r="A95" s="14" t="n"/>
      <c r="B95" s="28" t="inlineStr">
        <is>
          <t>Program 2300 Total</t>
        </is>
      </c>
      <c r="C95" s="29">
        <f>SUM(C92:C94)</f>
        <v/>
      </c>
      <c r="D95" s="29">
        <f>SUM(D92:D94)</f>
        <v/>
      </c>
      <c r="E95" s="29">
        <f>SUM(E92:E94)</f>
        <v/>
      </c>
      <c r="F95" s="29">
        <f>SUM(F92:F94)</f>
        <v/>
      </c>
      <c r="G95" s="29">
        <f>SUM(G92:G94)</f>
        <v/>
      </c>
      <c r="H95" s="29">
        <f>SUM(H92:H94)</f>
        <v/>
      </c>
      <c r="I95" s="29">
        <f>SUM(I92:I94)</f>
        <v/>
      </c>
    </row>
    <row r="96">
      <c r="A96" s="14" t="n"/>
      <c r="B96" s="30" t="inlineStr">
        <is>
          <t>Function 1000 Total</t>
        </is>
      </c>
      <c r="C96" s="31">
        <f>C91+C95</f>
        <v/>
      </c>
      <c r="D96" s="31">
        <f>D91+D95</f>
        <v/>
      </c>
      <c r="E96" s="31">
        <f>E91+E95</f>
        <v/>
      </c>
      <c r="F96" s="31">
        <f>F91+F95</f>
        <v/>
      </c>
      <c r="G96" s="31">
        <f>G91+G95</f>
        <v/>
      </c>
      <c r="H96" s="31">
        <f>H91+H95</f>
        <v/>
      </c>
      <c r="I96" s="31">
        <f>I91+I95</f>
        <v/>
      </c>
    </row>
    <row r="97">
      <c r="A97" s="6" t="inlineStr">
        <is>
          <t>1000.2800.2110.51010.030</t>
        </is>
      </c>
      <c r="B97" s="6" t="inlineStr">
        <is>
          <t>Social Worker Salary</t>
        </is>
      </c>
      <c r="C97" s="24" t="n">
        <v>25458</v>
      </c>
      <c r="D97" s="24" t="n">
        <v>30604</v>
      </c>
      <c r="E97" s="24" t="n">
        <v>25868</v>
      </c>
      <c r="F97" s="24" t="n">
        <v>31685</v>
      </c>
      <c r="G97" s="24" t="n">
        <v>32613</v>
      </c>
      <c r="H97" s="24">
        <f>G97-F97</f>
        <v/>
      </c>
      <c r="I97" s="8">
        <f>IF(F97=0,0,G97/F97-1)</f>
        <v/>
      </c>
    </row>
    <row r="98">
      <c r="A98" s="6" t="inlineStr">
        <is>
          <t>1000.2800.2110.52010.030</t>
        </is>
      </c>
      <c r="B98" s="6" t="inlineStr">
        <is>
          <t>Social Worker Benefits</t>
        </is>
      </c>
      <c r="C98" s="24" t="n">
        <v>1703</v>
      </c>
      <c r="D98" s="24" t="n">
        <v>860</v>
      </c>
      <c r="E98" s="24" t="n">
        <v>83</v>
      </c>
      <c r="F98" s="24" t="n">
        <v>602</v>
      </c>
      <c r="G98" s="24" t="n">
        <v>2133</v>
      </c>
      <c r="H98" s="24">
        <f>G98-F98</f>
        <v/>
      </c>
      <c r="I98" s="8">
        <f>IF(F98=0,0,G98/F98-1)</f>
        <v/>
      </c>
    </row>
    <row r="99">
      <c r="A99" s="6" t="inlineStr">
        <is>
          <t>1000.2800.2110.52310.030</t>
        </is>
      </c>
      <c r="B99" s="6" t="inlineStr">
        <is>
          <t>Retirement</t>
        </is>
      </c>
      <c r="C99" s="24" t="n">
        <v>931</v>
      </c>
      <c r="D99" s="24" t="n">
        <v>1197</v>
      </c>
      <c r="E99" s="24" t="n">
        <v>276</v>
      </c>
      <c r="F99" s="24" t="n">
        <v>1318</v>
      </c>
      <c r="G99" s="24" t="n">
        <v>1356</v>
      </c>
      <c r="H99" s="24">
        <f>G99-F99</f>
        <v/>
      </c>
      <c r="I99" s="8">
        <f>IF(F99=0,0,G99/F99-1)</f>
        <v/>
      </c>
    </row>
    <row r="100">
      <c r="A100" s="14" t="n"/>
      <c r="B100" s="28" t="inlineStr">
        <is>
          <t>Program 2800 Total</t>
        </is>
      </c>
      <c r="C100" s="29">
        <f>SUM(C97:C99)</f>
        <v/>
      </c>
      <c r="D100" s="29">
        <f>SUM(D97:D99)</f>
        <v/>
      </c>
      <c r="E100" s="29">
        <f>SUM(E97:E99)</f>
        <v/>
      </c>
      <c r="F100" s="29">
        <f>SUM(F97:F99)</f>
        <v/>
      </c>
      <c r="G100" s="29">
        <f>SUM(G97:G99)</f>
        <v/>
      </c>
      <c r="H100" s="29">
        <f>SUM(H97:H99)</f>
        <v/>
      </c>
      <c r="I100" s="29">
        <f>SUM(I97:I99)</f>
        <v/>
      </c>
    </row>
    <row r="101">
      <c r="A101" s="6" t="inlineStr">
        <is>
          <t>1000.2800.2140.51010.030</t>
        </is>
      </c>
      <c r="B101" s="6" t="inlineStr">
        <is>
          <t>Psychological Services Salary</t>
        </is>
      </c>
      <c r="C101" s="24" t="n">
        <v>47830</v>
      </c>
      <c r="D101" s="24" t="n">
        <v>58388</v>
      </c>
      <c r="E101" s="24" t="n">
        <v>32555</v>
      </c>
      <c r="F101" s="24" t="n">
        <v>15163</v>
      </c>
      <c r="G101" s="24" t="n">
        <v>0</v>
      </c>
      <c r="H101" s="24">
        <f>G101-F101</f>
        <v/>
      </c>
      <c r="I101" s="8">
        <f>IF(F101=0,0,G101/F101-1)</f>
        <v/>
      </c>
    </row>
    <row r="102">
      <c r="A102" s="6" t="inlineStr">
        <is>
          <t>1000.2800.2140.52010.030</t>
        </is>
      </c>
      <c r="B102" s="6" t="inlineStr">
        <is>
          <t>Psych Services Benefit</t>
        </is>
      </c>
      <c r="C102" s="24" t="n">
        <v>6225</v>
      </c>
      <c r="D102" s="24" t="n">
        <v>7759</v>
      </c>
      <c r="E102" s="24" t="n">
        <v>1278</v>
      </c>
      <c r="F102" s="24" t="n">
        <v>3903</v>
      </c>
      <c r="G102" s="24" t="n">
        <v>0</v>
      </c>
      <c r="H102" s="24">
        <f>G102-F102</f>
        <v/>
      </c>
      <c r="I102" s="8">
        <f>IF(F102=0,0,G102/F102-1)</f>
        <v/>
      </c>
    </row>
    <row r="103">
      <c r="A103" s="6" t="inlineStr">
        <is>
          <t>1000.2800.2140.52310.030</t>
        </is>
      </c>
      <c r="B103" s="6" t="inlineStr">
        <is>
          <t>Retirement</t>
        </is>
      </c>
      <c r="C103" s="24" t="n">
        <v>1913</v>
      </c>
      <c r="D103" s="24" t="n">
        <v>2476</v>
      </c>
      <c r="E103" s="24" t="n">
        <v>294</v>
      </c>
      <c r="F103" s="24" t="n">
        <v>631</v>
      </c>
      <c r="G103" s="24" t="n">
        <v>0</v>
      </c>
      <c r="H103" s="24">
        <f>G103-F103</f>
        <v/>
      </c>
      <c r="I103" s="8">
        <f>IF(F103=0,0,G103/F103-1)</f>
        <v/>
      </c>
    </row>
    <row r="104">
      <c r="A104" s="6" t="inlineStr">
        <is>
          <t>1000.2800.2140.55800.030</t>
        </is>
      </c>
      <c r="B104" s="6" t="inlineStr">
        <is>
          <t>Travel</t>
        </is>
      </c>
      <c r="C104" s="24" t="n">
        <v>0</v>
      </c>
      <c r="D104" s="24" t="n">
        <v>0</v>
      </c>
      <c r="E104" s="24" t="n">
        <v>0</v>
      </c>
      <c r="F104" s="24" t="n">
        <v>116</v>
      </c>
      <c r="G104" s="24" t="n">
        <v>125</v>
      </c>
      <c r="H104" s="24">
        <f>G104-F104</f>
        <v/>
      </c>
      <c r="I104" s="8">
        <f>IF(F104=0,0,G104/F104-1)</f>
        <v/>
      </c>
    </row>
    <row r="105">
      <c r="A105" s="14" t="n"/>
      <c r="B105" s="28" t="inlineStr">
        <is>
          <t>Program 2800 Total</t>
        </is>
      </c>
      <c r="C105" s="29">
        <f>SUM(C101:C104)</f>
        <v/>
      </c>
      <c r="D105" s="29">
        <f>SUM(D101:D104)</f>
        <v/>
      </c>
      <c r="E105" s="29">
        <f>SUM(E101:E104)</f>
        <v/>
      </c>
      <c r="F105" s="29">
        <f>SUM(F101:F104)</f>
        <v/>
      </c>
      <c r="G105" s="29">
        <f>SUM(G101:G104)</f>
        <v/>
      </c>
      <c r="H105" s="29">
        <f>SUM(H101:H104)</f>
        <v/>
      </c>
      <c r="I105" s="29">
        <f>SUM(I101:I104)</f>
        <v/>
      </c>
    </row>
    <row r="106">
      <c r="A106" s="6" t="inlineStr">
        <is>
          <t>1000.2800.2150.51010.030</t>
        </is>
      </c>
      <c r="B106" s="6" t="inlineStr">
        <is>
          <t>Speech &amp; Audiology Salaries</t>
        </is>
      </c>
      <c r="C106" s="24" t="n">
        <v>44864</v>
      </c>
      <c r="D106" s="24" t="n">
        <v>32654</v>
      </c>
      <c r="E106" s="24" t="n">
        <v>30068</v>
      </c>
      <c r="F106" s="24" t="n">
        <v>29596</v>
      </c>
      <c r="G106" s="24" t="n">
        <v>33377</v>
      </c>
      <c r="H106" s="24">
        <f>G106-F106</f>
        <v/>
      </c>
      <c r="I106" s="8">
        <f>IF(F106=0,0,G106/F106-1)</f>
        <v/>
      </c>
    </row>
    <row r="107">
      <c r="A107" s="6" t="inlineStr">
        <is>
          <t>1000.2800.2150.52010.030</t>
        </is>
      </c>
      <c r="B107" s="6" t="inlineStr">
        <is>
          <t>Speech &amp; Audiology Benefits</t>
        </is>
      </c>
      <c r="C107" s="24" t="n">
        <v>14149</v>
      </c>
      <c r="D107" s="24" t="n">
        <v>6587</v>
      </c>
      <c r="E107" s="24" t="n">
        <v>1925</v>
      </c>
      <c r="F107" s="24" t="n">
        <v>8592</v>
      </c>
      <c r="G107" s="24" t="n">
        <v>9631</v>
      </c>
      <c r="H107" s="24">
        <f>G107-F107</f>
        <v/>
      </c>
      <c r="I107" s="8">
        <f>IF(F107=0,0,G107/F107-1)</f>
        <v/>
      </c>
    </row>
    <row r="108">
      <c r="A108" s="6" t="inlineStr">
        <is>
          <t>1000.2800.2150.52310.030</t>
        </is>
      </c>
      <c r="B108" s="6" t="inlineStr">
        <is>
          <t>Retirement</t>
        </is>
      </c>
      <c r="C108" s="24" t="n">
        <v>1791</v>
      </c>
      <c r="D108" s="24" t="n">
        <v>1358</v>
      </c>
      <c r="E108" s="24" t="n">
        <v>271</v>
      </c>
      <c r="F108" s="24" t="n">
        <v>1231</v>
      </c>
      <c r="G108" s="24" t="n">
        <v>1289</v>
      </c>
      <c r="H108" s="24">
        <f>G108-F108</f>
        <v/>
      </c>
      <c r="I108" s="8">
        <f>IF(F108=0,0,G108/F108-1)</f>
        <v/>
      </c>
    </row>
    <row r="109">
      <c r="A109" s="6" t="inlineStr">
        <is>
          <t>1000.2800.2150.55800.030</t>
        </is>
      </c>
      <c r="B109" s="6" t="inlineStr">
        <is>
          <t>Travel</t>
        </is>
      </c>
      <c r="C109" s="24" t="n">
        <v>0</v>
      </c>
      <c r="D109" s="24" t="n">
        <v>0</v>
      </c>
      <c r="E109" s="24" t="n">
        <v>0</v>
      </c>
      <c r="F109" s="24" t="n">
        <v>0</v>
      </c>
      <c r="G109" s="24" t="n">
        <v>125</v>
      </c>
      <c r="H109" s="24">
        <f>G109-F109</f>
        <v/>
      </c>
      <c r="I109" s="8">
        <f>IF(F109=0,0,G109/F109-1)</f>
        <v/>
      </c>
    </row>
    <row r="110">
      <c r="A110" s="14" t="n"/>
      <c r="B110" s="28" t="inlineStr">
        <is>
          <t>Program 2800 Total</t>
        </is>
      </c>
      <c r="C110" s="29">
        <f>SUM(C106:C109)</f>
        <v/>
      </c>
      <c r="D110" s="29">
        <f>SUM(D106:D109)</f>
        <v/>
      </c>
      <c r="E110" s="29">
        <f>SUM(E106:E109)</f>
        <v/>
      </c>
      <c r="F110" s="29">
        <f>SUM(F106:F109)</f>
        <v/>
      </c>
      <c r="G110" s="29">
        <f>SUM(G106:G109)</f>
        <v/>
      </c>
      <c r="H110" s="29">
        <f>SUM(H106:H109)</f>
        <v/>
      </c>
      <c r="I110" s="29">
        <f>SUM(I106:I109)</f>
        <v/>
      </c>
    </row>
    <row r="111">
      <c r="A111" s="6" t="inlineStr">
        <is>
          <t>1000.2800.2160.51010.030</t>
        </is>
      </c>
      <c r="B111" s="6" t="inlineStr">
        <is>
          <t>OT Salary</t>
        </is>
      </c>
      <c r="C111" s="24" t="n">
        <v>1520</v>
      </c>
      <c r="D111" s="24" t="n">
        <v>0</v>
      </c>
      <c r="E111" s="24" t="n">
        <v>12423</v>
      </c>
      <c r="F111" s="24" t="n">
        <v>14951</v>
      </c>
      <c r="G111" s="24" t="n">
        <v>17306</v>
      </c>
      <c r="H111" s="24">
        <f>G111-F111</f>
        <v/>
      </c>
      <c r="I111" s="8">
        <f>IF(F111=0,0,G111/F111-1)</f>
        <v/>
      </c>
    </row>
    <row r="112">
      <c r="A112" s="6" t="inlineStr">
        <is>
          <t>1000.2800.2160.52010.030</t>
        </is>
      </c>
      <c r="B112" s="6" t="inlineStr">
        <is>
          <t>OT Benefits</t>
        </is>
      </c>
      <c r="C112" s="24" t="n">
        <v>65</v>
      </c>
      <c r="D112" s="24" t="n">
        <v>0</v>
      </c>
      <c r="E112" s="24" t="n">
        <v>470</v>
      </c>
      <c r="F112" s="24" t="n">
        <v>279</v>
      </c>
      <c r="G112" s="24" t="n">
        <v>4204</v>
      </c>
      <c r="H112" s="24">
        <f>G112-F112</f>
        <v/>
      </c>
      <c r="I112" s="8">
        <f>IF(F112=0,0,G112/F112-1)</f>
        <v/>
      </c>
    </row>
    <row r="113">
      <c r="A113" s="6" t="inlineStr">
        <is>
          <t>1000.2800.2160.52310.030</t>
        </is>
      </c>
      <c r="B113" s="6" t="inlineStr">
        <is>
          <t>Retirement</t>
        </is>
      </c>
      <c r="C113" s="24" t="n">
        <v>0</v>
      </c>
      <c r="D113" s="24" t="n">
        <v>0</v>
      </c>
      <c r="E113" s="24" t="n">
        <v>0</v>
      </c>
      <c r="F113" s="24" t="n">
        <v>622</v>
      </c>
      <c r="G113" s="24" t="n">
        <v>871</v>
      </c>
      <c r="H113" s="24">
        <f>G113-F113</f>
        <v/>
      </c>
      <c r="I113" s="8">
        <f>IF(F113=0,0,G113/F113-1)</f>
        <v/>
      </c>
    </row>
    <row r="114">
      <c r="A114" s="6" t="inlineStr">
        <is>
          <t>1000.2800.2160.55800.030</t>
        </is>
      </c>
      <c r="B114" s="6" t="inlineStr">
        <is>
          <t>Travel</t>
        </is>
      </c>
      <c r="C114" s="24" t="n">
        <v>161</v>
      </c>
      <c r="D114" s="24" t="n">
        <v>0</v>
      </c>
      <c r="E114" s="24" t="n">
        <v>0</v>
      </c>
      <c r="F114" s="24" t="n">
        <v>160</v>
      </c>
      <c r="G114" s="24" t="n">
        <v>125</v>
      </c>
      <c r="H114" s="24">
        <f>G114-F114</f>
        <v/>
      </c>
      <c r="I114" s="8">
        <f>IF(F114=0,0,G114/F114-1)</f>
        <v/>
      </c>
    </row>
    <row r="115">
      <c r="A115" s="14" t="n"/>
      <c r="B115" s="28" t="inlineStr">
        <is>
          <t>Program 2800 Total</t>
        </is>
      </c>
      <c r="C115" s="29">
        <f>SUM(C111:C114)</f>
        <v/>
      </c>
      <c r="D115" s="29">
        <f>SUM(D111:D114)</f>
        <v/>
      </c>
      <c r="E115" s="29">
        <f>SUM(E111:E114)</f>
        <v/>
      </c>
      <c r="F115" s="29">
        <f>SUM(F111:F114)</f>
        <v/>
      </c>
      <c r="G115" s="29">
        <f>SUM(G111:G114)</f>
        <v/>
      </c>
      <c r="H115" s="29">
        <f>SUM(H111:H114)</f>
        <v/>
      </c>
      <c r="I115" s="29">
        <f>SUM(I111:I114)</f>
        <v/>
      </c>
    </row>
    <row r="116">
      <c r="A116" s="14" t="n"/>
      <c r="B116" s="17" t="inlineStr">
        <is>
          <t>Cost Center ('030',) Total</t>
        </is>
      </c>
      <c r="C116" s="32">
        <f>C96+C100+C105+C110+C115</f>
        <v/>
      </c>
      <c r="D116" s="32">
        <f>D96+D100+D105+D110+D115</f>
        <v/>
      </c>
      <c r="E116" s="32">
        <f>E96+E100+E105+E110+E115</f>
        <v/>
      </c>
      <c r="F116" s="32">
        <f>F96+F100+F105+F110+F115</f>
        <v/>
      </c>
      <c r="G116" s="32">
        <f>G96+G100+G105+G110+G115</f>
        <v/>
      </c>
      <c r="H116" s="32">
        <f>H96+H100+H105+H110+H115</f>
        <v/>
      </c>
      <c r="I116" s="32">
        <f>I96+I100+I105+I110+I115</f>
        <v/>
      </c>
    </row>
    <row r="118">
      <c r="A118" s="3" t="inlineStr">
        <is>
          <t>Cost Center: ('040',)</t>
        </is>
      </c>
    </row>
    <row r="119">
      <c r="A119" s="6" t="inlineStr">
        <is>
          <t>1000.2200.1000.51010.040</t>
        </is>
      </c>
      <c r="B119" s="6" t="inlineStr">
        <is>
          <t>Teacher Salaries</t>
        </is>
      </c>
      <c r="C119" s="24" t="n">
        <v>136310</v>
      </c>
      <c r="D119" s="24" t="n">
        <v>142126</v>
      </c>
      <c r="E119" s="24" t="n">
        <v>147450</v>
      </c>
      <c r="F119" s="24" t="n">
        <v>147721</v>
      </c>
      <c r="G119" s="24" t="n">
        <v>81983</v>
      </c>
      <c r="H119" s="24">
        <f>G119-F119</f>
        <v/>
      </c>
      <c r="I119" s="8">
        <f>IF(F119=0,0,G119/F119-1)</f>
        <v/>
      </c>
    </row>
    <row r="120">
      <c r="A120" s="6" t="inlineStr">
        <is>
          <t>1000.2200.1000.51020.040</t>
        </is>
      </c>
      <c r="B120" s="6" t="inlineStr">
        <is>
          <t>Ed Tech Salaries</t>
        </is>
      </c>
      <c r="C120" s="24" t="n">
        <v>73313</v>
      </c>
      <c r="D120" s="24" t="n">
        <v>1415</v>
      </c>
      <c r="E120" s="24" t="n">
        <v>25166</v>
      </c>
      <c r="F120" s="24" t="n">
        <v>63794</v>
      </c>
      <c r="G120" s="24" t="n">
        <v>0</v>
      </c>
      <c r="H120" s="24">
        <f>G120-F120</f>
        <v/>
      </c>
      <c r="I120" s="8">
        <f>IF(F120=0,0,G120/F120-1)</f>
        <v/>
      </c>
    </row>
    <row r="121">
      <c r="A121" s="6" t="inlineStr">
        <is>
          <t>1000.2200.1000.52010.040</t>
        </is>
      </c>
      <c r="B121" s="6" t="inlineStr">
        <is>
          <t>Teacher Benefits</t>
        </is>
      </c>
      <c r="C121" s="24" t="n">
        <v>39603</v>
      </c>
      <c r="D121" s="24" t="n">
        <v>42788</v>
      </c>
      <c r="E121" s="24" t="n">
        <v>9259</v>
      </c>
      <c r="F121" s="24" t="n">
        <v>47609</v>
      </c>
      <c r="G121" s="24" t="n">
        <v>22116</v>
      </c>
      <c r="H121" s="24">
        <f>G121-F121</f>
        <v/>
      </c>
      <c r="I121" s="8">
        <f>IF(F121=0,0,G121/F121-1)</f>
        <v/>
      </c>
    </row>
    <row r="122">
      <c r="A122" s="6" t="inlineStr">
        <is>
          <t>1000.2200.1000.52020.040</t>
        </is>
      </c>
      <c r="B122" s="6" t="inlineStr">
        <is>
          <t>Ed Tech Benefits</t>
        </is>
      </c>
      <c r="C122" s="24" t="n">
        <v>21115</v>
      </c>
      <c r="D122" s="24" t="n">
        <v>676</v>
      </c>
      <c r="E122" s="24" t="n">
        <v>0</v>
      </c>
      <c r="F122" s="24" t="n">
        <v>13986</v>
      </c>
      <c r="G122" s="24" t="n">
        <v>0</v>
      </c>
      <c r="H122" s="24">
        <f>G122-F122</f>
        <v/>
      </c>
      <c r="I122" s="8">
        <f>IF(F122=0,0,G122/F122-1)</f>
        <v/>
      </c>
    </row>
    <row r="123">
      <c r="A123" s="6" t="inlineStr">
        <is>
          <t>1000.2200.1000.52310.040</t>
        </is>
      </c>
      <c r="B123" s="6" t="inlineStr">
        <is>
          <t>Retirement</t>
        </is>
      </c>
      <c r="C123" s="24" t="n">
        <v>5497</v>
      </c>
      <c r="D123" s="24" t="n">
        <v>5960</v>
      </c>
      <c r="E123" s="24" t="n">
        <v>1375</v>
      </c>
      <c r="F123" s="24" t="n">
        <v>6335</v>
      </c>
      <c r="G123" s="24" t="n">
        <v>3410</v>
      </c>
      <c r="H123" s="24">
        <f>G123-F123</f>
        <v/>
      </c>
      <c r="I123" s="8">
        <f>IF(F123=0,0,G123/F123-1)</f>
        <v/>
      </c>
    </row>
    <row r="124">
      <c r="A124" s="6" t="inlineStr">
        <is>
          <t>1000.2200.1000.52320.040</t>
        </is>
      </c>
      <c r="B124" s="6" t="inlineStr">
        <is>
          <t>Retirement</t>
        </is>
      </c>
      <c r="C124" s="24" t="n">
        <v>2911</v>
      </c>
      <c r="D124" s="24" t="n">
        <v>0</v>
      </c>
      <c r="E124" s="24" t="n">
        <v>0</v>
      </c>
      <c r="F124" s="24" t="n">
        <v>958</v>
      </c>
      <c r="G124" s="24" t="n">
        <v>0</v>
      </c>
      <c r="H124" s="24">
        <f>G124-F124</f>
        <v/>
      </c>
      <c r="I124" s="8">
        <f>IF(F124=0,0,G124/F124-1)</f>
        <v/>
      </c>
    </row>
    <row r="125">
      <c r="A125" s="14" t="n"/>
      <c r="B125" s="28" t="inlineStr">
        <is>
          <t>Program 2200 Total</t>
        </is>
      </c>
      <c r="C125" s="29">
        <f>SUM(C119:C124)</f>
        <v/>
      </c>
      <c r="D125" s="29">
        <f>SUM(D119:D124)</f>
        <v/>
      </c>
      <c r="E125" s="29">
        <f>SUM(E119:E124)</f>
        <v/>
      </c>
      <c r="F125" s="29">
        <f>SUM(F119:F124)</f>
        <v/>
      </c>
      <c r="G125" s="29">
        <f>SUM(G119:G124)</f>
        <v/>
      </c>
      <c r="H125" s="29">
        <f>SUM(H119:H124)</f>
        <v/>
      </c>
      <c r="I125" s="29">
        <f>SUM(I119:I124)</f>
        <v/>
      </c>
    </row>
    <row r="126">
      <c r="A126" s="6" t="inlineStr">
        <is>
          <t>1000.2300.1000.51010.040</t>
        </is>
      </c>
      <c r="B126" s="6" t="inlineStr">
        <is>
          <t>Teacher Salaries</t>
        </is>
      </c>
      <c r="C126" s="24" t="n">
        <v>0</v>
      </c>
      <c r="D126" s="24" t="n">
        <v>0</v>
      </c>
      <c r="E126" s="24" t="n">
        <v>0</v>
      </c>
      <c r="F126" s="24" t="n">
        <v>61500</v>
      </c>
      <c r="G126" s="24" t="n">
        <v>122293</v>
      </c>
      <c r="H126" s="24">
        <f>G126-F126</f>
        <v/>
      </c>
      <c r="I126" s="8">
        <f>IF(F126=0,0,G126/F126-1)</f>
        <v/>
      </c>
    </row>
    <row r="127">
      <c r="A127" s="6" t="inlineStr">
        <is>
          <t>1000.2300.1000.51020.040</t>
        </is>
      </c>
      <c r="B127" s="6" t="inlineStr">
        <is>
          <t>Ed Tech Salaries</t>
        </is>
      </c>
      <c r="C127" s="24" t="n">
        <v>0</v>
      </c>
      <c r="D127" s="24" t="n">
        <v>0</v>
      </c>
      <c r="E127" s="24" t="n">
        <v>0</v>
      </c>
      <c r="F127" s="24" t="n">
        <v>31546</v>
      </c>
      <c r="G127" s="24" t="n">
        <v>140033</v>
      </c>
      <c r="H127" s="24">
        <f>G127-F127</f>
        <v/>
      </c>
      <c r="I127" s="8">
        <f>IF(F127=0,0,G127/F127-1)</f>
        <v/>
      </c>
    </row>
    <row r="128">
      <c r="A128" s="6" t="inlineStr">
        <is>
          <t>1000.2300.1000.52010.040</t>
        </is>
      </c>
      <c r="B128" s="6" t="inlineStr">
        <is>
          <t>Teacher Benefits</t>
        </is>
      </c>
      <c r="C128" s="24" t="n">
        <v>0</v>
      </c>
      <c r="D128" s="24" t="n">
        <v>0</v>
      </c>
      <c r="E128" s="24" t="n">
        <v>0</v>
      </c>
      <c r="F128" s="24" t="n">
        <v>1153</v>
      </c>
      <c r="G128" s="24" t="n">
        <v>15132</v>
      </c>
      <c r="H128" s="24">
        <f>G128-F128</f>
        <v/>
      </c>
      <c r="I128" s="8">
        <f>IF(F128=0,0,G128/F128-1)</f>
        <v/>
      </c>
    </row>
    <row r="129">
      <c r="A129" s="6" t="inlineStr">
        <is>
          <t>1000.2300.1000.52020.040</t>
        </is>
      </c>
      <c r="B129" s="6" t="inlineStr">
        <is>
          <t>Ed Tech Benefits</t>
        </is>
      </c>
      <c r="C129" s="24" t="n">
        <v>0</v>
      </c>
      <c r="D129" s="24" t="n">
        <v>0</v>
      </c>
      <c r="E129" s="24" t="n">
        <v>0</v>
      </c>
      <c r="F129" s="24" t="n">
        <v>481</v>
      </c>
      <c r="G129" s="24" t="n">
        <v>59873</v>
      </c>
      <c r="H129" s="24">
        <f>G129-F129</f>
        <v/>
      </c>
      <c r="I129" s="8">
        <f>IF(F129=0,0,G129/F129-1)</f>
        <v/>
      </c>
    </row>
    <row r="130">
      <c r="A130" s="6" t="inlineStr">
        <is>
          <t>1000.2300.1000.52310.040</t>
        </is>
      </c>
      <c r="B130" s="6" t="inlineStr">
        <is>
          <t>Retirement</t>
        </is>
      </c>
      <c r="C130" s="24" t="n">
        <v>0</v>
      </c>
      <c r="D130" s="24" t="n">
        <v>0</v>
      </c>
      <c r="E130" s="24" t="n">
        <v>0</v>
      </c>
      <c r="F130" s="24" t="n">
        <v>2558</v>
      </c>
      <c r="G130" s="24" t="n">
        <v>5087</v>
      </c>
      <c r="H130" s="24">
        <f>G130-F130</f>
        <v/>
      </c>
      <c r="I130" s="8">
        <f>IF(F130=0,0,G130/F130-1)</f>
        <v/>
      </c>
    </row>
    <row r="131">
      <c r="A131" s="6" t="inlineStr">
        <is>
          <t>1000.2300.1000.52320.040</t>
        </is>
      </c>
      <c r="B131" s="6" t="inlineStr">
        <is>
          <t>Retirement</t>
        </is>
      </c>
      <c r="C131" s="24" t="n">
        <v>0</v>
      </c>
      <c r="D131" s="24" t="n">
        <v>0</v>
      </c>
      <c r="E131" s="24" t="n">
        <v>0</v>
      </c>
      <c r="F131" s="24" t="n">
        <v>5971</v>
      </c>
      <c r="G131" s="24" t="n">
        <v>5825</v>
      </c>
      <c r="H131" s="24">
        <f>G131-F131</f>
        <v/>
      </c>
      <c r="I131" s="8">
        <f>IF(F131=0,0,G131/F131-1)</f>
        <v/>
      </c>
    </row>
    <row r="132">
      <c r="A132" s="14" t="n"/>
      <c r="B132" s="28" t="inlineStr">
        <is>
          <t>Program 2300 Total</t>
        </is>
      </c>
      <c r="C132" s="29">
        <f>SUM(C126:C131)</f>
        <v/>
      </c>
      <c r="D132" s="29">
        <f>SUM(D126:D131)</f>
        <v/>
      </c>
      <c r="E132" s="29">
        <f>SUM(E126:E131)</f>
        <v/>
      </c>
      <c r="F132" s="29">
        <f>SUM(F126:F131)</f>
        <v/>
      </c>
      <c r="G132" s="29">
        <f>SUM(G126:G131)</f>
        <v/>
      </c>
      <c r="H132" s="29">
        <f>SUM(H126:H131)</f>
        <v/>
      </c>
      <c r="I132" s="29">
        <f>SUM(I126:I131)</f>
        <v/>
      </c>
    </row>
    <row r="133">
      <c r="A133" s="14" t="n"/>
      <c r="B133" s="30" t="inlineStr">
        <is>
          <t>Function 1000 Total</t>
        </is>
      </c>
      <c r="C133" s="31">
        <f>C125+C132</f>
        <v/>
      </c>
      <c r="D133" s="31">
        <f>D125+D132</f>
        <v/>
      </c>
      <c r="E133" s="31">
        <f>E125+E132</f>
        <v/>
      </c>
      <c r="F133" s="31">
        <f>F125+F132</f>
        <v/>
      </c>
      <c r="G133" s="31">
        <f>G125+G132</f>
        <v/>
      </c>
      <c r="H133" s="31">
        <f>H125+H132</f>
        <v/>
      </c>
      <c r="I133" s="31">
        <f>I125+I132</f>
        <v/>
      </c>
    </row>
    <row r="134">
      <c r="A134" s="6" t="inlineStr">
        <is>
          <t>1000.2800.2110.51010.040</t>
        </is>
      </c>
      <c r="B134" s="6" t="inlineStr">
        <is>
          <t>Social Worker Salary</t>
        </is>
      </c>
      <c r="C134" s="24" t="n">
        <v>88432</v>
      </c>
      <c r="D134" s="24" t="n">
        <v>93918</v>
      </c>
      <c r="E134" s="24" t="n">
        <v>62567</v>
      </c>
      <c r="F134" s="24" t="n">
        <v>35007</v>
      </c>
      <c r="G134" s="24" t="n">
        <v>36246</v>
      </c>
      <c r="H134" s="24">
        <f>G134-F134</f>
        <v/>
      </c>
      <c r="I134" s="8">
        <f>IF(F134=0,0,G134/F134-1)</f>
        <v/>
      </c>
    </row>
    <row r="135">
      <c r="A135" s="6" t="inlineStr">
        <is>
          <t>1000.2800.2110.52010.040</t>
        </is>
      </c>
      <c r="B135" s="6" t="inlineStr">
        <is>
          <t>Social Worker Benefits</t>
        </is>
      </c>
      <c r="C135" s="24" t="n">
        <v>29992</v>
      </c>
      <c r="D135" s="24" t="n">
        <v>27779</v>
      </c>
      <c r="E135" s="24" t="n">
        <v>6103</v>
      </c>
      <c r="F135" s="24" t="n">
        <v>7814</v>
      </c>
      <c r="G135" s="24" t="n">
        <v>15258</v>
      </c>
      <c r="H135" s="24">
        <f>G135-F135</f>
        <v/>
      </c>
      <c r="I135" s="8">
        <f>IF(F135=0,0,G135/F135-1)</f>
        <v/>
      </c>
    </row>
    <row r="136">
      <c r="A136" s="6" t="inlineStr">
        <is>
          <t>1000.2800.2110.52310.040</t>
        </is>
      </c>
      <c r="B136" s="6" t="inlineStr">
        <is>
          <t>Retirement</t>
        </is>
      </c>
      <c r="C136" s="24" t="n">
        <v>3537</v>
      </c>
      <c r="D136" s="24" t="n">
        <v>3907</v>
      </c>
      <c r="E136" s="24" t="n">
        <v>948</v>
      </c>
      <c r="F136" s="24" t="n">
        <v>1456</v>
      </c>
      <c r="G136" s="24" t="n">
        <v>1507</v>
      </c>
      <c r="H136" s="24">
        <f>G136-F136</f>
        <v/>
      </c>
      <c r="I136" s="8">
        <f>IF(F136=0,0,G136/F136-1)</f>
        <v/>
      </c>
    </row>
    <row r="137">
      <c r="A137" s="6" t="inlineStr">
        <is>
          <t>1000.2800.2110.55800.040</t>
        </is>
      </c>
      <c r="B137" s="6" t="inlineStr">
        <is>
          <t>Travel</t>
        </is>
      </c>
      <c r="C137" s="24" t="n">
        <v>0</v>
      </c>
      <c r="D137" s="24" t="n">
        <v>0</v>
      </c>
      <c r="E137" s="24" t="n">
        <v>0</v>
      </c>
      <c r="F137" s="24" t="n">
        <v>0</v>
      </c>
      <c r="G137" s="24" t="n">
        <v>150</v>
      </c>
      <c r="H137" s="24">
        <f>G137-F137</f>
        <v/>
      </c>
      <c r="I137" s="8">
        <f>IF(F137=0,0,G137/F137-1)</f>
        <v/>
      </c>
    </row>
    <row r="138">
      <c r="A138" s="14" t="n"/>
      <c r="B138" s="28" t="inlineStr">
        <is>
          <t>Program 2800 Total</t>
        </is>
      </c>
      <c r="C138" s="29">
        <f>SUM(C134:C137)</f>
        <v/>
      </c>
      <c r="D138" s="29">
        <f>SUM(D134:D137)</f>
        <v/>
      </c>
      <c r="E138" s="29">
        <f>SUM(E134:E137)</f>
        <v/>
      </c>
      <c r="F138" s="29">
        <f>SUM(F134:F137)</f>
        <v/>
      </c>
      <c r="G138" s="29">
        <f>SUM(G134:G137)</f>
        <v/>
      </c>
      <c r="H138" s="29">
        <f>SUM(H134:H137)</f>
        <v/>
      </c>
      <c r="I138" s="29">
        <f>SUM(I134:I137)</f>
        <v/>
      </c>
    </row>
    <row r="139">
      <c r="A139" s="6" t="inlineStr">
        <is>
          <t>1000.2800.2140.51010.040</t>
        </is>
      </c>
      <c r="B139" s="6" t="inlineStr">
        <is>
          <t>Psychological Services Salary</t>
        </is>
      </c>
      <c r="C139" s="24" t="n">
        <v>16651</v>
      </c>
      <c r="D139" s="24" t="n">
        <v>25390</v>
      </c>
      <c r="E139" s="24" t="n">
        <v>32555</v>
      </c>
      <c r="F139" s="24" t="n">
        <v>28798</v>
      </c>
      <c r="G139" s="24" t="n">
        <v>0</v>
      </c>
      <c r="H139" s="24">
        <f>G139-F139</f>
        <v/>
      </c>
      <c r="I139" s="8">
        <f>IF(F139=0,0,G139/F139-1)</f>
        <v/>
      </c>
    </row>
    <row r="140">
      <c r="A140" s="6" t="inlineStr">
        <is>
          <t>1000.2800.2140.52010.040</t>
        </is>
      </c>
      <c r="B140" s="6" t="inlineStr">
        <is>
          <t>Psych Services Benefit</t>
        </is>
      </c>
      <c r="C140" s="24" t="n">
        <v>3953</v>
      </c>
      <c r="D140" s="24" t="n">
        <v>5029</v>
      </c>
      <c r="E140" s="24" t="n">
        <v>1247</v>
      </c>
      <c r="F140" s="24" t="n">
        <v>5566</v>
      </c>
      <c r="G140" s="24" t="n">
        <v>0</v>
      </c>
      <c r="H140" s="24">
        <f>G140-F140</f>
        <v/>
      </c>
      <c r="I140" s="8">
        <f>IF(F140=0,0,G140/F140-1)</f>
        <v/>
      </c>
    </row>
    <row r="141">
      <c r="A141" s="6" t="inlineStr">
        <is>
          <t>1000.2800.2140.52310.040</t>
        </is>
      </c>
      <c r="B141" s="6" t="inlineStr">
        <is>
          <t>Retirement</t>
        </is>
      </c>
      <c r="C141" s="24" t="n">
        <v>666</v>
      </c>
      <c r="D141" s="24" t="n">
        <v>1056</v>
      </c>
      <c r="E141" s="24" t="n">
        <v>294</v>
      </c>
      <c r="F141" s="24" t="n">
        <v>1198</v>
      </c>
      <c r="G141" s="24" t="n">
        <v>0</v>
      </c>
      <c r="H141" s="24">
        <f>G141-F141</f>
        <v/>
      </c>
      <c r="I141" s="8">
        <f>IF(F141=0,0,G141/F141-1)</f>
        <v/>
      </c>
    </row>
    <row r="142">
      <c r="A142" s="6" t="inlineStr">
        <is>
          <t>1000.2800.2140.55800.040</t>
        </is>
      </c>
      <c r="B142" s="6" t="inlineStr">
        <is>
          <t>Travel</t>
        </is>
      </c>
      <c r="C142" s="24" t="n">
        <v>0</v>
      </c>
      <c r="D142" s="24" t="n">
        <v>0</v>
      </c>
      <c r="E142" s="24" t="n">
        <v>0</v>
      </c>
      <c r="F142" s="24" t="n">
        <v>116</v>
      </c>
      <c r="G142" s="24" t="n">
        <v>125</v>
      </c>
      <c r="H142" s="24">
        <f>G142-F142</f>
        <v/>
      </c>
      <c r="I142" s="8">
        <f>IF(F142=0,0,G142/F142-1)</f>
        <v/>
      </c>
    </row>
    <row r="143">
      <c r="A143" s="14" t="n"/>
      <c r="B143" s="28" t="inlineStr">
        <is>
          <t>Program 2800 Total</t>
        </is>
      </c>
      <c r="C143" s="29">
        <f>SUM(C139:C142)</f>
        <v/>
      </c>
      <c r="D143" s="29">
        <f>SUM(D139:D142)</f>
        <v/>
      </c>
      <c r="E143" s="29">
        <f>SUM(E139:E142)</f>
        <v/>
      </c>
      <c r="F143" s="29">
        <f>SUM(F139:F142)</f>
        <v/>
      </c>
      <c r="G143" s="29">
        <f>SUM(G139:G142)</f>
        <v/>
      </c>
      <c r="H143" s="29">
        <f>SUM(H139:H142)</f>
        <v/>
      </c>
      <c r="I143" s="29">
        <f>SUM(I139:I142)</f>
        <v/>
      </c>
    </row>
    <row r="144">
      <c r="A144" s="6" t="inlineStr">
        <is>
          <t>1000.2800.2150.51010.040</t>
        </is>
      </c>
      <c r="B144" s="6" t="inlineStr">
        <is>
          <t>Speech &amp; Audiology Salaries</t>
        </is>
      </c>
      <c r="C144" s="24" t="n">
        <v>44864</v>
      </c>
      <c r="D144" s="24" t="n">
        <v>44165</v>
      </c>
      <c r="E144" s="24" t="n">
        <v>45102</v>
      </c>
      <c r="F144" s="24" t="n">
        <v>44395</v>
      </c>
      <c r="G144" s="24" t="n">
        <v>86897</v>
      </c>
      <c r="H144" s="24">
        <f>G144-F144</f>
        <v/>
      </c>
      <c r="I144" s="8">
        <f>IF(F144=0,0,G144/F144-1)</f>
        <v/>
      </c>
    </row>
    <row r="145">
      <c r="A145" s="6" t="inlineStr">
        <is>
          <t>1000.2800.2150.52010.040</t>
        </is>
      </c>
      <c r="B145" s="6" t="inlineStr">
        <is>
          <t>Speech &amp; Audiology Benefits</t>
        </is>
      </c>
      <c r="C145" s="24" t="n">
        <v>14148</v>
      </c>
      <c r="D145" s="24" t="n">
        <v>10700</v>
      </c>
      <c r="E145" s="24" t="n">
        <v>2889</v>
      </c>
      <c r="F145" s="24" t="n">
        <v>12888</v>
      </c>
      <c r="G145" s="24" t="n">
        <v>23267</v>
      </c>
      <c r="H145" s="24">
        <f>G145-F145</f>
        <v/>
      </c>
      <c r="I145" s="8">
        <f>IF(F145=0,0,G145/F145-1)</f>
        <v/>
      </c>
    </row>
    <row r="146">
      <c r="A146" s="6" t="inlineStr">
        <is>
          <t>1000.2800.2150.52310.040</t>
        </is>
      </c>
      <c r="B146" s="6" t="inlineStr">
        <is>
          <t>Retirement</t>
        </is>
      </c>
      <c r="C146" s="24" t="n">
        <v>1791</v>
      </c>
      <c r="D146" s="24" t="n">
        <v>1837</v>
      </c>
      <c r="E146" s="24" t="n">
        <v>406</v>
      </c>
      <c r="F146" s="24" t="n">
        <v>1847</v>
      </c>
      <c r="G146" s="24" t="n">
        <v>4240</v>
      </c>
      <c r="H146" s="24">
        <f>G146-F146</f>
        <v/>
      </c>
      <c r="I146" s="8">
        <f>IF(F146=0,0,G146/F146-1)</f>
        <v/>
      </c>
    </row>
    <row r="147">
      <c r="A147" s="6" t="inlineStr">
        <is>
          <t>1000.2800.2150.55800.040</t>
        </is>
      </c>
      <c r="B147" s="6" t="inlineStr">
        <is>
          <t>Travel</t>
        </is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125</v>
      </c>
      <c r="H147" s="24">
        <f>G147-F147</f>
        <v/>
      </c>
      <c r="I147" s="8">
        <f>IF(F147=0,0,G147/F147-1)</f>
        <v/>
      </c>
    </row>
    <row r="148">
      <c r="A148" s="14" t="n"/>
      <c r="B148" s="28" t="inlineStr">
        <is>
          <t>Program 2800 Total</t>
        </is>
      </c>
      <c r="C148" s="29">
        <f>SUM(C144:C147)</f>
        <v/>
      </c>
      <c r="D148" s="29">
        <f>SUM(D144:D147)</f>
        <v/>
      </c>
      <c r="E148" s="29">
        <f>SUM(E144:E147)</f>
        <v/>
      </c>
      <c r="F148" s="29">
        <f>SUM(F144:F147)</f>
        <v/>
      </c>
      <c r="G148" s="29">
        <f>SUM(G144:G147)</f>
        <v/>
      </c>
      <c r="H148" s="29">
        <f>SUM(H144:H147)</f>
        <v/>
      </c>
      <c r="I148" s="29">
        <f>SUM(I144:I147)</f>
        <v/>
      </c>
    </row>
    <row r="149">
      <c r="A149" s="6" t="inlineStr">
        <is>
          <t>1000.2800.2160.51010.040</t>
        </is>
      </c>
      <c r="B149" s="6" t="inlineStr">
        <is>
          <t>OT Salary</t>
        </is>
      </c>
      <c r="C149" s="24" t="n">
        <v>8124</v>
      </c>
      <c r="D149" s="24" t="n">
        <v>10739</v>
      </c>
      <c r="E149" s="24" t="n">
        <v>10140</v>
      </c>
      <c r="F149" s="24" t="n">
        <v>12838</v>
      </c>
      <c r="G149" s="24" t="n">
        <v>22422</v>
      </c>
      <c r="H149" s="24">
        <f>G149-F149</f>
        <v/>
      </c>
      <c r="I149" s="8">
        <f>IF(F149=0,0,G149/F149-1)</f>
        <v/>
      </c>
    </row>
    <row r="150">
      <c r="A150" s="6" t="inlineStr">
        <is>
          <t>1000.2800.2160.52010.040</t>
        </is>
      </c>
      <c r="B150" s="6" t="inlineStr">
        <is>
          <t>OT Benefits</t>
        </is>
      </c>
      <c r="C150" s="24" t="n">
        <v>180</v>
      </c>
      <c r="D150" s="24" t="n">
        <v>199</v>
      </c>
      <c r="E150" s="24" t="n">
        <v>32</v>
      </c>
      <c r="F150" s="24" t="n">
        <v>240</v>
      </c>
      <c r="G150" s="24" t="n">
        <v>12832</v>
      </c>
      <c r="H150" s="24">
        <f>G150-F150</f>
        <v/>
      </c>
      <c r="I150" s="8">
        <f>IF(F150=0,0,G150/F150-1)</f>
        <v/>
      </c>
    </row>
    <row r="151">
      <c r="A151" s="6" t="inlineStr">
        <is>
          <t>1000.2800.2160.52310.040</t>
        </is>
      </c>
      <c r="B151" s="6" t="inlineStr">
        <is>
          <t>Retirement</t>
        </is>
      </c>
      <c r="C151" s="24" t="n">
        <v>265</v>
      </c>
      <c r="D151" s="24" t="n">
        <v>447</v>
      </c>
      <c r="E151" s="24" t="n">
        <v>109</v>
      </c>
      <c r="F151" s="24" t="n">
        <v>534</v>
      </c>
      <c r="G151" s="24" t="n">
        <v>1537</v>
      </c>
      <c r="H151" s="24">
        <f>G151-F151</f>
        <v/>
      </c>
      <c r="I151" s="8">
        <f>IF(F151=0,0,G151/F151-1)</f>
        <v/>
      </c>
    </row>
    <row r="152">
      <c r="A152" s="6" t="inlineStr">
        <is>
          <t>1000.2800.2160.55800.040</t>
        </is>
      </c>
      <c r="B152" s="6" t="inlineStr">
        <is>
          <t>Travel</t>
        </is>
      </c>
      <c r="C152" s="24" t="n">
        <v>10</v>
      </c>
      <c r="D152" s="24" t="n">
        <v>0</v>
      </c>
      <c r="E152" s="24" t="n">
        <v>0</v>
      </c>
      <c r="F152" s="24" t="n">
        <v>20</v>
      </c>
      <c r="G152" s="24" t="n">
        <v>125</v>
      </c>
      <c r="H152" s="24">
        <f>G152-F152</f>
        <v/>
      </c>
      <c r="I152" s="8">
        <f>IF(F152=0,0,G152/F152-1)</f>
        <v/>
      </c>
    </row>
    <row r="153">
      <c r="A153" s="14" t="n"/>
      <c r="B153" s="28" t="inlineStr">
        <is>
          <t>Program 2800 Total</t>
        </is>
      </c>
      <c r="C153" s="29">
        <f>SUM(C149:C152)</f>
        <v/>
      </c>
      <c r="D153" s="29">
        <f>SUM(D149:D152)</f>
        <v/>
      </c>
      <c r="E153" s="29">
        <f>SUM(E149:E152)</f>
        <v/>
      </c>
      <c r="F153" s="29">
        <f>SUM(F149:F152)</f>
        <v/>
      </c>
      <c r="G153" s="29">
        <f>SUM(G149:G152)</f>
        <v/>
      </c>
      <c r="H153" s="29">
        <f>SUM(H149:H152)</f>
        <v/>
      </c>
      <c r="I153" s="29">
        <f>SUM(I149:I152)</f>
        <v/>
      </c>
    </row>
    <row r="154">
      <c r="A154" s="14" t="n"/>
      <c r="B154" s="17" t="inlineStr">
        <is>
          <t>Cost Center ('040',) Total</t>
        </is>
      </c>
      <c r="C154" s="32">
        <f>C133+C138+C143+C148+C153</f>
        <v/>
      </c>
      <c r="D154" s="32">
        <f>D133+D138+D143+D148+D153</f>
        <v/>
      </c>
      <c r="E154" s="32">
        <f>E133+E138+E143+E148+E153</f>
        <v/>
      </c>
      <c r="F154" s="32">
        <f>F133+F138+F143+F148+F153</f>
        <v/>
      </c>
      <c r="G154" s="32">
        <f>G133+G138+G143+G148+G153</f>
        <v/>
      </c>
      <c r="H154" s="32">
        <f>H133+H138+H143+H148+H153</f>
        <v/>
      </c>
      <c r="I154" s="32">
        <f>I133+I138+I143+I148+I153</f>
        <v/>
      </c>
    </row>
    <row r="156">
      <c r="A156" s="3" t="inlineStr">
        <is>
          <t>Cost Center: ('050',)</t>
        </is>
      </c>
    </row>
    <row r="157">
      <c r="A157" s="6" t="inlineStr">
        <is>
          <t>1000.2200.1000.51010.050</t>
        </is>
      </c>
      <c r="B157" s="6" t="inlineStr">
        <is>
          <t>Teacher Salaries</t>
        </is>
      </c>
      <c r="C157" s="24" t="n">
        <v>117967</v>
      </c>
      <c r="D157" s="24" t="n">
        <v>116254</v>
      </c>
      <c r="E157" s="24" t="n">
        <v>120508</v>
      </c>
      <c r="F157" s="24" t="n">
        <v>123449</v>
      </c>
      <c r="G157" s="24" t="n">
        <v>111113</v>
      </c>
      <c r="H157" s="24">
        <f>G157-F157</f>
        <v/>
      </c>
      <c r="I157" s="8">
        <f>IF(F157=0,0,G157/F157-1)</f>
        <v/>
      </c>
    </row>
    <row r="158">
      <c r="A158" s="6" t="inlineStr">
        <is>
          <t>1000.2200.1000.51020.050</t>
        </is>
      </c>
      <c r="B158" s="6" t="inlineStr">
        <is>
          <t>Ed Tech Salaries</t>
        </is>
      </c>
      <c r="C158" s="24" t="n">
        <v>27022</v>
      </c>
      <c r="D158" s="24" t="n">
        <v>25023</v>
      </c>
      <c r="E158" s="24" t="n">
        <v>48226</v>
      </c>
      <c r="F158" s="24" t="n">
        <v>88755</v>
      </c>
      <c r="G158" s="24" t="n">
        <v>73304</v>
      </c>
      <c r="H158" s="24">
        <f>G158-F158</f>
        <v/>
      </c>
      <c r="I158" s="8">
        <f>IF(F158=0,0,G158/F158-1)</f>
        <v/>
      </c>
    </row>
    <row r="159">
      <c r="A159" s="6" t="inlineStr">
        <is>
          <t>1000.2200.1000.52010.050</t>
        </is>
      </c>
      <c r="B159" s="6" t="inlineStr">
        <is>
          <t>Teacher Benefits</t>
        </is>
      </c>
      <c r="C159" s="24" t="n">
        <v>29345</v>
      </c>
      <c r="D159" s="24" t="n">
        <v>29208</v>
      </c>
      <c r="E159" s="24" t="n">
        <v>6551</v>
      </c>
      <c r="F159" s="24" t="n">
        <v>33107</v>
      </c>
      <c r="G159" s="24" t="n">
        <v>22567</v>
      </c>
      <c r="H159" s="24">
        <f>G159-F159</f>
        <v/>
      </c>
      <c r="I159" s="8">
        <f>IF(F159=0,0,G159/F159-1)</f>
        <v/>
      </c>
    </row>
    <row r="160">
      <c r="A160" s="6" t="inlineStr">
        <is>
          <t>1000.2200.1000.52020.050</t>
        </is>
      </c>
      <c r="B160" s="6" t="inlineStr">
        <is>
          <t>Ed Tech Benefits</t>
        </is>
      </c>
      <c r="C160" s="24" t="n">
        <v>8527</v>
      </c>
      <c r="D160" s="24" t="n">
        <v>9248</v>
      </c>
      <c r="E160" s="24" t="n">
        <v>3515</v>
      </c>
      <c r="F160" s="24" t="n">
        <v>1573</v>
      </c>
      <c r="G160" s="24" t="n">
        <v>21336</v>
      </c>
      <c r="H160" s="24">
        <f>G160-F160</f>
        <v/>
      </c>
      <c r="I160" s="8">
        <f>IF(F160=0,0,G160/F160-1)</f>
        <v/>
      </c>
    </row>
    <row r="161">
      <c r="A161" s="6" t="inlineStr">
        <is>
          <t>1000.2200.1000.52310.050</t>
        </is>
      </c>
      <c r="B161" s="6" t="inlineStr">
        <is>
          <t>Retirement</t>
        </is>
      </c>
      <c r="C161" s="24" t="n">
        <v>4423</v>
      </c>
      <c r="D161" s="24" t="n">
        <v>4882</v>
      </c>
      <c r="E161" s="24" t="n">
        <v>1170</v>
      </c>
      <c r="F161" s="24" t="n">
        <v>5294</v>
      </c>
      <c r="G161" s="24" t="n">
        <v>4622</v>
      </c>
      <c r="H161" s="24">
        <f>G161-F161</f>
        <v/>
      </c>
      <c r="I161" s="8">
        <f>IF(F161=0,0,G161/F161-1)</f>
        <v/>
      </c>
    </row>
    <row r="162">
      <c r="A162" s="6" t="inlineStr">
        <is>
          <t>1000.2200.1000.52320.050</t>
        </is>
      </c>
      <c r="B162" s="6" t="inlineStr">
        <is>
          <t>Retirement</t>
        </is>
      </c>
      <c r="C162" s="24" t="n">
        <v>960</v>
      </c>
      <c r="D162" s="24" t="n">
        <v>1180</v>
      </c>
      <c r="E162" s="24" t="n">
        <v>408</v>
      </c>
      <c r="F162" s="24" t="n">
        <v>3313</v>
      </c>
      <c r="G162" s="24" t="n">
        <v>3049</v>
      </c>
      <c r="H162" s="24">
        <f>G162-F162</f>
        <v/>
      </c>
      <c r="I162" s="8">
        <f>IF(F162=0,0,G162/F162-1)</f>
        <v/>
      </c>
    </row>
    <row r="163">
      <c r="A163" s="14" t="n"/>
      <c r="B163" s="28" t="inlineStr">
        <is>
          <t>Program 2200 Total</t>
        </is>
      </c>
      <c r="C163" s="29">
        <f>SUM(C157:C162)</f>
        <v/>
      </c>
      <c r="D163" s="29">
        <f>SUM(D157:D162)</f>
        <v/>
      </c>
      <c r="E163" s="29">
        <f>SUM(E157:E162)</f>
        <v/>
      </c>
      <c r="F163" s="29">
        <f>SUM(F157:F162)</f>
        <v/>
      </c>
      <c r="G163" s="29">
        <f>SUM(G157:G162)</f>
        <v/>
      </c>
      <c r="H163" s="29">
        <f>SUM(H157:H162)</f>
        <v/>
      </c>
      <c r="I163" s="29">
        <f>SUM(I157:I162)</f>
        <v/>
      </c>
    </row>
    <row r="164">
      <c r="A164" s="6" t="inlineStr">
        <is>
          <t>1000.2300.1000.51010.050</t>
        </is>
      </c>
      <c r="B164" s="6" t="inlineStr">
        <is>
          <t>Teacher Salaries</t>
        </is>
      </c>
      <c r="C164" s="24" t="n">
        <v>116583</v>
      </c>
      <c r="D164" s="24" t="n">
        <v>79991</v>
      </c>
      <c r="E164" s="24" t="n">
        <v>125125</v>
      </c>
      <c r="F164" s="24" t="n">
        <v>135586</v>
      </c>
      <c r="G164" s="24" t="n">
        <v>151212</v>
      </c>
      <c r="H164" s="24">
        <f>G164-F164</f>
        <v/>
      </c>
      <c r="I164" s="8">
        <f>IF(F164=0,0,G164/F164-1)</f>
        <v/>
      </c>
    </row>
    <row r="165">
      <c r="A165" s="6" t="inlineStr">
        <is>
          <t>1000.2300.1000.51020.050</t>
        </is>
      </c>
      <c r="B165" s="6" t="inlineStr">
        <is>
          <t>Ed Tech Salaries</t>
        </is>
      </c>
      <c r="C165" s="24" t="n">
        <v>159388</v>
      </c>
      <c r="D165" s="24" t="n">
        <v>140093</v>
      </c>
      <c r="E165" s="24" t="n">
        <v>175541</v>
      </c>
      <c r="F165" s="24" t="n">
        <v>137261</v>
      </c>
      <c r="G165" s="24" t="n">
        <v>186324</v>
      </c>
      <c r="H165" s="24">
        <f>G165-F165</f>
        <v/>
      </c>
      <c r="I165" s="8">
        <f>IF(F165=0,0,G165/F165-1)</f>
        <v/>
      </c>
    </row>
    <row r="166">
      <c r="A166" s="6" t="inlineStr">
        <is>
          <t>1000.2300.1000.52010.050</t>
        </is>
      </c>
      <c r="B166" s="6" t="inlineStr">
        <is>
          <t>Teacher Benefits</t>
        </is>
      </c>
      <c r="C166" s="24" t="n">
        <v>41747</v>
      </c>
      <c r="D166" s="24" t="n">
        <v>22186</v>
      </c>
      <c r="E166" s="24" t="n">
        <v>4829</v>
      </c>
      <c r="F166" s="24" t="n">
        <v>85291</v>
      </c>
      <c r="G166" s="24" t="n">
        <v>38139</v>
      </c>
      <c r="H166" s="24">
        <f>G166-F166</f>
        <v/>
      </c>
      <c r="I166" s="8">
        <f>IF(F166=0,0,G166/F166-1)</f>
        <v/>
      </c>
    </row>
    <row r="167">
      <c r="A167" s="6" t="inlineStr">
        <is>
          <t>1000.2300.1000.52020.050</t>
        </is>
      </c>
      <c r="B167" s="6" t="inlineStr">
        <is>
          <t>Ed Tech Benefits</t>
        </is>
      </c>
      <c r="C167" s="24" t="n">
        <v>53397</v>
      </c>
      <c r="D167" s="24" t="n">
        <v>50227</v>
      </c>
      <c r="E167" s="24" t="n">
        <v>5027</v>
      </c>
      <c r="F167" s="24" t="n">
        <v>2090</v>
      </c>
      <c r="G167" s="24" t="n">
        <v>59409</v>
      </c>
      <c r="H167" s="24">
        <f>G167-F167</f>
        <v/>
      </c>
      <c r="I167" s="8">
        <f>IF(F167=0,0,G167/F167-1)</f>
        <v/>
      </c>
    </row>
    <row r="168">
      <c r="A168" s="6" t="inlineStr">
        <is>
          <t>1000.2300.1000.52310.050</t>
        </is>
      </c>
      <c r="B168" s="6" t="inlineStr">
        <is>
          <t>Retirement</t>
        </is>
      </c>
      <c r="C168" s="24" t="n">
        <v>5034</v>
      </c>
      <c r="D168" s="24" t="n">
        <v>2845</v>
      </c>
      <c r="E168" s="24" t="n">
        <v>669</v>
      </c>
      <c r="F168" s="24" t="n">
        <v>6889</v>
      </c>
      <c r="G168" s="24" t="n">
        <v>6290</v>
      </c>
      <c r="H168" s="24">
        <f>G168-F168</f>
        <v/>
      </c>
      <c r="I168" s="8">
        <f>IF(F168=0,0,G168/F168-1)</f>
        <v/>
      </c>
    </row>
    <row r="169">
      <c r="A169" s="6" t="inlineStr">
        <is>
          <t>1000.2300.1000.52320.050</t>
        </is>
      </c>
      <c r="B169" s="6" t="inlineStr">
        <is>
          <t>Retirement</t>
        </is>
      </c>
      <c r="C169" s="24" t="n">
        <v>5400</v>
      </c>
      <c r="D169" s="24" t="n">
        <v>6195</v>
      </c>
      <c r="E169" s="24" t="n">
        <v>1685</v>
      </c>
      <c r="F169" s="24" t="n">
        <v>4185</v>
      </c>
      <c r="G169" s="24" t="n">
        <v>7751</v>
      </c>
      <c r="H169" s="24">
        <f>G169-F169</f>
        <v/>
      </c>
      <c r="I169" s="8">
        <f>IF(F169=0,0,G169/F169-1)</f>
        <v/>
      </c>
    </row>
    <row r="170">
      <c r="A170" s="14" t="n"/>
      <c r="B170" s="28" t="inlineStr">
        <is>
          <t>Program 2300 Total</t>
        </is>
      </c>
      <c r="C170" s="29">
        <f>SUM(C164:C169)</f>
        <v/>
      </c>
      <c r="D170" s="29">
        <f>SUM(D164:D169)</f>
        <v/>
      </c>
      <c r="E170" s="29">
        <f>SUM(E164:E169)</f>
        <v/>
      </c>
      <c r="F170" s="29">
        <f>SUM(F164:F169)</f>
        <v/>
      </c>
      <c r="G170" s="29">
        <f>SUM(G164:G169)</f>
        <v/>
      </c>
      <c r="H170" s="29">
        <f>SUM(H164:H169)</f>
        <v/>
      </c>
      <c r="I170" s="29">
        <f>SUM(I164:I169)</f>
        <v/>
      </c>
    </row>
    <row r="171">
      <c r="A171" s="14" t="n"/>
      <c r="B171" s="30" t="inlineStr">
        <is>
          <t>Function 1000 Total</t>
        </is>
      </c>
      <c r="C171" s="31">
        <f>C163+C170</f>
        <v/>
      </c>
      <c r="D171" s="31">
        <f>D163+D170</f>
        <v/>
      </c>
      <c r="E171" s="31">
        <f>E163+E170</f>
        <v/>
      </c>
      <c r="F171" s="31">
        <f>F163+F170</f>
        <v/>
      </c>
      <c r="G171" s="31">
        <f>G163+G170</f>
        <v/>
      </c>
      <c r="H171" s="31">
        <f>H163+H170</f>
        <v/>
      </c>
      <c r="I171" s="31">
        <f>I163+I170</f>
        <v/>
      </c>
    </row>
    <row r="172">
      <c r="A172" s="6" t="inlineStr">
        <is>
          <t>1000.2800.2110.51010.050</t>
        </is>
      </c>
      <c r="B172" s="6" t="inlineStr">
        <is>
          <t>Social Worker Salary</t>
        </is>
      </c>
      <c r="C172" s="24" t="n">
        <v>65743</v>
      </c>
      <c r="D172" s="24" t="n">
        <v>68963</v>
      </c>
      <c r="E172" s="24" t="n">
        <v>73331</v>
      </c>
      <c r="F172" s="24" t="n">
        <v>74585</v>
      </c>
      <c r="G172" s="24" t="n">
        <v>80852</v>
      </c>
      <c r="H172" s="24">
        <f>G172-F172</f>
        <v/>
      </c>
      <c r="I172" s="8">
        <f>IF(F172=0,0,G172/F172-1)</f>
        <v/>
      </c>
    </row>
    <row r="173">
      <c r="A173" s="6" t="inlineStr">
        <is>
          <t>1000.2800.2110.52010.050</t>
        </is>
      </c>
      <c r="B173" s="6" t="inlineStr">
        <is>
          <t>Social Worker Benefits</t>
        </is>
      </c>
      <c r="C173" s="24" t="n">
        <v>15690</v>
      </c>
      <c r="D173" s="24" t="n">
        <v>15633</v>
      </c>
      <c r="E173" s="24" t="n">
        <v>3504</v>
      </c>
      <c r="F173" s="24" t="n">
        <v>18061</v>
      </c>
      <c r="G173" s="24" t="n">
        <v>16262</v>
      </c>
      <c r="H173" s="24">
        <f>G173-F173</f>
        <v/>
      </c>
      <c r="I173" s="8">
        <f>IF(F173=0,0,G173/F173-1)</f>
        <v/>
      </c>
    </row>
    <row r="174">
      <c r="A174" s="6" t="inlineStr">
        <is>
          <t>1000.2800.2110.52310.050</t>
        </is>
      </c>
      <c r="B174" s="6" t="inlineStr">
        <is>
          <t>Retirement</t>
        </is>
      </c>
      <c r="C174" s="24" t="n">
        <v>2629</v>
      </c>
      <c r="D174" s="24" t="n">
        <v>2869</v>
      </c>
      <c r="E174" s="24" t="n">
        <v>695</v>
      </c>
      <c r="F174" s="24" t="n">
        <v>3199</v>
      </c>
      <c r="G174" s="24" t="n">
        <v>3363</v>
      </c>
      <c r="H174" s="24">
        <f>G174-F174</f>
        <v/>
      </c>
      <c r="I174" s="8">
        <f>IF(F174=0,0,G174/F174-1)</f>
        <v/>
      </c>
    </row>
    <row r="175">
      <c r="A175" s="14" t="n"/>
      <c r="B175" s="28" t="inlineStr">
        <is>
          <t>Program 2800 Total</t>
        </is>
      </c>
      <c r="C175" s="29">
        <f>SUM(C172:C174)</f>
        <v/>
      </c>
      <c r="D175" s="29">
        <f>SUM(D172:D174)</f>
        <v/>
      </c>
      <c r="E175" s="29">
        <f>SUM(E172:E174)</f>
        <v/>
      </c>
      <c r="F175" s="29">
        <f>SUM(F172:F174)</f>
        <v/>
      </c>
      <c r="G175" s="29">
        <f>SUM(G172:G174)</f>
        <v/>
      </c>
      <c r="H175" s="29">
        <f>SUM(H172:H174)</f>
        <v/>
      </c>
      <c r="I175" s="29">
        <f>SUM(I172:I174)</f>
        <v/>
      </c>
    </row>
    <row r="176">
      <c r="A176" s="6" t="inlineStr">
        <is>
          <t>1000.2800.2140.51010.050</t>
        </is>
      </c>
      <c r="B176" s="6" t="inlineStr">
        <is>
          <t>Psychological Services Salary</t>
        </is>
      </c>
      <c r="C176" s="24" t="n">
        <v>16651</v>
      </c>
      <c r="D176" s="24" t="n">
        <v>25390</v>
      </c>
      <c r="E176" s="24" t="n">
        <v>32556</v>
      </c>
      <c r="F176" s="24" t="n">
        <v>28798</v>
      </c>
      <c r="G176" s="24" t="n">
        <v>0</v>
      </c>
      <c r="H176" s="24">
        <f>G176-F176</f>
        <v/>
      </c>
      <c r="I176" s="8">
        <f>IF(F176=0,0,G176/F176-1)</f>
        <v/>
      </c>
    </row>
    <row r="177">
      <c r="A177" s="6" t="inlineStr">
        <is>
          <t>1000.2800.2140.52010.050</t>
        </is>
      </c>
      <c r="B177" s="6" t="inlineStr">
        <is>
          <t>Psych Services Benefit</t>
        </is>
      </c>
      <c r="C177" s="24" t="n">
        <v>3953</v>
      </c>
      <c r="D177" s="24" t="n">
        <v>5029</v>
      </c>
      <c r="E177" s="24" t="n">
        <v>1247</v>
      </c>
      <c r="F177" s="24" t="n">
        <v>5566</v>
      </c>
      <c r="G177" s="24" t="n">
        <v>0</v>
      </c>
      <c r="H177" s="24">
        <f>G177-F177</f>
        <v/>
      </c>
      <c r="I177" s="8">
        <f>IF(F177=0,0,G177/F177-1)</f>
        <v/>
      </c>
    </row>
    <row r="178">
      <c r="A178" s="6" t="inlineStr">
        <is>
          <t>1000.2800.2140.52310.050</t>
        </is>
      </c>
      <c r="B178" s="6" t="inlineStr">
        <is>
          <t>Retirement</t>
        </is>
      </c>
      <c r="C178" s="24" t="n">
        <v>666</v>
      </c>
      <c r="D178" s="24" t="n">
        <v>1056</v>
      </c>
      <c r="E178" s="24" t="n">
        <v>294</v>
      </c>
      <c r="F178" s="24" t="n">
        <v>1198</v>
      </c>
      <c r="G178" s="24" t="n">
        <v>0</v>
      </c>
      <c r="H178" s="24">
        <f>G178-F178</f>
        <v/>
      </c>
      <c r="I178" s="8">
        <f>IF(F178=0,0,G178/F178-1)</f>
        <v/>
      </c>
    </row>
    <row r="179">
      <c r="A179" s="6" t="inlineStr">
        <is>
          <t>1000.2800.2140.55800.050</t>
        </is>
      </c>
      <c r="B179" s="6" t="inlineStr">
        <is>
          <t>Travel</t>
        </is>
      </c>
      <c r="C179" s="24" t="n">
        <v>0</v>
      </c>
      <c r="D179" s="24" t="n">
        <v>0</v>
      </c>
      <c r="E179" s="24" t="n">
        <v>0</v>
      </c>
      <c r="F179" s="24" t="n">
        <v>116</v>
      </c>
      <c r="G179" s="24" t="n">
        <v>125</v>
      </c>
      <c r="H179" s="24">
        <f>G179-F179</f>
        <v/>
      </c>
      <c r="I179" s="8">
        <f>IF(F179=0,0,G179/F179-1)</f>
        <v/>
      </c>
    </row>
    <row r="180">
      <c r="A180" s="14" t="n"/>
      <c r="B180" s="28" t="inlineStr">
        <is>
          <t>Program 2800 Total</t>
        </is>
      </c>
      <c r="C180" s="29">
        <f>SUM(C176:C179)</f>
        <v/>
      </c>
      <c r="D180" s="29">
        <f>SUM(D176:D179)</f>
        <v/>
      </c>
      <c r="E180" s="29">
        <f>SUM(E176:E179)</f>
        <v/>
      </c>
      <c r="F180" s="29">
        <f>SUM(F176:F179)</f>
        <v/>
      </c>
      <c r="G180" s="29">
        <f>SUM(G176:G179)</f>
        <v/>
      </c>
      <c r="H180" s="29">
        <f>SUM(H176:H179)</f>
        <v/>
      </c>
      <c r="I180" s="29">
        <f>SUM(I176:I179)</f>
        <v/>
      </c>
    </row>
    <row r="181">
      <c r="A181" s="6" t="inlineStr">
        <is>
          <t>1000.2800.2150.51010.050</t>
        </is>
      </c>
      <c r="B181" s="6" t="inlineStr">
        <is>
          <t>Speech &amp; Audiology Salaries</t>
        </is>
      </c>
      <c r="C181" s="24" t="n">
        <v>49121</v>
      </c>
      <c r="D181" s="24" t="n">
        <v>42365</v>
      </c>
      <c r="E181" s="24" t="n">
        <v>40174</v>
      </c>
      <c r="F181" s="24" t="n">
        <v>39606</v>
      </c>
      <c r="G181" s="24" t="n">
        <v>40991</v>
      </c>
      <c r="H181" s="24">
        <f>G181-F181</f>
        <v/>
      </c>
      <c r="I181" s="8">
        <f>IF(F181=0,0,G181/F181-1)</f>
        <v/>
      </c>
    </row>
    <row r="182">
      <c r="A182" s="6" t="inlineStr">
        <is>
          <t>1000.2800.2150.52010.050</t>
        </is>
      </c>
      <c r="B182" s="6" t="inlineStr">
        <is>
          <t>Speech &amp; Audiology Benefits</t>
        </is>
      </c>
      <c r="C182" s="24" t="n">
        <v>11469</v>
      </c>
      <c r="D182" s="24" t="n">
        <v>10555</v>
      </c>
      <c r="E182" s="24" t="n">
        <v>2199</v>
      </c>
      <c r="F182" s="24" t="n">
        <v>9789</v>
      </c>
      <c r="G182" s="24" t="n">
        <v>10047</v>
      </c>
      <c r="H182" s="24">
        <f>G182-F182</f>
        <v/>
      </c>
      <c r="I182" s="8">
        <f>IF(F182=0,0,G182/F182-1)</f>
        <v/>
      </c>
    </row>
    <row r="183">
      <c r="A183" s="6" t="inlineStr">
        <is>
          <t>1000.2800.2150.52310.050</t>
        </is>
      </c>
      <c r="B183" s="6" t="inlineStr">
        <is>
          <t>Retirement</t>
        </is>
      </c>
      <c r="C183" s="24" t="n">
        <v>1961</v>
      </c>
      <c r="D183" s="24" t="n">
        <v>1762</v>
      </c>
      <c r="E183" s="24" t="n">
        <v>373</v>
      </c>
      <c r="F183" s="24" t="n">
        <v>1648</v>
      </c>
      <c r="G183" s="24" t="n">
        <v>1705</v>
      </c>
      <c r="H183" s="24">
        <f>G183-F183</f>
        <v/>
      </c>
      <c r="I183" s="8">
        <f>IF(F183=0,0,G183/F183-1)</f>
        <v/>
      </c>
    </row>
    <row r="184">
      <c r="A184" s="6" t="inlineStr">
        <is>
          <t>1000.2800.2150.55800.050</t>
        </is>
      </c>
      <c r="B184" s="6" t="inlineStr">
        <is>
          <t>Travel</t>
        </is>
      </c>
      <c r="C184" s="24" t="n">
        <v>70</v>
      </c>
      <c r="D184" s="24" t="n">
        <v>9</v>
      </c>
      <c r="E184" s="24" t="n">
        <v>0</v>
      </c>
      <c r="F184" s="24" t="n">
        <v>70</v>
      </c>
      <c r="G184" s="24" t="n">
        <v>125</v>
      </c>
      <c r="H184" s="24">
        <f>G184-F184</f>
        <v/>
      </c>
      <c r="I184" s="8">
        <f>IF(F184=0,0,G184/F184-1)</f>
        <v/>
      </c>
    </row>
    <row r="185">
      <c r="A185" s="14" t="n"/>
      <c r="B185" s="28" t="inlineStr">
        <is>
          <t>Program 2800 Total</t>
        </is>
      </c>
      <c r="C185" s="29">
        <f>SUM(C181:C184)</f>
        <v/>
      </c>
      <c r="D185" s="29">
        <f>SUM(D181:D184)</f>
        <v/>
      </c>
      <c r="E185" s="29">
        <f>SUM(E181:E184)</f>
        <v/>
      </c>
      <c r="F185" s="29">
        <f>SUM(F181:F184)</f>
        <v/>
      </c>
      <c r="G185" s="29">
        <f>SUM(G181:G184)</f>
        <v/>
      </c>
      <c r="H185" s="29">
        <f>SUM(H181:H184)</f>
        <v/>
      </c>
      <c r="I185" s="29">
        <f>SUM(I181:I184)</f>
        <v/>
      </c>
    </row>
    <row r="186">
      <c r="A186" s="6" t="inlineStr">
        <is>
          <t>1000.2800.2160.51010.050</t>
        </is>
      </c>
      <c r="B186" s="6" t="inlineStr">
        <is>
          <t>OT Salary</t>
        </is>
      </c>
      <c r="C186" s="24" t="n">
        <v>9282</v>
      </c>
      <c r="D186" s="24" t="n">
        <v>5370</v>
      </c>
      <c r="E186" s="24" t="n">
        <v>5070</v>
      </c>
      <c r="F186" s="24" t="n">
        <v>7476</v>
      </c>
      <c r="G186" s="24" t="n">
        <v>7374</v>
      </c>
      <c r="H186" s="24">
        <f>G186-F186</f>
        <v/>
      </c>
      <c r="I186" s="8">
        <f>IF(F186=0,0,G186/F186-1)</f>
        <v/>
      </c>
    </row>
    <row r="187">
      <c r="A187" s="6" t="inlineStr">
        <is>
          <t>1000.2800.2160.52010.050</t>
        </is>
      </c>
      <c r="B187" s="6" t="inlineStr">
        <is>
          <t>OT Benefits</t>
        </is>
      </c>
      <c r="C187" s="24" t="n">
        <v>1156</v>
      </c>
      <c r="D187" s="24" t="n">
        <v>100</v>
      </c>
      <c r="E187" s="24" t="n">
        <v>16</v>
      </c>
      <c r="F187" s="24" t="n">
        <v>140</v>
      </c>
      <c r="G187" s="24" t="n">
        <v>1609</v>
      </c>
      <c r="H187" s="24">
        <f>G187-F187</f>
        <v/>
      </c>
      <c r="I187" s="8">
        <f>IF(F187=0,0,G187/F187-1)</f>
        <v/>
      </c>
    </row>
    <row r="188">
      <c r="A188" s="6" t="inlineStr">
        <is>
          <t>1000.2800.2160.52310.050</t>
        </is>
      </c>
      <c r="B188" s="6" t="inlineStr">
        <is>
          <t>Retirement</t>
        </is>
      </c>
      <c r="C188" s="24" t="n">
        <v>370</v>
      </c>
      <c r="D188" s="24" t="n">
        <v>223</v>
      </c>
      <c r="E188" s="24" t="n">
        <v>55</v>
      </c>
      <c r="F188" s="24" t="n">
        <v>311</v>
      </c>
      <c r="G188" s="24" t="n">
        <v>306</v>
      </c>
      <c r="H188" s="24">
        <f>G188-F188</f>
        <v/>
      </c>
      <c r="I188" s="8">
        <f>IF(F188=0,0,G188/F188-1)</f>
        <v/>
      </c>
    </row>
    <row r="189">
      <c r="A189" s="6" t="inlineStr">
        <is>
          <t>1000.2800.2160.55800.050</t>
        </is>
      </c>
      <c r="B189" s="6" t="inlineStr">
        <is>
          <t>Travel</t>
        </is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125</v>
      </c>
      <c r="H189" s="24">
        <f>G189-F189</f>
        <v/>
      </c>
      <c r="I189" s="8">
        <f>IF(F189=0,0,G189/F189-1)</f>
        <v/>
      </c>
    </row>
    <row r="190">
      <c r="A190" s="14" t="n"/>
      <c r="B190" s="28" t="inlineStr">
        <is>
          <t>Program 2800 Total</t>
        </is>
      </c>
      <c r="C190" s="29">
        <f>SUM(C186:C189)</f>
        <v/>
      </c>
      <c r="D190" s="29">
        <f>SUM(D186:D189)</f>
        <v/>
      </c>
      <c r="E190" s="29">
        <f>SUM(E186:E189)</f>
        <v/>
      </c>
      <c r="F190" s="29">
        <f>SUM(F186:F189)</f>
        <v/>
      </c>
      <c r="G190" s="29">
        <f>SUM(G186:G189)</f>
        <v/>
      </c>
      <c r="H190" s="29">
        <f>SUM(H186:H189)</f>
        <v/>
      </c>
      <c r="I190" s="29">
        <f>SUM(I186:I189)</f>
        <v/>
      </c>
    </row>
    <row r="191">
      <c r="A191" s="14" t="n"/>
      <c r="B191" s="17" t="inlineStr">
        <is>
          <t>Cost Center ('050',) Total</t>
        </is>
      </c>
      <c r="C191" s="32">
        <f>C171+C175+C180+C185+C190</f>
        <v/>
      </c>
      <c r="D191" s="32">
        <f>D171+D175+D180+D185+D190</f>
        <v/>
      </c>
      <c r="E191" s="32">
        <f>E171+E175+E180+E185+E190</f>
        <v/>
      </c>
      <c r="F191" s="32">
        <f>F171+F175+F180+F185+F190</f>
        <v/>
      </c>
      <c r="G191" s="32">
        <f>G171+G175+G180+G185+G190</f>
        <v/>
      </c>
      <c r="H191" s="32">
        <f>H171+H175+H180+H185+H190</f>
        <v/>
      </c>
      <c r="I191" s="32">
        <f>I171+I175+I180+I185+I190</f>
        <v/>
      </c>
    </row>
    <row r="193">
      <c r="A193" s="3" t="inlineStr">
        <is>
          <t>Cost Center: ('300',)</t>
        </is>
      </c>
    </row>
    <row r="194">
      <c r="A194" s="6" t="inlineStr">
        <is>
          <t>1000.2100.1000.51210.300</t>
        </is>
      </c>
      <c r="B194" s="6" t="inlineStr">
        <is>
          <t>Tutor Salaries/ESY</t>
        </is>
      </c>
      <c r="C194" s="24" t="n">
        <v>5940</v>
      </c>
      <c r="D194" s="24" t="n">
        <v>718</v>
      </c>
      <c r="E194" s="24" t="n">
        <v>0</v>
      </c>
      <c r="F194" s="24" t="n">
        <v>5000</v>
      </c>
      <c r="G194" s="24" t="n">
        <v>5000</v>
      </c>
      <c r="H194" s="24">
        <f>G194-F194</f>
        <v/>
      </c>
      <c r="I194" s="8">
        <f>IF(F194=0,0,G194/F194-1)</f>
        <v/>
      </c>
    </row>
    <row r="195">
      <c r="A195" s="6" t="inlineStr">
        <is>
          <t>1000.2100.1000.52010.300</t>
        </is>
      </c>
      <c r="B195" s="6" t="inlineStr">
        <is>
          <t>Benefits</t>
        </is>
      </c>
      <c r="C195" s="24" t="n">
        <v>300</v>
      </c>
      <c r="D195" s="24" t="n">
        <v>60</v>
      </c>
      <c r="E195" s="24" t="n">
        <v>0</v>
      </c>
      <c r="F195" s="24" t="n">
        <v>0</v>
      </c>
      <c r="G195" s="24" t="n">
        <v>250</v>
      </c>
      <c r="H195" s="24">
        <f>G195-F195</f>
        <v/>
      </c>
      <c r="I195" s="8">
        <f>IF(F195=0,0,G195/F195-1)</f>
        <v/>
      </c>
    </row>
    <row r="196">
      <c r="A196" s="6" t="inlineStr">
        <is>
          <t>1000.2100.1000.52030.300</t>
        </is>
      </c>
      <c r="B196" s="6" t="inlineStr">
        <is>
          <t>Tutor Benefits</t>
        </is>
      </c>
      <c r="C196" s="24" t="n">
        <v>0</v>
      </c>
      <c r="D196" s="24" t="n">
        <v>0</v>
      </c>
      <c r="E196" s="24" t="n">
        <v>0</v>
      </c>
      <c r="F196" s="24" t="n">
        <v>250</v>
      </c>
      <c r="G196" s="24" t="n">
        <v>198</v>
      </c>
      <c r="H196" s="24">
        <f>G196-F196</f>
        <v/>
      </c>
      <c r="I196" s="8">
        <f>IF(F196=0,0,G196/F196-1)</f>
        <v/>
      </c>
    </row>
    <row r="197">
      <c r="A197" s="6" t="inlineStr">
        <is>
          <t>1000.2100.1000.52310.300</t>
        </is>
      </c>
      <c r="B197" s="6" t="inlineStr">
        <is>
          <t>Retirement</t>
        </is>
      </c>
      <c r="C197" s="24" t="n">
        <v>157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>
        <f>G197-F197</f>
        <v/>
      </c>
      <c r="I197" s="8">
        <f>IF(F197=0,0,G197/F197-1)</f>
        <v/>
      </c>
    </row>
    <row r="198">
      <c r="A198" s="6" t="inlineStr">
        <is>
          <t>1000.2100.1000.52330.300</t>
        </is>
      </c>
      <c r="B198" s="6" t="inlineStr">
        <is>
          <t>Retirement</t>
        </is>
      </c>
      <c r="C198" s="24" t="n">
        <v>0</v>
      </c>
      <c r="D198" s="24" t="n">
        <v>0</v>
      </c>
      <c r="E198" s="24" t="n">
        <v>0</v>
      </c>
      <c r="F198" s="24" t="n">
        <v>199</v>
      </c>
      <c r="G198" s="24" t="n">
        <v>0</v>
      </c>
      <c r="H198" s="24">
        <f>G198-F198</f>
        <v/>
      </c>
      <c r="I198" s="8">
        <f>IF(F198=0,0,G198/F198-1)</f>
        <v/>
      </c>
    </row>
    <row r="199">
      <c r="A199" s="6" t="inlineStr">
        <is>
          <t>1000.2100.1000.53440.300</t>
        </is>
      </c>
      <c r="B199" s="6" t="inlineStr">
        <is>
          <t>Purchased Professional</t>
        </is>
      </c>
      <c r="C199" s="24" t="n">
        <v>0</v>
      </c>
      <c r="D199" s="24" t="n">
        <v>0</v>
      </c>
      <c r="E199" s="24" t="n">
        <v>344</v>
      </c>
      <c r="F199" s="24" t="n">
        <v>650</v>
      </c>
      <c r="G199" s="24" t="n">
        <v>1000</v>
      </c>
      <c r="H199" s="24">
        <f>G199-F199</f>
        <v/>
      </c>
      <c r="I199" s="8">
        <f>IF(F199=0,0,G199/F199-1)</f>
        <v/>
      </c>
    </row>
    <row r="200">
      <c r="A200" s="14" t="n"/>
      <c r="B200" s="28" t="inlineStr">
        <is>
          <t>Program 2100 Total</t>
        </is>
      </c>
      <c r="C200" s="29">
        <f>SUM(C194:C199)</f>
        <v/>
      </c>
      <c r="D200" s="29">
        <f>SUM(D194:D199)</f>
        <v/>
      </c>
      <c r="E200" s="29">
        <f>SUM(E194:E199)</f>
        <v/>
      </c>
      <c r="F200" s="29">
        <f>SUM(F194:F199)</f>
        <v/>
      </c>
      <c r="G200" s="29">
        <f>SUM(G194:G199)</f>
        <v/>
      </c>
      <c r="H200" s="29">
        <f>SUM(H194:H199)</f>
        <v/>
      </c>
      <c r="I200" s="29">
        <f>SUM(I194:I199)</f>
        <v/>
      </c>
    </row>
    <row r="201">
      <c r="A201" s="6" t="inlineStr">
        <is>
          <t>1000.2200.1000.51010.300</t>
        </is>
      </c>
      <c r="B201" s="6" t="inlineStr">
        <is>
          <t>Teacher Salaries</t>
        </is>
      </c>
      <c r="C201" s="24" t="n">
        <v>183109</v>
      </c>
      <c r="D201" s="24" t="n">
        <v>196491</v>
      </c>
      <c r="E201" s="24" t="n">
        <v>188250</v>
      </c>
      <c r="F201" s="24" t="n">
        <v>203619</v>
      </c>
      <c r="G201" s="24" t="n">
        <v>146731</v>
      </c>
      <c r="H201" s="24">
        <f>G201-F201</f>
        <v/>
      </c>
      <c r="I201" s="8">
        <f>IF(F201=0,0,G201/F201-1)</f>
        <v/>
      </c>
    </row>
    <row r="202">
      <c r="A202" s="6" t="inlineStr">
        <is>
          <t>1000.2200.1000.51020.300</t>
        </is>
      </c>
      <c r="B202" s="6" t="inlineStr">
        <is>
          <t>Ed Tech Salaries</t>
        </is>
      </c>
      <c r="C202" s="24" t="n">
        <v>46888</v>
      </c>
      <c r="D202" s="24" t="n">
        <v>32482</v>
      </c>
      <c r="E202" s="24" t="n">
        <v>31095</v>
      </c>
      <c r="F202" s="24" t="n">
        <v>0</v>
      </c>
      <c r="G202" s="24" t="n">
        <v>48365</v>
      </c>
      <c r="H202" s="24">
        <f>G202-F202</f>
        <v/>
      </c>
      <c r="I202" s="8">
        <f>IF(F202=0,0,G202/F202-1)</f>
        <v/>
      </c>
    </row>
    <row r="203">
      <c r="A203" s="6" t="inlineStr">
        <is>
          <t>1000.2200.1000.52010.300</t>
        </is>
      </c>
      <c r="B203" s="6" t="inlineStr">
        <is>
          <t>Teacher Benefits</t>
        </is>
      </c>
      <c r="C203" s="24" t="n">
        <v>63946</v>
      </c>
      <c r="D203" s="24" t="n">
        <v>62485</v>
      </c>
      <c r="E203" s="24" t="n">
        <v>12371</v>
      </c>
      <c r="F203" s="24" t="n">
        <v>90413</v>
      </c>
      <c r="G203" s="24" t="n">
        <v>43845</v>
      </c>
      <c r="H203" s="24">
        <f>G203-F203</f>
        <v/>
      </c>
      <c r="I203" s="8">
        <f>IF(F203=0,0,G203/F203-1)</f>
        <v/>
      </c>
    </row>
    <row r="204">
      <c r="A204" s="6" t="inlineStr">
        <is>
          <t>1000.2200.1000.52020.300</t>
        </is>
      </c>
      <c r="B204" s="6" t="inlineStr">
        <is>
          <t>Ed Tech Benefits</t>
        </is>
      </c>
      <c r="C204" s="24" t="n">
        <v>21280</v>
      </c>
      <c r="D204" s="24" t="n">
        <v>1153</v>
      </c>
      <c r="E204" s="24" t="n">
        <v>1253</v>
      </c>
      <c r="F204" s="24" t="n">
        <v>0</v>
      </c>
      <c r="G204" s="24" t="n">
        <v>23894</v>
      </c>
      <c r="H204" s="24">
        <f>G204-F204</f>
        <v/>
      </c>
      <c r="I204" s="8">
        <f>IF(F204=0,0,G204/F204-1)</f>
        <v/>
      </c>
    </row>
    <row r="205">
      <c r="A205" s="6" t="inlineStr">
        <is>
          <t>1000.2200.1000.52310.300</t>
        </is>
      </c>
      <c r="B205" s="6" t="inlineStr">
        <is>
          <t>Retirement</t>
        </is>
      </c>
      <c r="C205" s="24" t="n">
        <v>7215</v>
      </c>
      <c r="D205" s="24" t="n">
        <v>8256</v>
      </c>
      <c r="E205" s="24" t="n">
        <v>1820</v>
      </c>
      <c r="F205" s="24" t="n">
        <v>9784</v>
      </c>
      <c r="G205" s="24" t="n">
        <v>6104</v>
      </c>
      <c r="H205" s="24">
        <f>G205-F205</f>
        <v/>
      </c>
      <c r="I205" s="8">
        <f>IF(F205=0,0,G205/F205-1)</f>
        <v/>
      </c>
    </row>
    <row r="206">
      <c r="A206" s="6" t="inlineStr">
        <is>
          <t>1000.2200.1000.52320.300</t>
        </is>
      </c>
      <c r="B206" s="6" t="inlineStr">
        <is>
          <t>Retirement</t>
        </is>
      </c>
      <c r="C206" s="24" t="n">
        <v>1862</v>
      </c>
      <c r="D206" s="24" t="n">
        <v>1081</v>
      </c>
      <c r="E206" s="24" t="n">
        <v>332</v>
      </c>
      <c r="F206" s="24" t="n">
        <v>957</v>
      </c>
      <c r="G206" s="24" t="n">
        <v>2012</v>
      </c>
      <c r="H206" s="24">
        <f>G206-F206</f>
        <v/>
      </c>
      <c r="I206" s="8">
        <f>IF(F206=0,0,G206/F206-1)</f>
        <v/>
      </c>
    </row>
    <row r="207">
      <c r="A207" s="14" t="n"/>
      <c r="B207" s="28" t="inlineStr">
        <is>
          <t>Program 2200 Total</t>
        </is>
      </c>
      <c r="C207" s="29">
        <f>SUM(C201:C206)</f>
        <v/>
      </c>
      <c r="D207" s="29">
        <f>SUM(D201:D206)</f>
        <v/>
      </c>
      <c r="E207" s="29">
        <f>SUM(E201:E206)</f>
        <v/>
      </c>
      <c r="F207" s="29">
        <f>SUM(F201:F206)</f>
        <v/>
      </c>
      <c r="G207" s="29">
        <f>SUM(G201:G206)</f>
        <v/>
      </c>
      <c r="H207" s="29">
        <f>SUM(H201:H206)</f>
        <v/>
      </c>
      <c r="I207" s="29">
        <f>SUM(I201:I206)</f>
        <v/>
      </c>
    </row>
    <row r="208">
      <c r="A208" s="6" t="inlineStr">
        <is>
          <t>1000.2300.1000.51010.300</t>
        </is>
      </c>
      <c r="B208" s="6" t="inlineStr">
        <is>
          <t>Teacher Salaries</t>
        </is>
      </c>
      <c r="C208" s="24" t="n">
        <v>128602</v>
      </c>
      <c r="D208" s="24" t="n">
        <v>146904</v>
      </c>
      <c r="E208" s="24" t="n">
        <v>149708</v>
      </c>
      <c r="F208" s="24" t="n">
        <v>110308</v>
      </c>
      <c r="G208" s="24" t="n">
        <v>141454</v>
      </c>
      <c r="H208" s="24">
        <f>G208-F208</f>
        <v/>
      </c>
      <c r="I208" s="8">
        <f>IF(F208=0,0,G208/F208-1)</f>
        <v/>
      </c>
    </row>
    <row r="209">
      <c r="A209" s="6" t="inlineStr">
        <is>
          <t>1000.2300.1000.51020.300</t>
        </is>
      </c>
      <c r="B209" s="6" t="inlineStr">
        <is>
          <t>Ed Tech Salaries</t>
        </is>
      </c>
      <c r="C209" s="24" t="n">
        <v>90286</v>
      </c>
      <c r="D209" s="24" t="n">
        <v>86299</v>
      </c>
      <c r="E209" s="24" t="n">
        <v>128660</v>
      </c>
      <c r="F209" s="24" t="n">
        <v>170410</v>
      </c>
      <c r="G209" s="24" t="n">
        <v>102321</v>
      </c>
      <c r="H209" s="24">
        <f>G209-F209</f>
        <v/>
      </c>
      <c r="I209" s="8">
        <f>IF(F209=0,0,G209/F209-1)</f>
        <v/>
      </c>
    </row>
    <row r="210">
      <c r="A210" s="6" t="inlineStr">
        <is>
          <t>1000.2300.1000.52010.300</t>
        </is>
      </c>
      <c r="B210" s="6" t="inlineStr">
        <is>
          <t>Teacher Benefits</t>
        </is>
      </c>
      <c r="C210" s="24" t="n">
        <v>36521</v>
      </c>
      <c r="D210" s="24" t="n">
        <v>40204</v>
      </c>
      <c r="E210" s="24" t="n">
        <v>8373</v>
      </c>
      <c r="F210" s="24" t="n">
        <v>58653</v>
      </c>
      <c r="G210" s="24" t="n">
        <v>26419</v>
      </c>
      <c r="H210" s="24">
        <f>G210-F210</f>
        <v/>
      </c>
      <c r="I210" s="8">
        <f>IF(F210=0,0,G210/F210-1)</f>
        <v/>
      </c>
    </row>
    <row r="211">
      <c r="A211" s="6" t="inlineStr">
        <is>
          <t>1000.2300.1000.52020.300</t>
        </is>
      </c>
      <c r="B211" s="6" t="inlineStr">
        <is>
          <t>Ed Tech Benefits</t>
        </is>
      </c>
      <c r="C211" s="24" t="n">
        <v>17503</v>
      </c>
      <c r="D211" s="24" t="n">
        <v>31350</v>
      </c>
      <c r="E211" s="24" t="n">
        <v>8284</v>
      </c>
      <c r="F211" s="24" t="n">
        <v>2681</v>
      </c>
      <c r="G211" s="24" t="n">
        <v>37829</v>
      </c>
      <c r="H211" s="24">
        <f>G211-F211</f>
        <v/>
      </c>
      <c r="I211" s="8">
        <f>IF(F211=0,0,G211/F211-1)</f>
        <v/>
      </c>
    </row>
    <row r="212">
      <c r="A212" s="6" t="inlineStr">
        <is>
          <t>1000.2300.1000.52310.300</t>
        </is>
      </c>
      <c r="B212" s="6" t="inlineStr">
        <is>
          <t>Retirement</t>
        </is>
      </c>
      <c r="C212" s="24" t="n">
        <v>5206</v>
      </c>
      <c r="D212" s="24" t="n">
        <v>5920</v>
      </c>
      <c r="E212" s="24" t="n">
        <v>1400</v>
      </c>
      <c r="F212" s="24" t="n">
        <v>4271</v>
      </c>
      <c r="G212" s="24" t="n">
        <v>5884</v>
      </c>
      <c r="H212" s="24">
        <f>G212-F212</f>
        <v/>
      </c>
      <c r="I212" s="8">
        <f>IF(F212=0,0,G212/F212-1)</f>
        <v/>
      </c>
    </row>
    <row r="213">
      <c r="A213" s="6" t="inlineStr">
        <is>
          <t>1000.2300.1000.52320.300</t>
        </is>
      </c>
      <c r="B213" s="6" t="inlineStr">
        <is>
          <t>Retirement</t>
        </is>
      </c>
      <c r="C213" s="24" t="n">
        <v>2624</v>
      </c>
      <c r="D213" s="24" t="n">
        <v>3224</v>
      </c>
      <c r="E213" s="24" t="n">
        <v>924</v>
      </c>
      <c r="F213" s="24" t="n">
        <v>5442</v>
      </c>
      <c r="G213" s="24" t="n">
        <v>4257</v>
      </c>
      <c r="H213" s="24">
        <f>G213-F213</f>
        <v/>
      </c>
      <c r="I213" s="8">
        <f>IF(F213=0,0,G213/F213-1)</f>
        <v/>
      </c>
    </row>
    <row r="214">
      <c r="A214" s="14" t="n"/>
      <c r="B214" s="28" t="inlineStr">
        <is>
          <t>Program 2300 Total</t>
        </is>
      </c>
      <c r="C214" s="29">
        <f>SUM(C208:C213)</f>
        <v/>
      </c>
      <c r="D214" s="29">
        <f>SUM(D208:D213)</f>
        <v/>
      </c>
      <c r="E214" s="29">
        <f>SUM(E208:E213)</f>
        <v/>
      </c>
      <c r="F214" s="29">
        <f>SUM(F208:F213)</f>
        <v/>
      </c>
      <c r="G214" s="29">
        <f>SUM(G208:G213)</f>
        <v/>
      </c>
      <c r="H214" s="29">
        <f>SUM(H208:H213)</f>
        <v/>
      </c>
      <c r="I214" s="29">
        <f>SUM(I208:I213)</f>
        <v/>
      </c>
    </row>
    <row r="215">
      <c r="A215" s="14" t="n"/>
      <c r="B215" s="30" t="inlineStr">
        <is>
          <t>Function 1000 Total</t>
        </is>
      </c>
      <c r="C215" s="31">
        <f>C200+C207+C214</f>
        <v/>
      </c>
      <c r="D215" s="31">
        <f>D200+D207+D214</f>
        <v/>
      </c>
      <c r="E215" s="31">
        <f>E200+E207+E214</f>
        <v/>
      </c>
      <c r="F215" s="31">
        <f>F200+F207+F214</f>
        <v/>
      </c>
      <c r="G215" s="31">
        <f>G200+G207+G214</f>
        <v/>
      </c>
      <c r="H215" s="31">
        <f>H200+H207+H214</f>
        <v/>
      </c>
      <c r="I215" s="31">
        <f>I200+I207+I214</f>
        <v/>
      </c>
    </row>
    <row r="216">
      <c r="A216" s="6" t="inlineStr">
        <is>
          <t>1000.2800.2110.51010.300</t>
        </is>
      </c>
      <c r="B216" s="6" t="inlineStr">
        <is>
          <t>Social Worker Salary</t>
        </is>
      </c>
      <c r="C216" s="24" t="n">
        <v>36245</v>
      </c>
      <c r="D216" s="24" t="n">
        <v>37332</v>
      </c>
      <c r="E216" s="24" t="n">
        <v>73076</v>
      </c>
      <c r="F216" s="24" t="n">
        <v>76187</v>
      </c>
      <c r="G216" s="24" t="n">
        <v>58958</v>
      </c>
      <c r="H216" s="24">
        <f>G216-F216</f>
        <v/>
      </c>
      <c r="I216" s="8">
        <f>IF(F216=0,0,G216/F216-1)</f>
        <v/>
      </c>
    </row>
    <row r="217">
      <c r="A217" s="6" t="inlineStr">
        <is>
          <t>1000.2800.2110.52010.300</t>
        </is>
      </c>
      <c r="B217" s="6" t="inlineStr">
        <is>
          <t>Social Worker Benefits</t>
        </is>
      </c>
      <c r="C217" s="24" t="n">
        <v>7925</v>
      </c>
      <c r="D217" s="24" t="n">
        <v>10696</v>
      </c>
      <c r="E217" s="24" t="n">
        <v>3462</v>
      </c>
      <c r="F217" s="24" t="n">
        <v>15356</v>
      </c>
      <c r="G217" s="24" t="n">
        <v>10207</v>
      </c>
      <c r="H217" s="24">
        <f>G217-F217</f>
        <v/>
      </c>
      <c r="I217" s="8">
        <f>IF(F217=0,0,G217/F217-1)</f>
        <v/>
      </c>
    </row>
    <row r="218">
      <c r="A218" s="6" t="inlineStr">
        <is>
          <t>1000.2800.2110.52310.300</t>
        </is>
      </c>
      <c r="B218" s="6" t="inlineStr">
        <is>
          <t>Retirement</t>
        </is>
      </c>
      <c r="C218" s="24" t="n">
        <v>1449</v>
      </c>
      <c r="D218" s="24" t="n">
        <v>1553</v>
      </c>
      <c r="E218" s="24" t="n">
        <v>367</v>
      </c>
      <c r="F218" s="24" t="n">
        <v>1648</v>
      </c>
      <c r="G218" s="24" t="n">
        <v>2452</v>
      </c>
      <c r="H218" s="24">
        <f>G218-F218</f>
        <v/>
      </c>
      <c r="I218" s="8">
        <f>IF(F218=0,0,G218/F218-1)</f>
        <v/>
      </c>
    </row>
    <row r="219">
      <c r="A219" s="14" t="n"/>
      <c r="B219" s="28" t="inlineStr">
        <is>
          <t>Program 2800 Total</t>
        </is>
      </c>
      <c r="C219" s="29">
        <f>SUM(C216:C218)</f>
        <v/>
      </c>
      <c r="D219" s="29">
        <f>SUM(D216:D218)</f>
        <v/>
      </c>
      <c r="E219" s="29">
        <f>SUM(E216:E218)</f>
        <v/>
      </c>
      <c r="F219" s="29">
        <f>SUM(F216:F218)</f>
        <v/>
      </c>
      <c r="G219" s="29">
        <f>SUM(G216:G218)</f>
        <v/>
      </c>
      <c r="H219" s="29">
        <f>SUM(H216:H218)</f>
        <v/>
      </c>
      <c r="I219" s="29">
        <f>SUM(I216:I218)</f>
        <v/>
      </c>
    </row>
    <row r="220">
      <c r="A220" s="6" t="inlineStr">
        <is>
          <t>1000.2800.2140.51010.300</t>
        </is>
      </c>
      <c r="B220" s="6" t="inlineStr">
        <is>
          <t>Psychological Services Salary</t>
        </is>
      </c>
      <c r="C220" s="24" t="n">
        <v>0</v>
      </c>
      <c r="D220" s="24" t="n">
        <v>10382</v>
      </c>
      <c r="E220" s="24" t="n">
        <v>18859</v>
      </c>
      <c r="F220" s="24" t="n">
        <v>17043</v>
      </c>
      <c r="G220" s="24" t="n">
        <v>44099</v>
      </c>
      <c r="H220" s="24">
        <f>G220-F220</f>
        <v/>
      </c>
      <c r="I220" s="8">
        <f>IF(F220=0,0,G220/F220-1)</f>
        <v/>
      </c>
    </row>
    <row r="221">
      <c r="A221" s="6" t="inlineStr">
        <is>
          <t>1000.2800.2140.52010.300</t>
        </is>
      </c>
      <c r="B221" s="6" t="inlineStr">
        <is>
          <t>Psych Services Benefit</t>
        </is>
      </c>
      <c r="C221" s="24" t="n">
        <v>0</v>
      </c>
      <c r="D221" s="24" t="n">
        <v>1346</v>
      </c>
      <c r="E221" s="24" t="n">
        <v>453</v>
      </c>
      <c r="F221" s="24" t="n">
        <v>2079</v>
      </c>
      <c r="G221" s="24" t="n">
        <v>5403</v>
      </c>
      <c r="H221" s="24">
        <f>G221-F221</f>
        <v/>
      </c>
      <c r="I221" s="8">
        <f>IF(F221=0,0,G221/F221-1)</f>
        <v/>
      </c>
    </row>
    <row r="222">
      <c r="A222" s="6" t="inlineStr">
        <is>
          <t>1000.2800.2140.52310.300</t>
        </is>
      </c>
      <c r="B222" s="6" t="inlineStr">
        <is>
          <t>Retirement</t>
        </is>
      </c>
      <c r="C222" s="24" t="n">
        <v>0</v>
      </c>
      <c r="D222" s="24" t="n">
        <v>432</v>
      </c>
      <c r="E222" s="24" t="n">
        <v>157</v>
      </c>
      <c r="F222" s="24" t="n">
        <v>709</v>
      </c>
      <c r="G222" s="24" t="n">
        <v>1834</v>
      </c>
      <c r="H222" s="24">
        <f>G222-F222</f>
        <v/>
      </c>
      <c r="I222" s="8">
        <f>IF(F222=0,0,G222/F222-1)</f>
        <v/>
      </c>
    </row>
    <row r="223">
      <c r="A223" s="6" t="inlineStr">
        <is>
          <t>1000.2800.2140.55800.300</t>
        </is>
      </c>
      <c r="B223" s="6" t="inlineStr">
        <is>
          <t>Travel</t>
        </is>
      </c>
      <c r="C223" s="24" t="n">
        <v>0</v>
      </c>
      <c r="D223" s="24" t="n">
        <v>7</v>
      </c>
      <c r="E223" s="24" t="n">
        <v>0</v>
      </c>
      <c r="F223" s="24" t="n">
        <v>20</v>
      </c>
      <c r="G223" s="24" t="n">
        <v>125</v>
      </c>
      <c r="H223" s="24">
        <f>G223-F223</f>
        <v/>
      </c>
      <c r="I223" s="8">
        <f>IF(F223=0,0,G223/F223-1)</f>
        <v/>
      </c>
    </row>
    <row r="224">
      <c r="A224" s="14" t="n"/>
      <c r="B224" s="28" t="inlineStr">
        <is>
          <t>Program 2800 Total</t>
        </is>
      </c>
      <c r="C224" s="29">
        <f>SUM(C220:C223)</f>
        <v/>
      </c>
      <c r="D224" s="29">
        <f>SUM(D220:D223)</f>
        <v/>
      </c>
      <c r="E224" s="29">
        <f>SUM(E220:E223)</f>
        <v/>
      </c>
      <c r="F224" s="29">
        <f>SUM(F220:F223)</f>
        <v/>
      </c>
      <c r="G224" s="29">
        <f>SUM(G220:G223)</f>
        <v/>
      </c>
      <c r="H224" s="29">
        <f>SUM(H220:H223)</f>
        <v/>
      </c>
      <c r="I224" s="29">
        <f>SUM(I220:I223)</f>
        <v/>
      </c>
    </row>
    <row r="225">
      <c r="A225" s="6" t="inlineStr">
        <is>
          <t>1000.2800.2150.51010.300</t>
        </is>
      </c>
      <c r="B225" s="6" t="inlineStr">
        <is>
          <t>Speech &amp; Audiology Salaries</t>
        </is>
      </c>
      <c r="C225" s="24" t="n">
        <v>15324</v>
      </c>
      <c r="D225" s="24" t="n">
        <v>5496</v>
      </c>
      <c r="E225" s="24" t="n">
        <v>0</v>
      </c>
      <c r="F225" s="24" t="n">
        <v>39606</v>
      </c>
      <c r="G225" s="24" t="n">
        <v>40991</v>
      </c>
      <c r="H225" s="24">
        <f>G225-F225</f>
        <v/>
      </c>
      <c r="I225" s="8">
        <f>IF(F225=0,0,G225/F225-1)</f>
        <v/>
      </c>
    </row>
    <row r="226">
      <c r="A226" s="6" t="inlineStr">
        <is>
          <t>1000.2800.2150.52010.300</t>
        </is>
      </c>
      <c r="B226" s="6" t="inlineStr">
        <is>
          <t>Speech &amp; Audiology Benefits</t>
        </is>
      </c>
      <c r="C226" s="24" t="n">
        <v>2257</v>
      </c>
      <c r="D226" s="24" t="n">
        <v>717</v>
      </c>
      <c r="E226" s="24" t="n">
        <v>0</v>
      </c>
      <c r="F226" s="24" t="n">
        <v>9789</v>
      </c>
      <c r="G226" s="24" t="n">
        <v>10045</v>
      </c>
      <c r="H226" s="24">
        <f>G226-F226</f>
        <v/>
      </c>
      <c r="I226" s="8">
        <f>IF(F226=0,0,G226/F226-1)</f>
        <v/>
      </c>
    </row>
    <row r="227">
      <c r="A227" s="6" t="inlineStr">
        <is>
          <t>1000.2800.2150.52310.300</t>
        </is>
      </c>
      <c r="B227" s="6" t="inlineStr">
        <is>
          <t>Retirement</t>
        </is>
      </c>
      <c r="C227" s="24" t="n">
        <v>608</v>
      </c>
      <c r="D227" s="24" t="n">
        <v>229</v>
      </c>
      <c r="E227" s="24" t="n">
        <v>0</v>
      </c>
      <c r="F227" s="24" t="n">
        <v>1648</v>
      </c>
      <c r="G227" s="24" t="n">
        <v>0</v>
      </c>
      <c r="H227" s="24">
        <f>G227-F227</f>
        <v/>
      </c>
      <c r="I227" s="8">
        <f>IF(F227=0,0,G227/F227-1)</f>
        <v/>
      </c>
    </row>
    <row r="228">
      <c r="A228" s="6" t="inlineStr">
        <is>
          <t>1000.2800.2150.53440.300</t>
        </is>
      </c>
      <c r="B228" s="6" t="inlineStr">
        <is>
          <t>Professional Services</t>
        </is>
      </c>
      <c r="C228" s="24" t="n">
        <v>51</v>
      </c>
      <c r="D228" s="24" t="n">
        <v>0</v>
      </c>
      <c r="E228" s="24" t="n">
        <v>0</v>
      </c>
      <c r="F228" s="24" t="n">
        <v>0</v>
      </c>
      <c r="G228" s="24" t="n">
        <v>0</v>
      </c>
      <c r="H228" s="24">
        <f>G228-F228</f>
        <v/>
      </c>
      <c r="I228" s="8">
        <f>IF(F228=0,0,G228/F228-1)</f>
        <v/>
      </c>
    </row>
    <row r="229">
      <c r="A229" s="14" t="n"/>
      <c r="B229" s="28" t="inlineStr">
        <is>
          <t>Program 2800 Total</t>
        </is>
      </c>
      <c r="C229" s="29">
        <f>SUM(C225:C228)</f>
        <v/>
      </c>
      <c r="D229" s="29">
        <f>SUM(D225:D228)</f>
        <v/>
      </c>
      <c r="E229" s="29">
        <f>SUM(E225:E228)</f>
        <v/>
      </c>
      <c r="F229" s="29">
        <f>SUM(F225:F228)</f>
        <v/>
      </c>
      <c r="G229" s="29">
        <f>SUM(G225:G228)</f>
        <v/>
      </c>
      <c r="H229" s="29">
        <f>SUM(H225:H228)</f>
        <v/>
      </c>
      <c r="I229" s="29">
        <f>SUM(I225:I228)</f>
        <v/>
      </c>
    </row>
    <row r="230">
      <c r="A230" s="6" t="inlineStr">
        <is>
          <t>1000.2800.2160.51010.300</t>
        </is>
      </c>
      <c r="B230" s="6" t="inlineStr">
        <is>
          <t>OT Salary</t>
        </is>
      </c>
      <c r="C230" s="24" t="n">
        <v>6343</v>
      </c>
      <c r="D230" s="24" t="n">
        <v>5370</v>
      </c>
      <c r="E230" s="24" t="n">
        <v>5070</v>
      </c>
      <c r="F230" s="24" t="n">
        <v>6419</v>
      </c>
      <c r="G230" s="24" t="n">
        <v>6439</v>
      </c>
      <c r="H230" s="24">
        <f>G230-F230</f>
        <v/>
      </c>
      <c r="I230" s="8">
        <f>IF(F230=0,0,G230/F230-1)</f>
        <v/>
      </c>
    </row>
    <row r="231">
      <c r="A231" s="6" t="inlineStr">
        <is>
          <t>1000.2800.2160.52010.300</t>
        </is>
      </c>
      <c r="B231" s="6" t="inlineStr">
        <is>
          <t>OT Benefits</t>
        </is>
      </c>
      <c r="C231" s="24" t="n">
        <v>187</v>
      </c>
      <c r="D231" s="24" t="n">
        <v>99</v>
      </c>
      <c r="E231" s="24" t="n">
        <v>16</v>
      </c>
      <c r="F231" s="24" t="n">
        <v>120</v>
      </c>
      <c r="G231" s="24" t="n">
        <v>494</v>
      </c>
      <c r="H231" s="24">
        <f>G231-F231</f>
        <v/>
      </c>
      <c r="I231" s="8">
        <f>IF(F231=0,0,G231/F231-1)</f>
        <v/>
      </c>
    </row>
    <row r="232">
      <c r="A232" s="6" t="inlineStr">
        <is>
          <t>1000.2800.2160.52310.300</t>
        </is>
      </c>
      <c r="B232" s="6" t="inlineStr">
        <is>
          <t>Retirement</t>
        </is>
      </c>
      <c r="C232" s="24" t="n">
        <v>132</v>
      </c>
      <c r="D232" s="24" t="n">
        <v>223</v>
      </c>
      <c r="E232" s="24" t="n">
        <v>54</v>
      </c>
      <c r="F232" s="24" t="n">
        <v>267</v>
      </c>
      <c r="G232" s="24" t="n">
        <v>267</v>
      </c>
      <c r="H232" s="24">
        <f>G232-F232</f>
        <v/>
      </c>
      <c r="I232" s="8">
        <f>IF(F232=0,0,G232/F232-1)</f>
        <v/>
      </c>
    </row>
    <row r="233">
      <c r="A233" s="6" t="inlineStr">
        <is>
          <t>1000.2800.2160.55800.300</t>
        </is>
      </c>
      <c r="B233" s="6" t="inlineStr">
        <is>
          <t>Travel</t>
        </is>
      </c>
      <c r="C233" s="24" t="n">
        <v>0</v>
      </c>
      <c r="D233" s="24" t="n">
        <v>0</v>
      </c>
      <c r="E233" s="24" t="n">
        <v>0</v>
      </c>
      <c r="F233" s="24" t="n">
        <v>0</v>
      </c>
      <c r="G233" s="24" t="n">
        <v>125</v>
      </c>
      <c r="H233" s="24">
        <f>G233-F233</f>
        <v/>
      </c>
      <c r="I233" s="8">
        <f>IF(F233=0,0,G233/F233-1)</f>
        <v/>
      </c>
    </row>
    <row r="234">
      <c r="A234" s="14" t="n"/>
      <c r="B234" s="28" t="inlineStr">
        <is>
          <t>Program 2800 Total</t>
        </is>
      </c>
      <c r="C234" s="29">
        <f>SUM(C230:C233)</f>
        <v/>
      </c>
      <c r="D234" s="29">
        <f>SUM(D230:D233)</f>
        <v/>
      </c>
      <c r="E234" s="29">
        <f>SUM(E230:E233)</f>
        <v/>
      </c>
      <c r="F234" s="29">
        <f>SUM(F230:F233)</f>
        <v/>
      </c>
      <c r="G234" s="29">
        <f>SUM(G230:G233)</f>
        <v/>
      </c>
      <c r="H234" s="29">
        <f>SUM(H230:H233)</f>
        <v/>
      </c>
      <c r="I234" s="29">
        <f>SUM(I230:I233)</f>
        <v/>
      </c>
    </row>
    <row r="235">
      <c r="A235" s="14" t="n"/>
      <c r="B235" s="17" t="inlineStr">
        <is>
          <t>Cost Center ('300',) Total</t>
        </is>
      </c>
      <c r="C235" s="32">
        <f>C215+C219+C224+C229+C234</f>
        <v/>
      </c>
      <c r="D235" s="32">
        <f>D215+D219+D224+D229+D234</f>
        <v/>
      </c>
      <c r="E235" s="32">
        <f>E215+E219+E224+E229+E234</f>
        <v/>
      </c>
      <c r="F235" s="32">
        <f>F215+F219+F224+F229+F234</f>
        <v/>
      </c>
      <c r="G235" s="32">
        <f>G215+G219+G224+G229+G234</f>
        <v/>
      </c>
      <c r="H235" s="32">
        <f>H215+H219+H224+H229+H234</f>
        <v/>
      </c>
      <c r="I235" s="32">
        <f>I215+I219+I224+I229+I234</f>
        <v/>
      </c>
    </row>
    <row r="237">
      <c r="A237" s="3" t="inlineStr">
        <is>
          <t>Cost Center: ('900',)</t>
        </is>
      </c>
    </row>
    <row r="238">
      <c r="A238" s="6" t="inlineStr">
        <is>
          <t>1000.2500.2130.51500.900</t>
        </is>
      </c>
      <c r="B238" s="6" t="inlineStr">
        <is>
          <t>Stipends Paid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1000</v>
      </c>
      <c r="H238" s="24">
        <f>G238-F238</f>
        <v/>
      </c>
      <c r="I238" s="8">
        <f>IF(F238=0,0,G238/F238-1)</f>
        <v/>
      </c>
    </row>
    <row r="239">
      <c r="A239" s="6" t="inlineStr">
        <is>
          <t>1000.2500.2130.52000.900</t>
        </is>
      </c>
      <c r="B239" s="6" t="inlineStr">
        <is>
          <t>Employee Benefits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140</v>
      </c>
      <c r="H239" s="24">
        <f>G239-F239</f>
        <v/>
      </c>
      <c r="I239" s="8">
        <f>IF(F239=0,0,G239/F239-1)</f>
        <v/>
      </c>
    </row>
    <row r="240">
      <c r="A240" s="14" t="n"/>
      <c r="B240" s="28" t="inlineStr">
        <is>
          <t>Program 2500 Total</t>
        </is>
      </c>
      <c r="C240" s="29">
        <f>SUM(C238:C239)</f>
        <v/>
      </c>
      <c r="D240" s="29">
        <f>SUM(D238:D239)</f>
        <v/>
      </c>
      <c r="E240" s="29">
        <f>SUM(E238:E239)</f>
        <v/>
      </c>
      <c r="F240" s="29">
        <f>SUM(F238:F239)</f>
        <v/>
      </c>
      <c r="G240" s="29">
        <f>SUM(G238:G239)</f>
        <v/>
      </c>
      <c r="H240" s="29">
        <f>SUM(H238:H239)</f>
        <v/>
      </c>
      <c r="I240" s="29">
        <f>SUM(I238:I239)</f>
        <v/>
      </c>
    </row>
    <row r="241">
      <c r="A241" s="6" t="inlineStr">
        <is>
          <t>1000.2500.2330.51010.900</t>
        </is>
      </c>
      <c r="B241" s="6" t="inlineStr">
        <is>
          <t>Instructional Strategist Salaries $138,087</t>
        </is>
      </c>
      <c r="C241" s="24" t="n">
        <v>125551</v>
      </c>
      <c r="D241" s="24" t="n">
        <v>216539</v>
      </c>
      <c r="E241" s="24" t="n">
        <v>237322</v>
      </c>
      <c r="F241" s="24" t="n">
        <v>251065</v>
      </c>
      <c r="G241" s="24" t="n">
        <v>13743</v>
      </c>
      <c r="H241" s="24">
        <f>G241-F241</f>
        <v/>
      </c>
      <c r="I241" s="8">
        <f>IF(F241=0,0,G241/F241-1)</f>
        <v/>
      </c>
    </row>
    <row r="242">
      <c r="A242" s="6" t="inlineStr">
        <is>
          <t>1000.2500.2330.51040.900</t>
        </is>
      </c>
      <c r="B242" s="6" t="inlineStr">
        <is>
          <t>Admin Salaries</t>
        </is>
      </c>
      <c r="C242" s="24" t="n">
        <v>126450</v>
      </c>
      <c r="D242" s="24" t="n">
        <v>128979</v>
      </c>
      <c r="E242" s="24" t="n">
        <v>136213</v>
      </c>
      <c r="F242" s="24" t="n">
        <v>137690</v>
      </c>
      <c r="G242" s="24" t="n">
        <v>136873</v>
      </c>
      <c r="H242" s="24">
        <f>G242-F242</f>
        <v/>
      </c>
      <c r="I242" s="8">
        <f>IF(F242=0,0,G242/F242-1)</f>
        <v/>
      </c>
    </row>
    <row r="243">
      <c r="A243" s="6" t="inlineStr">
        <is>
          <t>1000.2500.2330.51180.900</t>
        </is>
      </c>
      <c r="B243" s="6" t="inlineStr">
        <is>
          <t>Support Wages</t>
        </is>
      </c>
      <c r="C243" s="24" t="n">
        <v>44616</v>
      </c>
      <c r="D243" s="24" t="n">
        <v>47661</v>
      </c>
      <c r="E243" s="24" t="n">
        <v>51839</v>
      </c>
      <c r="F243" s="24" t="n">
        <v>55324</v>
      </c>
      <c r="G243" s="24" t="n">
        <v>55080</v>
      </c>
      <c r="H243" s="24">
        <f>G243-F243</f>
        <v/>
      </c>
      <c r="I243" s="8">
        <f>IF(F243=0,0,G243/F243-1)</f>
        <v/>
      </c>
    </row>
    <row r="244">
      <c r="A244" s="6" t="inlineStr">
        <is>
          <t>1000.2500.2330.51230.900</t>
        </is>
      </c>
      <c r="B244" s="6" t="inlineStr">
        <is>
          <t>Substitutes</t>
        </is>
      </c>
      <c r="C244" s="24" t="n">
        <v>0</v>
      </c>
      <c r="D244" s="24" t="n">
        <v>0</v>
      </c>
      <c r="E244" s="24" t="n">
        <v>38214</v>
      </c>
      <c r="F244" s="24" t="n">
        <v>15000</v>
      </c>
      <c r="G244" s="24" t="n">
        <v>15000</v>
      </c>
      <c r="H244" s="24">
        <f>G244-F244</f>
        <v/>
      </c>
      <c r="I244" s="8">
        <f>IF(F244=0,0,G244/F244-1)</f>
        <v/>
      </c>
    </row>
    <row r="245">
      <c r="A245" s="6" t="inlineStr">
        <is>
          <t>1000.2500.2330.52010.900</t>
        </is>
      </c>
      <c r="B245" s="6" t="inlineStr">
        <is>
          <t>Instructional Strategist Benefits $10,051</t>
        </is>
      </c>
      <c r="C245" s="24" t="n">
        <v>11665</v>
      </c>
      <c r="D245" s="24" t="n">
        <v>6907</v>
      </c>
      <c r="E245" s="24" t="n">
        <v>31827</v>
      </c>
      <c r="F245" s="24" t="n">
        <v>41666</v>
      </c>
      <c r="G245" s="24" t="n">
        <v>9839</v>
      </c>
      <c r="H245" s="24">
        <f>G245-F245</f>
        <v/>
      </c>
      <c r="I245" s="8">
        <f>IF(F245=0,0,G245/F245-1)</f>
        <v/>
      </c>
    </row>
    <row r="246">
      <c r="A246" s="6" t="inlineStr">
        <is>
          <t>1000.2500.2330.52030.900</t>
        </is>
      </c>
      <c r="B246" s="6" t="inlineStr">
        <is>
          <t>Sub Benefits</t>
        </is>
      </c>
      <c r="C246" s="24" t="n">
        <v>0</v>
      </c>
      <c r="D246" s="24" t="n">
        <v>0</v>
      </c>
      <c r="E246" s="24" t="n">
        <v>77</v>
      </c>
      <c r="F246" s="24" t="n">
        <v>750</v>
      </c>
      <c r="G246" s="24" t="n">
        <v>750</v>
      </c>
      <c r="H246" s="24">
        <f>G246-F246</f>
        <v/>
      </c>
      <c r="I246" s="8">
        <f>IF(F246=0,0,G246/F246-1)</f>
        <v/>
      </c>
    </row>
    <row r="247">
      <c r="A247" s="6" t="inlineStr">
        <is>
          <t>1000.2500.2330.52040.900</t>
        </is>
      </c>
      <c r="B247" s="6" t="inlineStr">
        <is>
          <t>Admin Benefits</t>
        </is>
      </c>
      <c r="C247" s="24" t="n">
        <v>4027</v>
      </c>
      <c r="D247" s="24" t="n">
        <v>6324</v>
      </c>
      <c r="E247" s="24" t="n">
        <v>4452</v>
      </c>
      <c r="F247" s="24" t="n">
        <v>3063</v>
      </c>
      <c r="G247" s="24" t="n">
        <v>9679</v>
      </c>
      <c r="H247" s="24">
        <f>G247-F247</f>
        <v/>
      </c>
      <c r="I247" s="8">
        <f>IF(F247=0,0,G247/F247-1)</f>
        <v/>
      </c>
    </row>
    <row r="248">
      <c r="A248" s="6" t="inlineStr">
        <is>
          <t>1000.2500.2330.52080.900</t>
        </is>
      </c>
      <c r="B248" s="6" t="inlineStr">
        <is>
          <t>Support Benefits</t>
        </is>
      </c>
      <c r="C248" s="24" t="n">
        <v>14632</v>
      </c>
      <c r="D248" s="24" t="n">
        <v>17785</v>
      </c>
      <c r="E248" s="24" t="n">
        <v>19924</v>
      </c>
      <c r="F248" s="24" t="n">
        <v>24343</v>
      </c>
      <c r="G248" s="24" t="n">
        <v>23099</v>
      </c>
      <c r="H248" s="24">
        <f>G248-F248</f>
        <v/>
      </c>
      <c r="I248" s="8">
        <f>IF(F248=0,0,G248/F248-1)</f>
        <v/>
      </c>
    </row>
    <row r="249">
      <c r="A249" s="6" t="inlineStr">
        <is>
          <t>1000.2500.2330.52310.900</t>
        </is>
      </c>
      <c r="B249" s="6" t="inlineStr">
        <is>
          <t>Retirement</t>
        </is>
      </c>
      <c r="C249" s="24" t="n">
        <v>5587</v>
      </c>
      <c r="D249" s="24" t="n">
        <v>5213</v>
      </c>
      <c r="E249" s="24" t="n">
        <v>1243</v>
      </c>
      <c r="F249" s="24" t="n">
        <v>9873</v>
      </c>
      <c r="G249" s="24" t="n">
        <v>5693</v>
      </c>
      <c r="H249" s="24">
        <f>G249-F249</f>
        <v/>
      </c>
      <c r="I249" s="8">
        <f>IF(F249=0,0,G249/F249-1)</f>
        <v/>
      </c>
    </row>
    <row r="250">
      <c r="A250" s="6" t="inlineStr">
        <is>
          <t>1000.2500.2330.52330.900</t>
        </is>
      </c>
      <c r="B250" s="6" t="inlineStr">
        <is>
          <t>Retirement</t>
        </is>
      </c>
      <c r="C250" s="24" t="n">
        <v>0</v>
      </c>
      <c r="D250" s="24" t="n">
        <v>0</v>
      </c>
      <c r="E250" s="24" t="n">
        <v>513</v>
      </c>
      <c r="F250" s="24" t="n">
        <v>624</v>
      </c>
      <c r="G250" s="24" t="n">
        <v>624</v>
      </c>
      <c r="H250" s="24">
        <f>G250-F250</f>
        <v/>
      </c>
      <c r="I250" s="8">
        <f>IF(F250=0,0,G250/F250-1)</f>
        <v/>
      </c>
    </row>
    <row r="251">
      <c r="A251" s="6" t="inlineStr">
        <is>
          <t>1000.2500.2330.52340.900</t>
        </is>
      </c>
      <c r="B251" s="6" t="inlineStr">
        <is>
          <t>Retirement</t>
        </is>
      </c>
      <c r="C251" s="24" t="n">
        <v>5020</v>
      </c>
      <c r="D251" s="24" t="n">
        <v>5366</v>
      </c>
      <c r="E251" s="24" t="n">
        <v>2097</v>
      </c>
      <c r="F251" s="24" t="n">
        <v>5728</v>
      </c>
      <c r="G251" s="24" t="n">
        <v>0</v>
      </c>
      <c r="H251" s="24">
        <f>G251-F251</f>
        <v/>
      </c>
      <c r="I251" s="8">
        <f>IF(F251=0,0,G251/F251-1)</f>
        <v/>
      </c>
    </row>
    <row r="252">
      <c r="A252" s="6" t="inlineStr">
        <is>
          <t>1000.2500.2330.53400.900</t>
        </is>
      </c>
      <c r="B252" s="6" t="inlineStr">
        <is>
          <t>Contracted Services</t>
        </is>
      </c>
      <c r="C252" s="24" t="n">
        <v>2732</v>
      </c>
      <c r="D252" s="24" t="n">
        <v>60</v>
      </c>
      <c r="E252" s="24" t="n">
        <v>0</v>
      </c>
      <c r="F252" s="24" t="n">
        <v>65000</v>
      </c>
      <c r="G252" s="24" t="n">
        <v>0</v>
      </c>
      <c r="H252" s="24">
        <f>G252-F252</f>
        <v/>
      </c>
      <c r="I252" s="8">
        <f>IF(F252=0,0,G252/F252-1)</f>
        <v/>
      </c>
    </row>
    <row r="253">
      <c r="A253" s="6" t="inlineStr">
        <is>
          <t>1000.2500.2330.53440.900</t>
        </is>
      </c>
      <c r="B253" s="6" t="inlineStr">
        <is>
          <t>Purchased Professional</t>
        </is>
      </c>
      <c r="C253" s="24" t="n">
        <v>18203</v>
      </c>
      <c r="D253" s="24" t="n">
        <v>8637</v>
      </c>
      <c r="E253" s="24" t="n">
        <v>1678</v>
      </c>
      <c r="F253" s="24" t="n">
        <v>15000</v>
      </c>
      <c r="G253" s="24" t="n">
        <v>15000</v>
      </c>
      <c r="H253" s="24">
        <f>G253-F253</f>
        <v/>
      </c>
      <c r="I253" s="8">
        <f>IF(F253=0,0,G253/F253-1)</f>
        <v/>
      </c>
    </row>
    <row r="254">
      <c r="A254" s="6" t="inlineStr">
        <is>
          <t>1000.2500.2330.55310.900</t>
        </is>
      </c>
      <c r="B254" s="6" t="inlineStr">
        <is>
          <t>Postage</t>
        </is>
      </c>
      <c r="C254" s="24" t="n">
        <v>0</v>
      </c>
      <c r="D254" s="24" t="n">
        <v>96</v>
      </c>
      <c r="E254" s="24" t="n">
        <v>89</v>
      </c>
      <c r="F254" s="24" t="n">
        <v>0</v>
      </c>
      <c r="G254" s="24" t="n">
        <v>2000</v>
      </c>
      <c r="H254" s="24">
        <f>G254-F254</f>
        <v/>
      </c>
      <c r="I254" s="8">
        <f>IF(F254=0,0,G254/F254-1)</f>
        <v/>
      </c>
    </row>
    <row r="255">
      <c r="A255" s="6" t="inlineStr">
        <is>
          <t>1000.2500.2330.55800.900</t>
        </is>
      </c>
      <c r="B255" s="6" t="inlineStr">
        <is>
          <t>Travel</t>
        </is>
      </c>
      <c r="C255" s="24" t="n">
        <v>7150</v>
      </c>
      <c r="D255" s="24" t="n">
        <v>1087</v>
      </c>
      <c r="E255" s="24" t="n">
        <v>2024</v>
      </c>
      <c r="F255" s="24" t="n">
        <v>7090</v>
      </c>
      <c r="G255" s="24" t="n">
        <v>10000</v>
      </c>
      <c r="H255" s="24">
        <f>G255-F255</f>
        <v/>
      </c>
      <c r="I255" s="8">
        <f>IF(F255=0,0,G255/F255-1)</f>
        <v/>
      </c>
    </row>
    <row r="256">
      <c r="A256" s="6" t="inlineStr">
        <is>
          <t>1000.2500.2330.56000.900</t>
        </is>
      </c>
      <c r="B256" s="6" t="inlineStr">
        <is>
          <t>Supplies</t>
        </is>
      </c>
      <c r="C256" s="24" t="n">
        <v>0</v>
      </c>
      <c r="D256" s="24" t="n">
        <v>4277</v>
      </c>
      <c r="E256" s="24" t="n">
        <v>76</v>
      </c>
      <c r="F256" s="24" t="n">
        <v>1300</v>
      </c>
      <c r="G256" s="24" t="n">
        <v>1300</v>
      </c>
      <c r="H256" s="24">
        <f>G256-F256</f>
        <v/>
      </c>
      <c r="I256" s="8">
        <f>IF(F256=0,0,G256/F256-1)</f>
        <v/>
      </c>
    </row>
    <row r="257">
      <c r="A257" s="6" t="inlineStr">
        <is>
          <t>1000.2500.2330.58100.900</t>
        </is>
      </c>
      <c r="B257" s="6" t="inlineStr">
        <is>
          <t>Dues &amp; Fees</t>
        </is>
      </c>
      <c r="C257" s="24" t="n">
        <v>3818</v>
      </c>
      <c r="D257" s="24" t="n">
        <v>1404</v>
      </c>
      <c r="E257" s="24" t="n">
        <v>211</v>
      </c>
      <c r="F257" s="24" t="n">
        <v>0</v>
      </c>
      <c r="G257" s="24" t="n">
        <v>600</v>
      </c>
      <c r="H257" s="24">
        <f>G257-F257</f>
        <v/>
      </c>
      <c r="I257" s="8">
        <f>IF(F257=0,0,G257/F257-1)</f>
        <v/>
      </c>
    </row>
    <row r="258">
      <c r="A258" s="6" t="inlineStr">
        <is>
          <t>1000.2500.2330.59000.900</t>
        </is>
      </c>
      <c r="B258" s="6" t="inlineStr">
        <is>
          <t>Contingency</t>
        </is>
      </c>
      <c r="C258" s="24" t="n">
        <v>0</v>
      </c>
      <c r="D258" s="24" t="n">
        <v>0</v>
      </c>
      <c r="E258" s="24" t="n">
        <v>0</v>
      </c>
      <c r="F258" s="24" t="n">
        <v>40000</v>
      </c>
      <c r="G258" s="24" t="n">
        <v>40000</v>
      </c>
      <c r="H258" s="24">
        <f>G258-F258</f>
        <v/>
      </c>
      <c r="I258" s="8">
        <f>IF(F258=0,0,G258/F258-1)</f>
        <v/>
      </c>
    </row>
    <row r="259">
      <c r="A259" s="14" t="n"/>
      <c r="B259" s="28" t="inlineStr">
        <is>
          <t>Program 2500 Total</t>
        </is>
      </c>
      <c r="C259" s="29">
        <f>SUM(C241:C258)</f>
        <v/>
      </c>
      <c r="D259" s="29">
        <f>SUM(D241:D258)</f>
        <v/>
      </c>
      <c r="E259" s="29">
        <f>SUM(E241:E258)</f>
        <v/>
      </c>
      <c r="F259" s="29">
        <f>SUM(F241:F258)</f>
        <v/>
      </c>
      <c r="G259" s="29">
        <f>SUM(G241:G258)</f>
        <v/>
      </c>
      <c r="H259" s="29">
        <f>SUM(H241:H258)</f>
        <v/>
      </c>
      <c r="I259" s="29">
        <f>SUM(I241:I258)</f>
        <v/>
      </c>
    </row>
    <row r="260">
      <c r="A260" s="14" t="n"/>
      <c r="B260" s="17" t="inlineStr">
        <is>
          <t>Cost Center ('900',) Total</t>
        </is>
      </c>
      <c r="C260" s="32">
        <f>C240+C259</f>
        <v/>
      </c>
      <c r="D260" s="32">
        <f>D240+D259</f>
        <v/>
      </c>
      <c r="E260" s="32">
        <f>E240+E259</f>
        <v/>
      </c>
      <c r="F260" s="32">
        <f>F240+F259</f>
        <v/>
      </c>
      <c r="G260" s="32">
        <f>G240+G259</f>
        <v/>
      </c>
      <c r="H260" s="32">
        <f>H240+H259</f>
        <v/>
      </c>
      <c r="I260" s="32">
        <f>I240+I259</f>
        <v/>
      </c>
    </row>
    <row r="262">
      <c r="A262" s="3" t="inlineStr">
        <is>
          <t>Cost Center: ('950',)</t>
        </is>
      </c>
    </row>
    <row r="263">
      <c r="A263" s="6" t="inlineStr">
        <is>
          <t>1000.2100.1000.51210.950</t>
        </is>
      </c>
      <c r="B263" s="6" t="inlineStr">
        <is>
          <t>Tutor Salaries/ESY</t>
        </is>
      </c>
      <c r="C263" s="24" t="n">
        <v>31177</v>
      </c>
      <c r="D263" s="24" t="n">
        <v>7185</v>
      </c>
      <c r="E263" s="24" t="n">
        <v>6359</v>
      </c>
      <c r="F263" s="24" t="n">
        <v>10000</v>
      </c>
      <c r="G263" s="24" t="n">
        <v>18000</v>
      </c>
      <c r="H263" s="24">
        <f>G263-F263</f>
        <v/>
      </c>
      <c r="I263" s="8">
        <f>IF(F263=0,0,G263/F263-1)</f>
        <v/>
      </c>
    </row>
    <row r="264">
      <c r="A264" s="6" t="inlineStr">
        <is>
          <t>1000.2100.1000.52010.950</t>
        </is>
      </c>
      <c r="B264" s="6" t="inlineStr">
        <is>
          <t>Benefit</t>
        </is>
      </c>
      <c r="C264" s="24" t="n">
        <v>1075</v>
      </c>
      <c r="D264" s="24" t="n">
        <v>190</v>
      </c>
      <c r="E264" s="24" t="n">
        <v>1154</v>
      </c>
      <c r="F264" s="24" t="n">
        <v>0</v>
      </c>
      <c r="G264" s="24" t="n">
        <v>0</v>
      </c>
      <c r="H264" s="24">
        <f>G264-F264</f>
        <v/>
      </c>
      <c r="I264" s="8">
        <f>IF(F264=0,0,G264/F264-1)</f>
        <v/>
      </c>
    </row>
    <row r="265">
      <c r="A265" s="6" t="inlineStr">
        <is>
          <t>1000.2100.1000.52030.950</t>
        </is>
      </c>
      <c r="B265" s="6" t="inlineStr">
        <is>
          <t>Benefits</t>
        </is>
      </c>
      <c r="C265" s="24" t="n">
        <v>0</v>
      </c>
      <c r="D265" s="24" t="n">
        <v>0</v>
      </c>
      <c r="E265" s="24" t="n">
        <v>0</v>
      </c>
      <c r="F265" s="24" t="n">
        <v>900</v>
      </c>
      <c r="G265" s="24" t="n">
        <v>900</v>
      </c>
      <c r="H265" s="24">
        <f>G265-F265</f>
        <v/>
      </c>
      <c r="I265" s="8">
        <f>IF(F265=0,0,G265/F265-1)</f>
        <v/>
      </c>
    </row>
    <row r="266">
      <c r="A266" s="6" t="inlineStr">
        <is>
          <t>1000.2100.1000.52310.950</t>
        </is>
      </c>
      <c r="B266" s="6" t="inlineStr">
        <is>
          <t>Retirement</t>
        </is>
      </c>
      <c r="C266" s="24" t="n">
        <v>888</v>
      </c>
      <c r="D266" s="24" t="n">
        <v>376</v>
      </c>
      <c r="E266" s="24" t="n">
        <v>169</v>
      </c>
      <c r="F266" s="24" t="n">
        <v>0</v>
      </c>
      <c r="G266" s="24" t="n">
        <v>0</v>
      </c>
      <c r="H266" s="24">
        <f>G266-F266</f>
        <v/>
      </c>
      <c r="I266" s="8">
        <f>IF(F266=0,0,G266/F266-1)</f>
        <v/>
      </c>
    </row>
    <row r="267">
      <c r="A267" s="6" t="inlineStr">
        <is>
          <t>1000.2100.1000.52330.950</t>
        </is>
      </c>
      <c r="B267" s="6" t="inlineStr">
        <is>
          <t>Retirement</t>
        </is>
      </c>
      <c r="C267" s="24" t="n">
        <v>0</v>
      </c>
      <c r="D267" s="24" t="n">
        <v>0</v>
      </c>
      <c r="E267" s="24" t="n">
        <v>0</v>
      </c>
      <c r="F267" s="24" t="n">
        <v>715</v>
      </c>
      <c r="G267" s="24" t="n">
        <v>714</v>
      </c>
      <c r="H267" s="24">
        <f>G267-F267</f>
        <v/>
      </c>
      <c r="I267" s="8">
        <f>IF(F267=0,0,G267/F267-1)</f>
        <v/>
      </c>
    </row>
    <row r="268">
      <c r="A268" s="6" t="inlineStr">
        <is>
          <t>1000.2100.1000.53440.950</t>
        </is>
      </c>
      <c r="B268" s="6" t="inlineStr">
        <is>
          <t>Purchased Professional</t>
        </is>
      </c>
      <c r="C268" s="24" t="n">
        <v>1300</v>
      </c>
      <c r="D268" s="24" t="n">
        <v>864</v>
      </c>
      <c r="E268" s="24" t="n">
        <v>1473</v>
      </c>
      <c r="F268" s="24" t="n">
        <v>650</v>
      </c>
      <c r="G268" s="24" t="n">
        <v>1000</v>
      </c>
      <c r="H268" s="24">
        <f>G268-F268</f>
        <v/>
      </c>
      <c r="I268" s="8">
        <f>IF(F268=0,0,G268/F268-1)</f>
        <v/>
      </c>
    </row>
    <row r="269">
      <c r="A269" s="14" t="n"/>
      <c r="B269" s="28" t="inlineStr">
        <is>
          <t>Program 2100 Total</t>
        </is>
      </c>
      <c r="C269" s="29">
        <f>SUM(C263:C268)</f>
        <v/>
      </c>
      <c r="D269" s="29">
        <f>SUM(D263:D268)</f>
        <v/>
      </c>
      <c r="E269" s="29">
        <f>SUM(E263:E268)</f>
        <v/>
      </c>
      <c r="F269" s="29">
        <f>SUM(F263:F268)</f>
        <v/>
      </c>
      <c r="G269" s="29">
        <f>SUM(G263:G268)</f>
        <v/>
      </c>
      <c r="H269" s="29">
        <f>SUM(H263:H268)</f>
        <v/>
      </c>
      <c r="I269" s="29">
        <f>SUM(I263:I268)</f>
        <v/>
      </c>
    </row>
    <row r="270">
      <c r="A270" s="6" t="inlineStr">
        <is>
          <t>1000.2800.2140.51010.950</t>
        </is>
      </c>
      <c r="B270" s="6" t="inlineStr">
        <is>
          <t>Psychological Services Salary K-8</t>
        </is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98339</v>
      </c>
      <c r="H270" s="24">
        <f>G270-F270</f>
        <v/>
      </c>
      <c r="I270" s="8">
        <f>IF(F270=0,0,G270/F270-1)</f>
        <v/>
      </c>
    </row>
    <row r="271">
      <c r="A271" s="6" t="inlineStr">
        <is>
          <t>1000.2800.2140.52010.950</t>
        </is>
      </c>
      <c r="B271" s="6" t="inlineStr">
        <is>
          <t>Psych Services Benefit</t>
        </is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15504</v>
      </c>
      <c r="H271" s="24">
        <f>G271-F271</f>
        <v/>
      </c>
      <c r="I271" s="8">
        <f>IF(F271=0,0,G271/F271-1)</f>
        <v/>
      </c>
    </row>
    <row r="272">
      <c r="A272" s="6" t="inlineStr">
        <is>
          <t>1000.2800.2140.52310.950</t>
        </is>
      </c>
      <c r="B272" s="6" t="inlineStr">
        <is>
          <t>Retirement</t>
        </is>
      </c>
      <c r="C272" s="24" t="n">
        <v>0</v>
      </c>
      <c r="D272" s="24" t="n">
        <v>0</v>
      </c>
      <c r="E272" s="24" t="n">
        <v>0</v>
      </c>
      <c r="F272" s="24" t="n">
        <v>0</v>
      </c>
      <c r="G272" s="24" t="n">
        <v>4090</v>
      </c>
      <c r="H272" s="24">
        <f>G272-F272</f>
        <v/>
      </c>
      <c r="I272" s="8">
        <f>IF(F272=0,0,G272/F272-1)</f>
        <v/>
      </c>
    </row>
    <row r="273">
      <c r="A273" s="6" t="inlineStr">
        <is>
          <t>1000.2800.2140.55800.950</t>
        </is>
      </c>
      <c r="B273" s="6" t="inlineStr">
        <is>
          <t>Travel</t>
        </is>
      </c>
      <c r="C273" s="24" t="n">
        <v>584</v>
      </c>
      <c r="D273" s="24" t="n">
        <v>0</v>
      </c>
      <c r="E273" s="24" t="n">
        <v>0</v>
      </c>
      <c r="F273" s="24" t="n">
        <v>0</v>
      </c>
      <c r="G273" s="24" t="n">
        <v>580</v>
      </c>
      <c r="H273" s="24">
        <f>G273-F273</f>
        <v/>
      </c>
      <c r="I273" s="8">
        <f>IF(F273=0,0,G273/F273-1)</f>
        <v/>
      </c>
    </row>
    <row r="274">
      <c r="A274" s="14" t="n"/>
      <c r="B274" s="28" t="inlineStr">
        <is>
          <t>Program 2800 Total</t>
        </is>
      </c>
      <c r="C274" s="29">
        <f>SUM(C270:C273)</f>
        <v/>
      </c>
      <c r="D274" s="29">
        <f>SUM(D270:D273)</f>
        <v/>
      </c>
      <c r="E274" s="29">
        <f>SUM(E270:E273)</f>
        <v/>
      </c>
      <c r="F274" s="29">
        <f>SUM(F270:F273)</f>
        <v/>
      </c>
      <c r="G274" s="29">
        <f>SUM(G270:G273)</f>
        <v/>
      </c>
      <c r="H274" s="29">
        <f>SUM(H270:H273)</f>
        <v/>
      </c>
      <c r="I274" s="29">
        <f>SUM(I270:I273)</f>
        <v/>
      </c>
    </row>
    <row r="275">
      <c r="A275" s="6" t="inlineStr">
        <is>
          <t>1000.2800.2170.51010.950</t>
        </is>
      </c>
      <c r="B275" s="6" t="inlineStr">
        <is>
          <t>PT Salary</t>
        </is>
      </c>
      <c r="C275" s="24" t="n">
        <v>0</v>
      </c>
      <c r="D275" s="24" t="n">
        <v>0</v>
      </c>
      <c r="E275" s="24" t="n">
        <v>38522</v>
      </c>
      <c r="F275" s="24" t="n">
        <v>41925</v>
      </c>
      <c r="G275" s="24" t="n">
        <v>73607</v>
      </c>
      <c r="H275" s="24">
        <f>G275-F275</f>
        <v/>
      </c>
      <c r="I275" s="8">
        <f>IF(F275=0,0,G275/F275-1)</f>
        <v/>
      </c>
    </row>
    <row r="276">
      <c r="A276" s="6" t="inlineStr">
        <is>
          <t>1000.2800.2170.52010.950</t>
        </is>
      </c>
      <c r="B276" s="6" t="inlineStr">
        <is>
          <t>PT Benefits</t>
        </is>
      </c>
      <c r="C276" s="24" t="n">
        <v>0</v>
      </c>
      <c r="D276" s="24" t="n">
        <v>0</v>
      </c>
      <c r="E276" s="24" t="n">
        <v>4184</v>
      </c>
      <c r="F276" s="24" t="n">
        <v>10843</v>
      </c>
      <c r="G276" s="24" t="n">
        <v>5156</v>
      </c>
      <c r="H276" s="24">
        <f>G276-F276</f>
        <v/>
      </c>
      <c r="I276" s="8">
        <f>IF(F276=0,0,G276/F276-1)</f>
        <v/>
      </c>
    </row>
    <row r="277">
      <c r="A277" s="6" t="inlineStr">
        <is>
          <t>1000.2800.2170.52310.950</t>
        </is>
      </c>
      <c r="B277" s="6" t="inlineStr">
        <is>
          <t>PT Retirement</t>
        </is>
      </c>
      <c r="C277" s="24" t="n">
        <v>0</v>
      </c>
      <c r="D277" s="24" t="n">
        <v>0</v>
      </c>
      <c r="E277" s="24" t="n">
        <v>351</v>
      </c>
      <c r="F277" s="24" t="n">
        <v>1744</v>
      </c>
      <c r="G277" s="24" t="n">
        <v>3062</v>
      </c>
      <c r="H277" s="24">
        <f>G277-F277</f>
        <v/>
      </c>
      <c r="I277" s="8">
        <f>IF(F277=0,0,G277/F277-1)</f>
        <v/>
      </c>
    </row>
    <row r="278">
      <c r="A278" s="6" t="inlineStr">
        <is>
          <t>1000.2800.2170.55800.950</t>
        </is>
      </c>
      <c r="B278" s="6" t="inlineStr">
        <is>
          <t>Travel</t>
        </is>
      </c>
      <c r="C278" s="24" t="n">
        <v>0</v>
      </c>
      <c r="D278" s="24" t="n">
        <v>0</v>
      </c>
      <c r="E278" s="24" t="n">
        <v>0</v>
      </c>
      <c r="F278" s="24" t="n">
        <v>0</v>
      </c>
      <c r="G278" s="24" t="n">
        <v>500</v>
      </c>
      <c r="H278" s="24">
        <f>G278-F278</f>
        <v/>
      </c>
      <c r="I278" s="8">
        <f>IF(F278=0,0,G278/F278-1)</f>
        <v/>
      </c>
    </row>
    <row r="279">
      <c r="A279" s="14" t="n"/>
      <c r="B279" s="28" t="inlineStr">
        <is>
          <t>Program 2800 Total</t>
        </is>
      </c>
      <c r="C279" s="29">
        <f>SUM(C275:C278)</f>
        <v/>
      </c>
      <c r="D279" s="29">
        <f>SUM(D275:D278)</f>
        <v/>
      </c>
      <c r="E279" s="29">
        <f>SUM(E275:E278)</f>
        <v/>
      </c>
      <c r="F279" s="29">
        <f>SUM(F275:F278)</f>
        <v/>
      </c>
      <c r="G279" s="29">
        <f>SUM(G275:G278)</f>
        <v/>
      </c>
      <c r="H279" s="29">
        <f>SUM(H275:H278)</f>
        <v/>
      </c>
      <c r="I279" s="29">
        <f>SUM(I275:I278)</f>
        <v/>
      </c>
    </row>
    <row r="280">
      <c r="A280" s="6" t="inlineStr">
        <is>
          <t>1000.2800.2180.51010.950</t>
        </is>
      </c>
      <c r="B280" s="6" t="inlineStr">
        <is>
          <t>Vision Services Salary</t>
        </is>
      </c>
      <c r="C280" s="24" t="n">
        <v>33856</v>
      </c>
      <c r="D280" s="24" t="n">
        <v>35301</v>
      </c>
      <c r="E280" s="24" t="n">
        <v>0</v>
      </c>
      <c r="F280" s="24" t="n">
        <v>0</v>
      </c>
      <c r="G280" s="24" t="n">
        <v>0</v>
      </c>
      <c r="H280" s="24">
        <f>G280-F280</f>
        <v/>
      </c>
      <c r="I280" s="8">
        <f>IF(F280=0,0,G280/F280-1)</f>
        <v/>
      </c>
    </row>
    <row r="281">
      <c r="A281" s="6" t="inlineStr">
        <is>
          <t>1000.2800.2180.52010.950</t>
        </is>
      </c>
      <c r="B281" s="6" t="inlineStr">
        <is>
          <t>Vision Services Benefits</t>
        </is>
      </c>
      <c r="C281" s="24" t="n">
        <v>2634</v>
      </c>
      <c r="D281" s="24" t="n">
        <v>2873</v>
      </c>
      <c r="E281" s="24" t="n">
        <v>0</v>
      </c>
      <c r="F281" s="24" t="n">
        <v>0</v>
      </c>
      <c r="G281" s="24" t="n">
        <v>0</v>
      </c>
      <c r="H281" s="24">
        <f>G281-F281</f>
        <v/>
      </c>
      <c r="I281" s="8">
        <f>IF(F281=0,0,G281/F281-1)</f>
        <v/>
      </c>
    </row>
    <row r="282">
      <c r="A282" s="6" t="inlineStr">
        <is>
          <t>1000.2800.2180.52310.950</t>
        </is>
      </c>
      <c r="B282" s="6" t="inlineStr">
        <is>
          <t>Vision Services Retirement</t>
        </is>
      </c>
      <c r="C282" s="24" t="n">
        <v>1354</v>
      </c>
      <c r="D282" s="24" t="n">
        <v>1468</v>
      </c>
      <c r="E282" s="24" t="n">
        <v>0</v>
      </c>
      <c r="F282" s="24" t="n">
        <v>0</v>
      </c>
      <c r="G282" s="24" t="n">
        <v>0</v>
      </c>
      <c r="H282" s="24">
        <f>G282-F282</f>
        <v/>
      </c>
      <c r="I282" s="8">
        <f>IF(F282=0,0,G282/F282-1)</f>
        <v/>
      </c>
    </row>
    <row r="283">
      <c r="A283" s="6" t="inlineStr">
        <is>
          <t>1000.2800.2180.53440.950</t>
        </is>
      </c>
      <c r="B283" s="6" t="inlineStr">
        <is>
          <t>Professional Services - Vision</t>
        </is>
      </c>
      <c r="C283" s="24" t="n">
        <v>55</v>
      </c>
      <c r="D283" s="24" t="n">
        <v>0</v>
      </c>
      <c r="E283" s="24" t="n">
        <v>0</v>
      </c>
      <c r="F283" s="24" t="n">
        <v>0</v>
      </c>
      <c r="G283" s="24" t="n">
        <v>0</v>
      </c>
      <c r="H283" s="24">
        <f>G283-F283</f>
        <v/>
      </c>
      <c r="I283" s="8">
        <f>IF(F283=0,0,G283/F283-1)</f>
        <v/>
      </c>
    </row>
    <row r="284">
      <c r="A284" s="14" t="n"/>
      <c r="B284" s="28" t="inlineStr">
        <is>
          <t>Program 2800 Total</t>
        </is>
      </c>
      <c r="C284" s="29">
        <f>SUM(C280:C283)</f>
        <v/>
      </c>
      <c r="D284" s="29">
        <f>SUM(D280:D283)</f>
        <v/>
      </c>
      <c r="E284" s="29">
        <f>SUM(E280:E283)</f>
        <v/>
      </c>
      <c r="F284" s="29">
        <f>SUM(F280:F283)</f>
        <v/>
      </c>
      <c r="G284" s="29">
        <f>SUM(G280:G283)</f>
        <v/>
      </c>
      <c r="H284" s="29">
        <f>SUM(H280:H283)</f>
        <v/>
      </c>
      <c r="I284" s="29">
        <f>SUM(I280:I283)</f>
        <v/>
      </c>
    </row>
    <row r="285">
      <c r="A285" s="6" t="inlineStr">
        <is>
          <t>1000.2500.2330.53440.950</t>
        </is>
      </c>
      <c r="B285" s="6" t="inlineStr">
        <is>
          <t>MAINECARE SEED</t>
        </is>
      </c>
      <c r="C285" s="24" t="n">
        <v>40768</v>
      </c>
      <c r="D285" s="24" t="n">
        <v>21629</v>
      </c>
      <c r="E285" s="24" t="n">
        <v>9245</v>
      </c>
      <c r="F285" s="24" t="n">
        <v>30000</v>
      </c>
      <c r="G285" s="24" t="n">
        <v>65000</v>
      </c>
      <c r="H285" s="24">
        <f>G285-F285</f>
        <v/>
      </c>
      <c r="I285" s="8">
        <f>IF(F285=0,0,G285/F285-1)</f>
        <v/>
      </c>
    </row>
    <row r="286">
      <c r="A286" s="14" t="n"/>
      <c r="B286" s="17" t="inlineStr">
        <is>
          <t>Cost Center ('950',) Total</t>
        </is>
      </c>
      <c r="C286" s="32">
        <f>C269+C274+C279+C284</f>
        <v/>
      </c>
      <c r="D286" s="32">
        <f>D269+D274+D279+D284</f>
        <v/>
      </c>
      <c r="E286" s="32">
        <f>E269+E274+E279+E284</f>
        <v/>
      </c>
      <c r="F286" s="32">
        <f>F269+F274+F279+F284</f>
        <v/>
      </c>
      <c r="G286" s="32">
        <f>G269+G274+G279+G284</f>
        <v/>
      </c>
      <c r="H286" s="32">
        <f>H269+H274+H279+H284</f>
        <v/>
      </c>
      <c r="I286" s="32">
        <f>I269+I274+I279+I284</f>
        <v/>
      </c>
    </row>
    <row r="288">
      <c r="A288" s="3" t="inlineStr">
        <is>
          <t>Cost Center: ('990',)</t>
        </is>
      </c>
    </row>
    <row r="289">
      <c r="A289" s="6" t="inlineStr">
        <is>
          <t>1000.2800.2140.51010.990</t>
        </is>
      </c>
      <c r="B289" s="6" t="inlineStr">
        <is>
          <t>Psychological Services Salary 9-12</t>
        </is>
      </c>
      <c r="C289" s="24" t="n">
        <v>0</v>
      </c>
      <c r="D289" s="24" t="n">
        <v>0</v>
      </c>
      <c r="E289" s="24" t="n">
        <v>0</v>
      </c>
      <c r="F289" s="24" t="n">
        <v>13635</v>
      </c>
      <c r="G289" s="24" t="n">
        <v>0</v>
      </c>
      <c r="H289" s="24">
        <f>G289-F289</f>
        <v/>
      </c>
      <c r="I289" s="8">
        <f>IF(F289=0,0,G289/F289-1)</f>
        <v/>
      </c>
    </row>
    <row r="290">
      <c r="A290" s="6" t="inlineStr">
        <is>
          <t>1000.2800.2140.52010.990</t>
        </is>
      </c>
      <c r="B290" s="6" t="inlineStr">
        <is>
          <t>Psych Services Benefit</t>
        </is>
      </c>
      <c r="C290" s="24" t="n">
        <v>0</v>
      </c>
      <c r="D290" s="24" t="n">
        <v>0</v>
      </c>
      <c r="E290" s="24" t="n">
        <v>0</v>
      </c>
      <c r="F290" s="24" t="n">
        <v>1663</v>
      </c>
      <c r="G290" s="24" t="n">
        <v>0</v>
      </c>
      <c r="H290" s="24">
        <f>G290-F290</f>
        <v/>
      </c>
      <c r="I290" s="8">
        <f>IF(F290=0,0,G290/F290-1)</f>
        <v/>
      </c>
    </row>
    <row r="291">
      <c r="A291" s="6" t="inlineStr">
        <is>
          <t>1000.2800.2140.52310.990</t>
        </is>
      </c>
      <c r="B291" s="6" t="inlineStr">
        <is>
          <t>Retirement</t>
        </is>
      </c>
      <c r="C291" s="24" t="n">
        <v>0</v>
      </c>
      <c r="D291" s="24" t="n">
        <v>0</v>
      </c>
      <c r="E291" s="24" t="n">
        <v>0</v>
      </c>
      <c r="F291" s="24" t="n">
        <v>567</v>
      </c>
      <c r="G291" s="24" t="n">
        <v>0</v>
      </c>
      <c r="H291" s="24">
        <f>G291-F291</f>
        <v/>
      </c>
      <c r="I291" s="8">
        <f>IF(F291=0,0,G291/F291-1)</f>
        <v/>
      </c>
    </row>
    <row r="292">
      <c r="A292" s="6" t="inlineStr">
        <is>
          <t>1000.2800.2140.55800.990</t>
        </is>
      </c>
      <c r="B292" s="6" t="inlineStr">
        <is>
          <t>Travel</t>
        </is>
      </c>
      <c r="C292" s="24" t="n">
        <v>17</v>
      </c>
      <c r="D292" s="24" t="n">
        <v>0</v>
      </c>
      <c r="E292" s="24" t="n">
        <v>0</v>
      </c>
      <c r="F292" s="24" t="n">
        <v>0</v>
      </c>
      <c r="G292" s="24" t="n">
        <v>0</v>
      </c>
      <c r="H292" s="24">
        <f>G292-F292</f>
        <v/>
      </c>
      <c r="I292" s="8">
        <f>IF(F292=0,0,G292/F292-1)</f>
        <v/>
      </c>
    </row>
    <row r="293">
      <c r="A293" s="14" t="n"/>
      <c r="B293" s="28" t="inlineStr">
        <is>
          <t>Program 2800 Total</t>
        </is>
      </c>
      <c r="C293" s="29">
        <f>SUM(C289:C292)</f>
        <v/>
      </c>
      <c r="D293" s="29">
        <f>SUM(D289:D292)</f>
        <v/>
      </c>
      <c r="E293" s="29">
        <f>SUM(E289:E292)</f>
        <v/>
      </c>
      <c r="F293" s="29">
        <f>SUM(F289:F292)</f>
        <v/>
      </c>
      <c r="G293" s="29">
        <f>SUM(G289:G292)</f>
        <v/>
      </c>
      <c r="H293" s="29">
        <f>SUM(H289:H292)</f>
        <v/>
      </c>
      <c r="I293" s="29">
        <f>SUM(I289:I292)</f>
        <v/>
      </c>
    </row>
    <row r="294">
      <c r="A294" s="6" t="inlineStr">
        <is>
          <t>1000.2800.2150.51010.990</t>
        </is>
      </c>
      <c r="B294" s="6" t="inlineStr">
        <is>
          <t>Speech &amp; Audiology Salaries</t>
        </is>
      </c>
      <c r="C294" s="24" t="n">
        <v>36862</v>
      </c>
      <c r="D294" s="24" t="n">
        <v>37968</v>
      </c>
      <c r="E294" s="24" t="n">
        <v>40173</v>
      </c>
      <c r="F294" s="24" t="n">
        <v>0</v>
      </c>
      <c r="G294" s="24" t="n">
        <v>0</v>
      </c>
      <c r="H294" s="24">
        <f>G294-F294</f>
        <v/>
      </c>
      <c r="I294" s="8">
        <f>IF(F294=0,0,G294/F294-1)</f>
        <v/>
      </c>
    </row>
    <row r="295">
      <c r="A295" s="6" t="inlineStr">
        <is>
          <t>1000.2800.2150.52010.990</t>
        </is>
      </c>
      <c r="B295" s="6" t="inlineStr">
        <is>
          <t>Speech &amp; Audiology Benefits</t>
        </is>
      </c>
      <c r="C295" s="24" t="n">
        <v>9804</v>
      </c>
      <c r="D295" s="24" t="n">
        <v>9796</v>
      </c>
      <c r="E295" s="24" t="n">
        <v>2199</v>
      </c>
      <c r="F295" s="24" t="n">
        <v>0</v>
      </c>
      <c r="G295" s="24" t="n">
        <v>0</v>
      </c>
      <c r="H295" s="24">
        <f>G295-F295</f>
        <v/>
      </c>
      <c r="I295" s="8">
        <f>IF(F295=0,0,G295/F295-1)</f>
        <v/>
      </c>
    </row>
    <row r="296">
      <c r="A296" s="6" t="inlineStr">
        <is>
          <t>1000.2800.2150.52310.990</t>
        </is>
      </c>
      <c r="B296" s="6" t="inlineStr">
        <is>
          <t>Retirement</t>
        </is>
      </c>
      <c r="C296" s="24" t="n">
        <v>1474</v>
      </c>
      <c r="D296" s="24" t="n">
        <v>1580</v>
      </c>
      <c r="E296" s="24" t="n">
        <v>373</v>
      </c>
      <c r="F296" s="24" t="n">
        <v>1648</v>
      </c>
      <c r="G296" s="24" t="n">
        <v>0</v>
      </c>
      <c r="H296" s="24">
        <f>G296-F296</f>
        <v/>
      </c>
      <c r="I296" s="8">
        <f>IF(F296=0,0,G296/F296-1)</f>
        <v/>
      </c>
    </row>
    <row r="297">
      <c r="A297" s="6" t="inlineStr">
        <is>
          <t>1000.2800.2150.55800.990</t>
        </is>
      </c>
      <c r="B297" s="6" t="inlineStr">
        <is>
          <t>Travel</t>
        </is>
      </c>
      <c r="C297" s="24" t="n">
        <v>0</v>
      </c>
      <c r="D297" s="24" t="n">
        <v>0</v>
      </c>
      <c r="E297" s="24" t="n">
        <v>0</v>
      </c>
      <c r="F297" s="24" t="n">
        <v>70</v>
      </c>
      <c r="G297" s="24" t="n">
        <v>0</v>
      </c>
      <c r="H297" s="24">
        <f>G297-F297</f>
        <v/>
      </c>
      <c r="I297" s="8">
        <f>IF(F297=0,0,G297/F297-1)</f>
        <v/>
      </c>
    </row>
    <row r="298">
      <c r="A298" s="14" t="n"/>
      <c r="B298" s="28" t="inlineStr">
        <is>
          <t>Program 2800 Total</t>
        </is>
      </c>
      <c r="C298" s="29">
        <f>SUM(C294:C297)</f>
        <v/>
      </c>
      <c r="D298" s="29">
        <f>SUM(D294:D297)</f>
        <v/>
      </c>
      <c r="E298" s="29">
        <f>SUM(E294:E297)</f>
        <v/>
      </c>
      <c r="F298" s="29">
        <f>SUM(F294:F297)</f>
        <v/>
      </c>
      <c r="G298" s="29">
        <f>SUM(G294:G297)</f>
        <v/>
      </c>
      <c r="H298" s="29">
        <f>SUM(H294:H297)</f>
        <v/>
      </c>
      <c r="I298" s="29">
        <f>SUM(I294:I297)</f>
        <v/>
      </c>
    </row>
    <row r="299">
      <c r="A299" s="6" t="inlineStr">
        <is>
          <t>1000.2500.2330.53440.990</t>
        </is>
      </c>
      <c r="B299" s="6" t="inlineStr">
        <is>
          <t>MAINE CARE SEED</t>
        </is>
      </c>
      <c r="C299" s="24" t="n">
        <v>3700</v>
      </c>
      <c r="D299" s="24" t="n">
        <v>1881</v>
      </c>
      <c r="E299" s="24" t="n">
        <v>0</v>
      </c>
      <c r="F299" s="24" t="n">
        <v>2400</v>
      </c>
      <c r="G299" s="24" t="n">
        <v>2400</v>
      </c>
      <c r="H299" s="24">
        <f>G299-F299</f>
        <v/>
      </c>
      <c r="I299" s="8">
        <f>IF(F299=0,0,G299/F299-1)</f>
        <v/>
      </c>
    </row>
    <row r="300">
      <c r="A300" s="14" t="n"/>
      <c r="B300" s="17" t="inlineStr">
        <is>
          <t>Cost Center ('990',) Total</t>
        </is>
      </c>
      <c r="C300" s="32">
        <f>C293+C298</f>
        <v/>
      </c>
      <c r="D300" s="32">
        <f>D293+D298</f>
        <v/>
      </c>
      <c r="E300" s="32">
        <f>E293+E298</f>
        <v/>
      </c>
      <c r="F300" s="32">
        <f>F293+F298</f>
        <v/>
      </c>
      <c r="G300" s="32">
        <f>G293+G298</f>
        <v/>
      </c>
      <c r="H300" s="32">
        <f>H293+H298</f>
        <v/>
      </c>
      <c r="I300" s="32">
        <f>I293+I298</f>
        <v/>
      </c>
    </row>
    <row r="302">
      <c r="A302" s="14" t="n"/>
      <c r="B302" s="33" t="inlineStr">
        <is>
          <t>ARTICLE 2 TOTAL</t>
        </is>
      </c>
      <c r="C302" s="34">
        <f>C41+C81+C116+C154+C191+C235+C260+C286+C300</f>
        <v/>
      </c>
      <c r="D302" s="34">
        <f>D41+D81+D116+D154+D191+D235+D260+D286+D300</f>
        <v/>
      </c>
      <c r="E302" s="34">
        <f>E41+E81+E116+E154+E191+E235+E260+E286+E300</f>
        <v/>
      </c>
      <c r="F302" s="34">
        <f>F41+F81+F116+F154+F191+F235+F260+F286+F300</f>
        <v/>
      </c>
      <c r="G302" s="34">
        <f>G41+G81+G116+G154+G191+G235+G260+G286+G300</f>
        <v/>
      </c>
      <c r="H302" s="34">
        <f>H41+H81+H116+H154+H191+H235+H260+H286+H300</f>
        <v/>
      </c>
      <c r="I302" s="34">
        <f>I41+I81+I116+I154+I191+I235+I260+I286+I300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('300',)</t>
        </is>
      </c>
    </row>
    <row r="7">
      <c r="A7" s="6" t="inlineStr">
        <is>
          <t>1000.3000.1000.55640.300</t>
        </is>
      </c>
      <c r="B7" s="6" t="inlineStr">
        <is>
          <t>MVR 10 Assessment</t>
        </is>
      </c>
      <c r="C7" s="24" t="n">
        <v>74492</v>
      </c>
      <c r="D7" s="24" t="n">
        <v>99419</v>
      </c>
      <c r="E7" s="24" t="n">
        <v>101705</v>
      </c>
      <c r="F7" s="24" t="n">
        <v>142979</v>
      </c>
      <c r="G7" s="24" t="n">
        <v>29.11</v>
      </c>
      <c r="H7" s="24">
        <f>G7-F7</f>
        <v/>
      </c>
      <c r="I7" s="8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1000.9100.1000.51500.010</t>
        </is>
      </c>
      <c r="B7" s="6" t="inlineStr">
        <is>
          <t>Stipends</t>
        </is>
      </c>
      <c r="C7" s="24" t="n">
        <v>23241</v>
      </c>
      <c r="D7" s="24" t="n">
        <v>22853</v>
      </c>
      <c r="E7" s="24" t="n">
        <v>26116</v>
      </c>
      <c r="F7" s="24" t="n">
        <v>26627</v>
      </c>
      <c r="G7" s="24" t="n">
        <v>26112</v>
      </c>
      <c r="H7" s="24">
        <f>G7-F7</f>
        <v/>
      </c>
      <c r="I7" s="8">
        <f>IF(F7=0,0,G7/F7-1)</f>
        <v/>
      </c>
    </row>
    <row r="8">
      <c r="A8" s="6" t="inlineStr">
        <is>
          <t>1000.9100.1000.52000.010</t>
        </is>
      </c>
      <c r="B8" s="6" t="inlineStr">
        <is>
          <t>Benefits</t>
        </is>
      </c>
      <c r="C8" s="24" t="n">
        <v>1599</v>
      </c>
      <c r="D8" s="24" t="n">
        <v>665</v>
      </c>
      <c r="E8" s="24" t="n">
        <v>193</v>
      </c>
      <c r="F8" s="24" t="n">
        <v>439</v>
      </c>
      <c r="G8" s="24" t="n">
        <v>1496</v>
      </c>
      <c r="H8" s="24">
        <f>G8-F8</f>
        <v/>
      </c>
      <c r="I8" s="8">
        <f>IF(F8=0,0,G8/F8-1)</f>
        <v/>
      </c>
    </row>
    <row r="9">
      <c r="A9" s="6" t="inlineStr">
        <is>
          <t>1000.9100.1000.52300.010</t>
        </is>
      </c>
      <c r="B9" s="6" t="inlineStr">
        <is>
          <t>Retirement</t>
        </is>
      </c>
      <c r="C9" s="24" t="n">
        <v>182</v>
      </c>
      <c r="D9" s="24" t="n">
        <v>14</v>
      </c>
      <c r="E9" s="24" t="n">
        <v>0</v>
      </c>
      <c r="F9" s="24" t="n">
        <v>1108</v>
      </c>
      <c r="G9" s="24" t="n">
        <v>1245</v>
      </c>
      <c r="H9" s="24">
        <f>G9-F9</f>
        <v/>
      </c>
      <c r="I9" s="8">
        <f>IF(F9=0,0,G9/F9-1)</f>
        <v/>
      </c>
    </row>
    <row r="10">
      <c r="A10" s="6" t="inlineStr">
        <is>
          <t>1000.9100.1000.56000.010</t>
        </is>
      </c>
      <c r="B10" s="6" t="inlineStr">
        <is>
          <t>Supplies</t>
        </is>
      </c>
      <c r="C10" s="24" t="n">
        <v>596</v>
      </c>
      <c r="D10" s="24" t="n">
        <v>515</v>
      </c>
      <c r="E10" s="24" t="n">
        <v>0</v>
      </c>
      <c r="F10" s="24" t="n">
        <v>750</v>
      </c>
      <c r="G10" s="24" t="n">
        <v>750</v>
      </c>
      <c r="H10" s="24">
        <f>G10-F10</f>
        <v/>
      </c>
      <c r="I10" s="8">
        <f>IF(F10=0,0,G10/F10-1)</f>
        <v/>
      </c>
    </row>
    <row r="11">
      <c r="A11" s="6" t="inlineStr">
        <is>
          <t>1000.9100.1000.58100.010</t>
        </is>
      </c>
      <c r="B11" s="6" t="inlineStr">
        <is>
          <t>Dues &amp; Fees</t>
        </is>
      </c>
      <c r="C11" s="24" t="n">
        <v>930</v>
      </c>
      <c r="D11" s="24" t="n">
        <v>679</v>
      </c>
      <c r="E11" s="24" t="n">
        <v>0</v>
      </c>
      <c r="F11" s="24" t="n">
        <v>1609</v>
      </c>
      <c r="G11" s="24" t="n">
        <v>1609</v>
      </c>
      <c r="H11" s="24">
        <f>G11-F11</f>
        <v/>
      </c>
      <c r="I11" s="8">
        <f>IF(F11=0,0,G11/F11-1)</f>
        <v/>
      </c>
    </row>
    <row r="12">
      <c r="A12" s="14" t="n"/>
      <c r="B12" s="28" t="inlineStr">
        <is>
          <t>Program 9100 Total</t>
        </is>
      </c>
      <c r="C12" s="29">
        <f>SUM(C7:C11)</f>
        <v/>
      </c>
      <c r="D12" s="29">
        <f>SUM(D7:D11)</f>
        <v/>
      </c>
      <c r="E12" s="29">
        <f>SUM(E7:E11)</f>
        <v/>
      </c>
      <c r="F12" s="29">
        <f>SUM(F7:F11)</f>
        <v/>
      </c>
      <c r="G12" s="29">
        <f>SUM(G7:G11)</f>
        <v/>
      </c>
      <c r="H12" s="29">
        <f>SUM(H7:H11)</f>
        <v/>
      </c>
      <c r="I12" s="29">
        <f>SUM(I7:I11)</f>
        <v/>
      </c>
    </row>
    <row r="13">
      <c r="A13" s="14" t="n"/>
      <c r="B13" s="17" t="inlineStr">
        <is>
          <t>Cost Center ('010',) Total</t>
        </is>
      </c>
      <c r="C13" s="32">
        <f>C12</f>
        <v/>
      </c>
      <c r="D13" s="32">
        <f>D12</f>
        <v/>
      </c>
      <c r="E13" s="32">
        <f>E12</f>
        <v/>
      </c>
      <c r="F13" s="32">
        <f>F12</f>
        <v/>
      </c>
      <c r="G13" s="32">
        <f>G12</f>
        <v/>
      </c>
      <c r="H13" s="32">
        <f>H12</f>
        <v/>
      </c>
      <c r="I13" s="32">
        <f>I12</f>
        <v/>
      </c>
    </row>
    <row r="15">
      <c r="A15" s="3" t="inlineStr">
        <is>
          <t>Cost Center: ('020',)</t>
        </is>
      </c>
    </row>
    <row r="16">
      <c r="A16" s="6" t="inlineStr">
        <is>
          <t>1000.9100.1000.51500.020</t>
        </is>
      </c>
      <c r="B16" s="6" t="inlineStr">
        <is>
          <t>Stipends Paid</t>
        </is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1272</v>
      </c>
      <c r="H16" s="24">
        <f>G16-F16</f>
        <v/>
      </c>
      <c r="I16" s="8">
        <f>IF(F16=0,0,G16/F16-1)</f>
        <v/>
      </c>
    </row>
    <row r="17">
      <c r="A17" s="3" t="inlineStr">
        <is>
          <t>Cost Center: ('030',)</t>
        </is>
      </c>
    </row>
    <row r="18">
      <c r="A18" s="6" t="inlineStr">
        <is>
          <t>1000.9100.1000.51500.030</t>
        </is>
      </c>
      <c r="B18" s="6" t="inlineStr">
        <is>
          <t>Stipends</t>
        </is>
      </c>
      <c r="C18" s="24" t="n">
        <v>7037</v>
      </c>
      <c r="D18" s="24" t="n">
        <v>8071</v>
      </c>
      <c r="E18" s="24" t="n">
        <v>5333</v>
      </c>
      <c r="F18" s="24" t="n">
        <v>6440</v>
      </c>
      <c r="G18" s="24" t="n">
        <v>3815</v>
      </c>
      <c r="H18" s="24">
        <f>G18-F18</f>
        <v/>
      </c>
      <c r="I18" s="8">
        <f>IF(F18=0,0,G18/F18-1)</f>
        <v/>
      </c>
    </row>
    <row r="19">
      <c r="A19" s="6" t="inlineStr">
        <is>
          <t>1000.9100.1000.52000.030</t>
        </is>
      </c>
      <c r="B19" s="6" t="inlineStr">
        <is>
          <t>Stipend Benefits</t>
        </is>
      </c>
      <c r="C19" s="24" t="n">
        <v>80</v>
      </c>
      <c r="D19" s="24" t="n">
        <v>39</v>
      </c>
      <c r="E19" s="24" t="n">
        <v>3</v>
      </c>
      <c r="F19" s="24" t="n">
        <v>106</v>
      </c>
      <c r="G19" s="24" t="n">
        <v>396</v>
      </c>
      <c r="H19" s="24">
        <f>G19-F19</f>
        <v/>
      </c>
      <c r="I19" s="8">
        <f>IF(F19=0,0,G19/F19-1)</f>
        <v/>
      </c>
    </row>
    <row r="20">
      <c r="A20" s="6" t="inlineStr">
        <is>
          <t>1000.9100.1000.52300.030</t>
        </is>
      </c>
      <c r="B20" s="6" t="inlineStr">
        <is>
          <t>MPERS Employer Contribution</t>
        </is>
      </c>
      <c r="C20" s="24" t="n">
        <v>78</v>
      </c>
      <c r="D20" s="24" t="n">
        <v>0</v>
      </c>
      <c r="E20" s="24" t="n">
        <v>0</v>
      </c>
      <c r="F20" s="24" t="n">
        <v>268</v>
      </c>
      <c r="G20" s="24" t="n">
        <v>329</v>
      </c>
      <c r="H20" s="24">
        <f>G20-F20</f>
        <v/>
      </c>
      <c r="I20" s="8">
        <f>IF(F20=0,0,G20/F20-1)</f>
        <v/>
      </c>
    </row>
    <row r="21">
      <c r="A21" s="6" t="inlineStr">
        <is>
          <t>1000.9100.1000.58100.030</t>
        </is>
      </c>
      <c r="B21" s="6" t="inlineStr">
        <is>
          <t>Dues &amp; Fees</t>
        </is>
      </c>
      <c r="C21" s="24" t="n">
        <v>0</v>
      </c>
      <c r="D21" s="24" t="n">
        <v>0</v>
      </c>
      <c r="E21" s="24" t="n">
        <v>0</v>
      </c>
      <c r="F21" s="24" t="n">
        <v>200</v>
      </c>
      <c r="G21" s="24" t="n">
        <v>200</v>
      </c>
      <c r="H21" s="24">
        <f>G21-F21</f>
        <v/>
      </c>
      <c r="I21" s="8">
        <f>IF(F21=0,0,G21/F21-1)</f>
        <v/>
      </c>
    </row>
    <row r="22">
      <c r="A22" s="14" t="n"/>
      <c r="B22" s="28" t="inlineStr">
        <is>
          <t>Program 9100 Total</t>
        </is>
      </c>
      <c r="C22" s="29">
        <f>SUM(C18:C21)</f>
        <v/>
      </c>
      <c r="D22" s="29">
        <f>SUM(D18:D21)</f>
        <v/>
      </c>
      <c r="E22" s="29">
        <f>SUM(E18:E21)</f>
        <v/>
      </c>
      <c r="F22" s="29">
        <f>SUM(F18:F21)</f>
        <v/>
      </c>
      <c r="G22" s="29">
        <f>SUM(G18:G21)</f>
        <v/>
      </c>
      <c r="H22" s="29">
        <f>SUM(H18:H21)</f>
        <v/>
      </c>
      <c r="I22" s="29">
        <f>SUM(I18:I21)</f>
        <v/>
      </c>
    </row>
    <row r="23">
      <c r="A23" s="14" t="n"/>
      <c r="B23" s="17" t="inlineStr">
        <is>
          <t>Cost Center ('030',) Total</t>
        </is>
      </c>
      <c r="C23" s="32">
        <f>C22</f>
        <v/>
      </c>
      <c r="D23" s="32">
        <f>D22</f>
        <v/>
      </c>
      <c r="E23" s="32">
        <f>E22</f>
        <v/>
      </c>
      <c r="F23" s="32">
        <f>F22</f>
        <v/>
      </c>
      <c r="G23" s="32">
        <f>G22</f>
        <v/>
      </c>
      <c r="H23" s="32">
        <f>H22</f>
        <v/>
      </c>
      <c r="I23" s="32">
        <f>I22</f>
        <v/>
      </c>
    </row>
    <row r="25">
      <c r="A25" s="3" t="inlineStr">
        <is>
          <t>Cost Center: ('040',)</t>
        </is>
      </c>
    </row>
    <row r="26">
      <c r="A26" s="6" t="inlineStr">
        <is>
          <t>1000.9100.1000.51500.040</t>
        </is>
      </c>
      <c r="B26" s="6" t="inlineStr">
        <is>
          <t>Stipends</t>
        </is>
      </c>
      <c r="C26" s="24" t="n">
        <v>5414</v>
      </c>
      <c r="D26" s="24" t="n">
        <v>10470</v>
      </c>
      <c r="E26" s="24" t="n">
        <v>11036</v>
      </c>
      <c r="F26" s="24" t="n">
        <v>8071</v>
      </c>
      <c r="G26" s="24" t="n">
        <v>9798</v>
      </c>
      <c r="H26" s="24">
        <f>G26-F26</f>
        <v/>
      </c>
      <c r="I26" s="8">
        <f>IF(F26=0,0,G26/F26-1)</f>
        <v/>
      </c>
    </row>
    <row r="27">
      <c r="A27" s="6" t="inlineStr">
        <is>
          <t>1000.9100.1000.52000.040</t>
        </is>
      </c>
      <c r="B27" s="6" t="inlineStr">
        <is>
          <t>Stipend Benefits</t>
        </is>
      </c>
      <c r="C27" s="24" t="n">
        <v>32</v>
      </c>
      <c r="D27" s="24" t="n">
        <v>91</v>
      </c>
      <c r="E27" s="24" t="n">
        <v>5</v>
      </c>
      <c r="F27" s="24" t="n">
        <v>133</v>
      </c>
      <c r="G27" s="24" t="n">
        <v>573</v>
      </c>
      <c r="H27" s="24">
        <f>G27-F27</f>
        <v/>
      </c>
      <c r="I27" s="8">
        <f>IF(F27=0,0,G27/F27-1)</f>
        <v/>
      </c>
    </row>
    <row r="28">
      <c r="A28" s="6" t="inlineStr">
        <is>
          <t>1000.9100.1000.52300.040</t>
        </is>
      </c>
      <c r="B28" s="6" t="inlineStr">
        <is>
          <t>RETIREMENT</t>
        </is>
      </c>
      <c r="C28" s="24" t="n">
        <v>0</v>
      </c>
      <c r="D28" s="24" t="n">
        <v>14</v>
      </c>
      <c r="E28" s="24" t="n">
        <v>0</v>
      </c>
      <c r="F28" s="24" t="n">
        <v>336</v>
      </c>
      <c r="G28" s="24" t="n">
        <v>476</v>
      </c>
      <c r="H28" s="24">
        <f>G28-F28</f>
        <v/>
      </c>
      <c r="I28" s="8">
        <f>IF(F28=0,0,G28/F28-1)</f>
        <v/>
      </c>
    </row>
    <row r="29">
      <c r="A29" s="6" t="inlineStr">
        <is>
          <t>1000.9100.1000.58100.040</t>
        </is>
      </c>
      <c r="B29" s="6" t="inlineStr">
        <is>
          <t>Dues &amp; Fees</t>
        </is>
      </c>
      <c r="C29" s="24" t="n">
        <v>175</v>
      </c>
      <c r="D29" s="24" t="n">
        <v>175</v>
      </c>
      <c r="E29" s="24" t="n">
        <v>0</v>
      </c>
      <c r="F29" s="24" t="n">
        <v>400</v>
      </c>
      <c r="G29" s="24" t="n">
        <v>400</v>
      </c>
      <c r="H29" s="24">
        <f>G29-F29</f>
        <v/>
      </c>
      <c r="I29" s="8">
        <f>IF(F29=0,0,G29/F29-1)</f>
        <v/>
      </c>
    </row>
    <row r="30">
      <c r="A30" s="14" t="n"/>
      <c r="B30" s="28" t="inlineStr">
        <is>
          <t>Program 9100 Total</t>
        </is>
      </c>
      <c r="C30" s="29">
        <f>SUM(C26:C29)</f>
        <v/>
      </c>
      <c r="D30" s="29">
        <f>SUM(D26:D29)</f>
        <v/>
      </c>
      <c r="E30" s="29">
        <f>SUM(E26:E29)</f>
        <v/>
      </c>
      <c r="F30" s="29">
        <f>SUM(F26:F29)</f>
        <v/>
      </c>
      <c r="G30" s="29">
        <f>SUM(G26:G29)</f>
        <v/>
      </c>
      <c r="H30" s="29">
        <f>SUM(H26:H29)</f>
        <v/>
      </c>
      <c r="I30" s="29">
        <f>SUM(I26:I29)</f>
        <v/>
      </c>
    </row>
    <row r="31">
      <c r="A31" s="14" t="n"/>
      <c r="B31" s="17" t="inlineStr">
        <is>
          <t>Cost Center ('040',) Total</t>
        </is>
      </c>
      <c r="C31" s="32">
        <f>C30</f>
        <v/>
      </c>
      <c r="D31" s="32">
        <f>D30</f>
        <v/>
      </c>
      <c r="E31" s="32">
        <f>E30</f>
        <v/>
      </c>
      <c r="F31" s="32">
        <f>F30</f>
        <v/>
      </c>
      <c r="G31" s="32">
        <f>G30</f>
        <v/>
      </c>
      <c r="H31" s="32">
        <f>H30</f>
        <v/>
      </c>
      <c r="I31" s="32">
        <f>I30</f>
        <v/>
      </c>
    </row>
    <row r="33">
      <c r="A33" s="3" t="inlineStr">
        <is>
          <t>Cost Center: ('050',)</t>
        </is>
      </c>
    </row>
    <row r="34">
      <c r="A34" s="6" t="inlineStr">
        <is>
          <t>1000.9100.1000.51500.050</t>
        </is>
      </c>
      <c r="B34" s="6" t="inlineStr">
        <is>
          <t>Stipends</t>
        </is>
      </c>
      <c r="C34" s="24" t="n">
        <v>33274</v>
      </c>
      <c r="D34" s="24" t="n">
        <v>27155</v>
      </c>
      <c r="E34" s="24" t="n">
        <v>22328</v>
      </c>
      <c r="F34" s="24" t="n">
        <v>30979</v>
      </c>
      <c r="G34" s="24" t="n">
        <v>33250</v>
      </c>
      <c r="H34" s="24">
        <f>G34-F34</f>
        <v/>
      </c>
      <c r="I34" s="8">
        <f>IF(F34=0,0,G34/F34-1)</f>
        <v/>
      </c>
    </row>
    <row r="35">
      <c r="A35" s="6" t="inlineStr">
        <is>
          <t>1000.9100.1000.52000.050</t>
        </is>
      </c>
      <c r="B35" s="6" t="inlineStr">
        <is>
          <t>Stipend Benefits</t>
        </is>
      </c>
      <c r="C35" s="24" t="n">
        <v>1195</v>
      </c>
      <c r="D35" s="24" t="n">
        <v>216</v>
      </c>
      <c r="E35" s="24" t="n">
        <v>20</v>
      </c>
      <c r="F35" s="24" t="n">
        <v>511</v>
      </c>
      <c r="G35" s="24" t="n">
        <v>1444</v>
      </c>
      <c r="H35" s="24">
        <f>G35-F35</f>
        <v/>
      </c>
      <c r="I35" s="8">
        <f>IF(F35=0,0,G35/F35-1)</f>
        <v/>
      </c>
    </row>
    <row r="36">
      <c r="A36" s="6" t="inlineStr">
        <is>
          <t>1000.9100.1000.52300.050</t>
        </is>
      </c>
      <c r="B36" s="6" t="inlineStr">
        <is>
          <t>Retirement</t>
        </is>
      </c>
      <c r="C36" s="24" t="n">
        <v>139</v>
      </c>
      <c r="D36" s="24" t="n">
        <v>11</v>
      </c>
      <c r="E36" s="24" t="n">
        <v>0</v>
      </c>
      <c r="F36" s="24" t="n">
        <v>1289</v>
      </c>
      <c r="G36" s="24" t="n">
        <v>1201</v>
      </c>
      <c r="H36" s="24">
        <f>G36-F36</f>
        <v/>
      </c>
      <c r="I36" s="8">
        <f>IF(F36=0,0,G36/F36-1)</f>
        <v/>
      </c>
    </row>
    <row r="37">
      <c r="A37" s="6" t="inlineStr">
        <is>
          <t>1000.9100.1000.56000.050</t>
        </is>
      </c>
      <c r="B37" s="6" t="inlineStr">
        <is>
          <t>Supplies</t>
        </is>
      </c>
      <c r="C37" s="24" t="n">
        <v>2962</v>
      </c>
      <c r="D37" s="24" t="n">
        <v>2117</v>
      </c>
      <c r="E37" s="24" t="n">
        <v>-120</v>
      </c>
      <c r="F37" s="24" t="n">
        <v>0</v>
      </c>
      <c r="G37" s="24" t="n">
        <v>0</v>
      </c>
      <c r="H37" s="24">
        <f>G37-F37</f>
        <v/>
      </c>
      <c r="I37" s="8">
        <f>IF(F37=0,0,G37/F37-1)</f>
        <v/>
      </c>
    </row>
    <row r="38">
      <c r="A38" s="6" t="inlineStr">
        <is>
          <t>1000.9100.1000.56100.050</t>
        </is>
      </c>
      <c r="B38" s="6" t="inlineStr">
        <is>
          <t>Instructional Supplies</t>
        </is>
      </c>
      <c r="C38" s="24" t="n">
        <v>0</v>
      </c>
      <c r="D38" s="24" t="n">
        <v>0</v>
      </c>
      <c r="E38" s="24" t="n">
        <v>4974</v>
      </c>
      <c r="F38" s="24" t="n">
        <v>3900</v>
      </c>
      <c r="G38" s="24" t="n">
        <v>3900</v>
      </c>
      <c r="H38" s="24">
        <f>G38-F38</f>
        <v/>
      </c>
      <c r="I38" s="8">
        <f>IF(F38=0,0,G38/F38-1)</f>
        <v/>
      </c>
    </row>
    <row r="39">
      <c r="A39" s="6" t="inlineStr">
        <is>
          <t>1000.9100.1000.58100.050</t>
        </is>
      </c>
      <c r="B39" s="6" t="inlineStr">
        <is>
          <t>Dues &amp; Fees</t>
        </is>
      </c>
      <c r="C39" s="24" t="n">
        <v>2750</v>
      </c>
      <c r="D39" s="24" t="n">
        <v>1463</v>
      </c>
      <c r="E39" s="24" t="n">
        <v>27157</v>
      </c>
      <c r="F39" s="24" t="n">
        <v>2750</v>
      </c>
      <c r="G39" s="24" t="n">
        <v>2750</v>
      </c>
      <c r="H39" s="24">
        <f>G39-F39</f>
        <v/>
      </c>
      <c r="I39" s="8">
        <f>IF(F39=0,0,G39/F39-1)</f>
        <v/>
      </c>
    </row>
    <row r="40">
      <c r="A40" s="14" t="n"/>
      <c r="B40" s="28" t="inlineStr">
        <is>
          <t>Program 9100 Total</t>
        </is>
      </c>
      <c r="C40" s="29">
        <f>SUM(C34:C39)</f>
        <v/>
      </c>
      <c r="D40" s="29">
        <f>SUM(D34:D39)</f>
        <v/>
      </c>
      <c r="E40" s="29">
        <f>SUM(E34:E39)</f>
        <v/>
      </c>
      <c r="F40" s="29">
        <f>SUM(F34:F39)</f>
        <v/>
      </c>
      <c r="G40" s="29">
        <f>SUM(G34:G39)</f>
        <v/>
      </c>
      <c r="H40" s="29">
        <f>SUM(H34:H39)</f>
        <v/>
      </c>
      <c r="I40" s="29">
        <f>SUM(I34:I39)</f>
        <v/>
      </c>
    </row>
    <row r="41">
      <c r="A41" s="6" t="inlineStr">
        <is>
          <t>1000.9200.1000.51040.050</t>
        </is>
      </c>
      <c r="B41" s="6" t="inlineStr">
        <is>
          <t>Athletic Director Salary</t>
        </is>
      </c>
      <c r="C41" s="24" t="n">
        <v>29272</v>
      </c>
      <c r="D41" s="24" t="n">
        <v>34653</v>
      </c>
      <c r="E41" s="24" t="n">
        <v>0</v>
      </c>
      <c r="F41" s="24" t="n">
        <v>0</v>
      </c>
      <c r="G41" s="24" t="n">
        <v>0</v>
      </c>
      <c r="H41" s="24">
        <f>G41-F41</f>
        <v/>
      </c>
      <c r="I41" s="8">
        <f>IF(F41=0,0,G41/F41-1)</f>
        <v/>
      </c>
    </row>
    <row r="42">
      <c r="A42" s="6" t="inlineStr">
        <is>
          <t>1000.9200.1000.51230.050</t>
        </is>
      </c>
      <c r="B42" s="6" t="inlineStr">
        <is>
          <t>Other Wages</t>
        </is>
      </c>
      <c r="C42" s="24" t="n">
        <v>5503</v>
      </c>
      <c r="D42" s="24" t="n">
        <v>5823</v>
      </c>
      <c r="E42" s="24" t="n">
        <v>0</v>
      </c>
      <c r="F42" s="24" t="n">
        <v>0</v>
      </c>
      <c r="G42" s="24" t="n">
        <v>0</v>
      </c>
      <c r="H42" s="24">
        <f>G42-F42</f>
        <v/>
      </c>
      <c r="I42" s="8">
        <f>IF(F42=0,0,G42/F42-1)</f>
        <v/>
      </c>
    </row>
    <row r="43">
      <c r="A43" s="6" t="inlineStr">
        <is>
          <t>1000.9200.1000.51500.050</t>
        </is>
      </c>
      <c r="B43" s="6" t="inlineStr">
        <is>
          <t>Stipends-Coaches</t>
        </is>
      </c>
      <c r="C43" s="24" t="n">
        <v>109526</v>
      </c>
      <c r="D43" s="24" t="n">
        <v>84948</v>
      </c>
      <c r="E43" s="24" t="n">
        <v>89064</v>
      </c>
      <c r="F43" s="24" t="n">
        <v>114107</v>
      </c>
      <c r="G43" s="24" t="n">
        <v>114106</v>
      </c>
      <c r="H43" s="24">
        <f>G43-F43</f>
        <v/>
      </c>
      <c r="I43" s="8">
        <f>IF(F43=0,0,G43/F43-1)</f>
        <v/>
      </c>
    </row>
    <row r="44">
      <c r="A44" s="6" t="inlineStr">
        <is>
          <t>1000.9200.1000.52000.050</t>
        </is>
      </c>
      <c r="B44" s="6" t="inlineStr">
        <is>
          <t>Benefits</t>
        </is>
      </c>
      <c r="C44" s="24" t="n">
        <v>9075</v>
      </c>
      <c r="D44" s="24" t="n">
        <v>3621</v>
      </c>
      <c r="E44" s="24" t="n">
        <v>1168</v>
      </c>
      <c r="F44" s="24" t="n">
        <v>5705</v>
      </c>
      <c r="G44" s="24" t="n">
        <v>5705</v>
      </c>
      <c r="H44" s="24">
        <f>G44-F44</f>
        <v/>
      </c>
      <c r="I44" s="8">
        <f>IF(F44=0,0,G44/F44-1)</f>
        <v/>
      </c>
    </row>
    <row r="45">
      <c r="A45" s="6" t="inlineStr">
        <is>
          <t>1000.9200.1000.52030.050</t>
        </is>
      </c>
      <c r="B45" s="6" t="inlineStr">
        <is>
          <t>Other Benefits</t>
        </is>
      </c>
      <c r="C45" s="24" t="n">
        <v>448</v>
      </c>
      <c r="D45" s="24" t="n">
        <v>581</v>
      </c>
      <c r="E45" s="24" t="n">
        <v>59</v>
      </c>
      <c r="F45" s="24" t="n">
        <v>22</v>
      </c>
      <c r="G45" s="24" t="n">
        <v>0</v>
      </c>
      <c r="H45" s="24">
        <f>G45-F45</f>
        <v/>
      </c>
      <c r="I45" s="8">
        <f>IF(F45=0,0,G45/F45-1)</f>
        <v/>
      </c>
    </row>
    <row r="46">
      <c r="A46" s="6" t="inlineStr">
        <is>
          <t>1000.9200.1000.52040.050</t>
        </is>
      </c>
      <c r="B46" s="6" t="inlineStr">
        <is>
          <t>AD Benefits</t>
        </is>
      </c>
      <c r="C46" s="24" t="n">
        <v>3803</v>
      </c>
      <c r="D46" s="24" t="n">
        <v>4016</v>
      </c>
      <c r="E46" s="24" t="n">
        <v>0</v>
      </c>
      <c r="F46" s="24" t="n">
        <v>6226</v>
      </c>
      <c r="G46" s="24" t="n">
        <v>6994</v>
      </c>
      <c r="H46" s="24">
        <f>G46-F46</f>
        <v/>
      </c>
      <c r="I46" s="8">
        <f>IF(F46=0,0,G46/F46-1)</f>
        <v/>
      </c>
    </row>
    <row r="47">
      <c r="A47" s="6" t="inlineStr">
        <is>
          <t>1000.9200.1000.52080.050</t>
        </is>
      </c>
      <c r="B47" s="6" t="inlineStr">
        <is>
          <t>Support Benefits</t>
        </is>
      </c>
      <c r="C47" s="24" t="n">
        <v>0</v>
      </c>
      <c r="D47" s="24" t="n">
        <v>0</v>
      </c>
      <c r="E47" s="24" t="n">
        <v>0</v>
      </c>
      <c r="F47" s="24" t="n">
        <v>740</v>
      </c>
      <c r="G47" s="24" t="n">
        <v>904</v>
      </c>
      <c r="H47" s="24">
        <f>G47-F47</f>
        <v/>
      </c>
      <c r="I47" s="8">
        <f>IF(F47=0,0,G47/F47-1)</f>
        <v/>
      </c>
    </row>
    <row r="48">
      <c r="A48" s="6" t="inlineStr">
        <is>
          <t>1000.9200.1000.52300.050</t>
        </is>
      </c>
      <c r="B48" s="6" t="inlineStr">
        <is>
          <t>Retirement</t>
        </is>
      </c>
      <c r="C48" s="24" t="n">
        <v>994</v>
      </c>
      <c r="D48" s="24" t="n">
        <v>139</v>
      </c>
      <c r="E48" s="24" t="n">
        <v>0</v>
      </c>
      <c r="F48" s="24" t="n">
        <v>4747</v>
      </c>
      <c r="G48" s="24" t="n">
        <v>4746</v>
      </c>
      <c r="H48" s="24">
        <f>G48-F48</f>
        <v/>
      </c>
      <c r="I48" s="8">
        <f>IF(F48=0,0,G48/F48-1)</f>
        <v/>
      </c>
    </row>
    <row r="49">
      <c r="A49" s="6" t="inlineStr">
        <is>
          <t>1000.9200.1000.52330.050</t>
        </is>
      </c>
      <c r="B49" s="6" t="inlineStr">
        <is>
          <t>Retirement</t>
        </is>
      </c>
      <c r="C49" s="24" t="n">
        <v>0</v>
      </c>
      <c r="D49" s="24" t="n">
        <v>22</v>
      </c>
      <c r="E49" s="24" t="n">
        <v>0</v>
      </c>
      <c r="F49" s="24" t="n">
        <v>0</v>
      </c>
      <c r="G49" s="24" t="n">
        <v>0</v>
      </c>
      <c r="H49" s="24">
        <f>G49-F49</f>
        <v/>
      </c>
      <c r="I49" s="8">
        <f>IF(F49=0,0,G49/F49-1)</f>
        <v/>
      </c>
    </row>
    <row r="50">
      <c r="A50" s="6" t="inlineStr">
        <is>
          <t>1000.9200.1000.52340.050</t>
        </is>
      </c>
      <c r="B50" s="6" t="inlineStr">
        <is>
          <t>Retirement</t>
        </is>
      </c>
      <c r="C50" s="24" t="n">
        <v>1162</v>
      </c>
      <c r="D50" s="24" t="n">
        <v>1442</v>
      </c>
      <c r="E50" s="24" t="n">
        <v>0</v>
      </c>
      <c r="F50" s="24" t="n">
        <v>1318</v>
      </c>
      <c r="G50" s="24" t="n">
        <v>1370</v>
      </c>
      <c r="H50" s="24">
        <f>G50-F50</f>
        <v/>
      </c>
      <c r="I50" s="8">
        <f>IF(F50=0,0,G50/F50-1)</f>
        <v/>
      </c>
    </row>
    <row r="51">
      <c r="A51" s="6" t="inlineStr">
        <is>
          <t>1000.9200.1000.53000.050</t>
        </is>
      </c>
      <c r="B51" s="6" t="inlineStr">
        <is>
          <t>Game Officials</t>
        </is>
      </c>
      <c r="C51" s="24" t="n">
        <v>13990</v>
      </c>
      <c r="D51" s="24" t="n">
        <v>9629</v>
      </c>
      <c r="E51" s="24" t="n">
        <v>3818</v>
      </c>
      <c r="F51" s="24" t="n">
        <v>21785</v>
      </c>
      <c r="G51" s="24" t="n">
        <v>21917</v>
      </c>
      <c r="H51" s="24">
        <f>G51-F51</f>
        <v/>
      </c>
      <c r="I51" s="8">
        <f>IF(F51=0,0,G51/F51-1)</f>
        <v/>
      </c>
    </row>
    <row r="52">
      <c r="A52" s="6" t="inlineStr">
        <is>
          <t>1000.9200.1000.55800.050</t>
        </is>
      </c>
      <c r="B52" s="6" t="inlineStr">
        <is>
          <t>Travel</t>
        </is>
      </c>
      <c r="C52" s="24" t="n">
        <v>0</v>
      </c>
      <c r="D52" s="24" t="n">
        <v>0</v>
      </c>
      <c r="E52" s="24" t="n">
        <v>0</v>
      </c>
      <c r="F52" s="24" t="n">
        <v>75</v>
      </c>
      <c r="G52" s="24" t="n">
        <v>0</v>
      </c>
      <c r="H52" s="24">
        <f>G52-F52</f>
        <v/>
      </c>
      <c r="I52" s="8">
        <f>IF(F52=0,0,G52/F52-1)</f>
        <v/>
      </c>
    </row>
    <row r="53">
      <c r="A53" s="6" t="inlineStr">
        <is>
          <t>1000.9200.1000.58100.050</t>
        </is>
      </c>
      <c r="B53" s="6" t="inlineStr">
        <is>
          <t>Dues and Fees</t>
        </is>
      </c>
      <c r="C53" s="24" t="n">
        <v>13439</v>
      </c>
      <c r="D53" s="24" t="n">
        <v>16483</v>
      </c>
      <c r="E53" s="24" t="n">
        <v>6612</v>
      </c>
      <c r="F53" s="24" t="n">
        <v>17508</v>
      </c>
      <c r="G53" s="24" t="n">
        <v>17958</v>
      </c>
      <c r="H53" s="24">
        <f>G53-F53</f>
        <v/>
      </c>
      <c r="I53" s="8">
        <f>IF(F53=0,0,G53/F53-1)</f>
        <v/>
      </c>
    </row>
    <row r="54">
      <c r="A54" s="14" t="n"/>
      <c r="B54" s="28" t="inlineStr">
        <is>
          <t>Program 9200 Total</t>
        </is>
      </c>
      <c r="C54" s="29">
        <f>SUM(C41:C53)</f>
        <v/>
      </c>
      <c r="D54" s="29">
        <f>SUM(D41:D53)</f>
        <v/>
      </c>
      <c r="E54" s="29">
        <f>SUM(E41:E53)</f>
        <v/>
      </c>
      <c r="F54" s="29">
        <f>SUM(F41:F53)</f>
        <v/>
      </c>
      <c r="G54" s="29">
        <f>SUM(G41:G53)</f>
        <v/>
      </c>
      <c r="H54" s="29">
        <f>SUM(H41:H53)</f>
        <v/>
      </c>
      <c r="I54" s="29">
        <f>SUM(I41:I53)</f>
        <v/>
      </c>
    </row>
    <row r="55">
      <c r="A55" s="14" t="n"/>
      <c r="B55" s="30" t="inlineStr">
        <is>
          <t>Function 1000 Total</t>
        </is>
      </c>
      <c r="C55" s="31">
        <f>C40+C54</f>
        <v/>
      </c>
      <c r="D55" s="31">
        <f>D40+D54</f>
        <v/>
      </c>
      <c r="E55" s="31">
        <f>E40+E54</f>
        <v/>
      </c>
      <c r="F55" s="31">
        <f>F40+F54</f>
        <v/>
      </c>
      <c r="G55" s="31">
        <f>G40+G54</f>
        <v/>
      </c>
      <c r="H55" s="31">
        <f>H40+H54</f>
        <v/>
      </c>
      <c r="I55" s="31">
        <f>I40+I54</f>
        <v/>
      </c>
    </row>
    <row r="56">
      <c r="A56" s="6" t="inlineStr">
        <is>
          <t>1000.9200.2330.51010.050</t>
        </is>
      </c>
      <c r="B56" s="6" t="inlineStr">
        <is>
          <t>Athletic Director Salary -</t>
        </is>
      </c>
      <c r="C56" s="24" t="n">
        <v>0</v>
      </c>
      <c r="D56" s="24" t="n">
        <v>0</v>
      </c>
      <c r="E56" s="24" t="n">
        <v>0</v>
      </c>
      <c r="F56" s="24" t="n">
        <v>31676</v>
      </c>
      <c r="G56" s="24" t="n">
        <v>32942</v>
      </c>
      <c r="H56" s="24">
        <f>G56-F56</f>
        <v/>
      </c>
      <c r="I56" s="8">
        <f>IF(F56=0,0,G56/F56-1)</f>
        <v/>
      </c>
    </row>
    <row r="57">
      <c r="A57" s="6" t="inlineStr">
        <is>
          <t>1000.9200.2330.51180.050</t>
        </is>
      </c>
      <c r="B57" s="6" t="inlineStr">
        <is>
          <t>Athletic Office Support Staff Wages - $0</t>
        </is>
      </c>
      <c r="C57" s="24" t="n">
        <v>0</v>
      </c>
      <c r="D57" s="24" t="n">
        <v>0</v>
      </c>
      <c r="E57" s="24" t="n">
        <v>10214</v>
      </c>
      <c r="F57" s="24" t="n">
        <v>5249</v>
      </c>
      <c r="G57" s="24" t="n">
        <v>-4965</v>
      </c>
      <c r="H57" s="24">
        <f>G57-F57</f>
        <v/>
      </c>
      <c r="I57" s="8">
        <f>IF(F57=0,0,G57/F57-1)</f>
        <v/>
      </c>
    </row>
    <row r="58">
      <c r="A58" s="14" t="n"/>
      <c r="B58" s="28" t="inlineStr">
        <is>
          <t>Program 9200 Total</t>
        </is>
      </c>
      <c r="C58" s="29">
        <f>SUM(C56:C57)</f>
        <v/>
      </c>
      <c r="D58" s="29">
        <f>SUM(D56:D57)</f>
        <v/>
      </c>
      <c r="E58" s="29">
        <f>SUM(E56:E57)</f>
        <v/>
      </c>
      <c r="F58" s="29">
        <f>SUM(F56:F57)</f>
        <v/>
      </c>
      <c r="G58" s="29">
        <f>SUM(G56:G57)</f>
        <v/>
      </c>
      <c r="H58" s="29">
        <f>SUM(H56:H57)</f>
        <v/>
      </c>
      <c r="I58" s="29">
        <f>SUM(I56:I57)</f>
        <v/>
      </c>
    </row>
    <row r="59">
      <c r="A59" s="14" t="n"/>
      <c r="B59" s="17" t="inlineStr">
        <is>
          <t>Cost Center ('050',) Total</t>
        </is>
      </c>
      <c r="C59" s="32">
        <f>C55+C58</f>
        <v/>
      </c>
      <c r="D59" s="32">
        <f>D55+D58</f>
        <v/>
      </c>
      <c r="E59" s="32">
        <f>E55+E58</f>
        <v/>
      </c>
      <c r="F59" s="32">
        <f>F55+F58</f>
        <v/>
      </c>
      <c r="G59" s="32">
        <f>G55+G58</f>
        <v/>
      </c>
      <c r="H59" s="32">
        <f>H55+H58</f>
        <v/>
      </c>
      <c r="I59" s="32">
        <f>I55+I58</f>
        <v/>
      </c>
    </row>
    <row r="61">
      <c r="A61" s="3" t="inlineStr">
        <is>
          <t>Cost Center: ('300',)</t>
        </is>
      </c>
    </row>
    <row r="62">
      <c r="A62" s="6" t="inlineStr">
        <is>
          <t>1000.9500.1000.51500.300</t>
        </is>
      </c>
      <c r="B62" s="6" t="inlineStr">
        <is>
          <t>Stipends</t>
        </is>
      </c>
      <c r="C62" s="24" t="n">
        <v>81264</v>
      </c>
      <c r="D62" s="24" t="n">
        <v>81263</v>
      </c>
      <c r="E62" s="24" t="n">
        <v>80157</v>
      </c>
      <c r="F62" s="24" t="n">
        <v>89944</v>
      </c>
      <c r="G62" s="24" t="n">
        <v>80000</v>
      </c>
      <c r="H62" s="24">
        <f>G62-F62</f>
        <v/>
      </c>
      <c r="I62" s="8">
        <f>IF(F62=0,0,G62/F62-1)</f>
        <v/>
      </c>
    </row>
    <row r="63">
      <c r="A63" s="6" t="inlineStr">
        <is>
          <t>1000.9500.1000.52000.300</t>
        </is>
      </c>
      <c r="B63" s="6" t="inlineStr">
        <is>
          <t>Stipend Benefits</t>
        </is>
      </c>
      <c r="C63" s="24" t="n">
        <v>3968</v>
      </c>
      <c r="D63" s="24" t="n">
        <v>2001</v>
      </c>
      <c r="E63" s="24" t="n">
        <v>441</v>
      </c>
      <c r="F63" s="24" t="n">
        <v>1797</v>
      </c>
      <c r="G63" s="24" t="n">
        <v>3834</v>
      </c>
      <c r="H63" s="24">
        <f>G63-F63</f>
        <v/>
      </c>
      <c r="I63" s="8">
        <f>IF(F63=0,0,G63/F63-1)</f>
        <v/>
      </c>
    </row>
    <row r="64">
      <c r="A64" s="6" t="inlineStr">
        <is>
          <t>1000.9500.1000.52300.300</t>
        </is>
      </c>
      <c r="B64" s="6" t="inlineStr">
        <is>
          <t>Retirement</t>
        </is>
      </c>
      <c r="C64" s="24" t="n">
        <v>684</v>
      </c>
      <c r="D64" s="24" t="n">
        <v>45</v>
      </c>
      <c r="E64" s="24" t="n">
        <v>0</v>
      </c>
      <c r="F64" s="24" t="n">
        <v>3742</v>
      </c>
      <c r="G64" s="24" t="n">
        <v>3189</v>
      </c>
      <c r="H64" s="24">
        <f>G64-F64</f>
        <v/>
      </c>
      <c r="I64" s="8">
        <f>IF(F64=0,0,G64/F64-1)</f>
        <v/>
      </c>
    </row>
    <row r="65">
      <c r="A65" s="6" t="inlineStr">
        <is>
          <t>1000.9500.1000.56000.300</t>
        </is>
      </c>
      <c r="B65" s="6" t="inlineStr">
        <is>
          <t>Supplies</t>
        </is>
      </c>
      <c r="C65" s="24" t="n">
        <v>4100</v>
      </c>
      <c r="D65" s="24" t="n">
        <v>1116</v>
      </c>
      <c r="E65" s="24" t="n">
        <v>0</v>
      </c>
      <c r="F65" s="24" t="n">
        <v>0</v>
      </c>
      <c r="G65" s="24" t="n">
        <v>0</v>
      </c>
      <c r="H65" s="24">
        <f>G65-F65</f>
        <v/>
      </c>
      <c r="I65" s="8">
        <f>IF(F65=0,0,G65/F65-1)</f>
        <v/>
      </c>
    </row>
    <row r="66">
      <c r="A66" s="6" t="inlineStr">
        <is>
          <t>1000.9500.1000.56100.300</t>
        </is>
      </c>
      <c r="B66" s="6" t="inlineStr">
        <is>
          <t>Instructional Supplies</t>
        </is>
      </c>
      <c r="C66" s="24" t="n">
        <v>0</v>
      </c>
      <c r="D66" s="24" t="n">
        <v>0</v>
      </c>
      <c r="E66" s="24" t="n">
        <v>2693</v>
      </c>
      <c r="F66" s="24" t="n">
        <v>1505</v>
      </c>
      <c r="G66" s="24" t="n">
        <v>2205</v>
      </c>
      <c r="H66" s="24">
        <f>G66-F66</f>
        <v/>
      </c>
      <c r="I66" s="8">
        <f>IF(F66=0,0,G66/F66-1)</f>
        <v/>
      </c>
    </row>
    <row r="67">
      <c r="A67" s="6" t="inlineStr">
        <is>
          <t>1000.9500.1000.58100.300</t>
        </is>
      </c>
      <c r="B67" s="6" t="inlineStr">
        <is>
          <t>Dues and Fees</t>
        </is>
      </c>
      <c r="C67" s="24" t="n">
        <v>5002</v>
      </c>
      <c r="D67" s="24" t="n">
        <v>4595</v>
      </c>
      <c r="E67" s="24" t="n">
        <v>5643</v>
      </c>
      <c r="F67" s="24" t="n">
        <v>12295</v>
      </c>
      <c r="G67" s="24" t="n">
        <v>13470</v>
      </c>
      <c r="H67" s="24">
        <f>G67-F67</f>
        <v/>
      </c>
      <c r="I67" s="8">
        <f>IF(F67=0,0,G67/F67-1)</f>
        <v/>
      </c>
    </row>
    <row r="68">
      <c r="A68" s="14" t="n"/>
      <c r="B68" s="28" t="inlineStr">
        <is>
          <t>Program 9500 Total</t>
        </is>
      </c>
      <c r="C68" s="29">
        <f>SUM(C62:C67)</f>
        <v/>
      </c>
      <c r="D68" s="29">
        <f>SUM(D62:D67)</f>
        <v/>
      </c>
      <c r="E68" s="29">
        <f>SUM(E62:E67)</f>
        <v/>
      </c>
      <c r="F68" s="29">
        <f>SUM(F62:F67)</f>
        <v/>
      </c>
      <c r="G68" s="29">
        <f>SUM(G62:G67)</f>
        <v/>
      </c>
      <c r="H68" s="29">
        <f>SUM(H62:H67)</f>
        <v/>
      </c>
      <c r="I68" s="29">
        <f>SUM(I62:I67)</f>
        <v/>
      </c>
    </row>
    <row r="69">
      <c r="A69" s="6" t="inlineStr">
        <is>
          <t>1000.9600.1000.51040.300</t>
        </is>
      </c>
      <c r="B69" s="6" t="inlineStr">
        <is>
          <t>Athletic Director Salaries</t>
        </is>
      </c>
      <c r="C69" s="24" t="n">
        <v>68301</v>
      </c>
      <c r="D69" s="24" t="n">
        <v>80858</v>
      </c>
      <c r="E69" s="24" t="n">
        <v>0</v>
      </c>
      <c r="F69" s="24" t="n">
        <v>0</v>
      </c>
      <c r="G69" s="24" t="n">
        <v>0</v>
      </c>
      <c r="H69" s="24">
        <f>G69-F69</f>
        <v/>
      </c>
      <c r="I69" s="8">
        <f>IF(F69=0,0,G69/F69-1)</f>
        <v/>
      </c>
    </row>
    <row r="70">
      <c r="A70" s="6" t="inlineStr">
        <is>
          <t>1000.9600.1000.51230.300</t>
        </is>
      </c>
      <c r="B70" s="6" t="inlineStr">
        <is>
          <t>Other Wages</t>
        </is>
      </c>
      <c r="C70" s="24" t="n">
        <v>15636</v>
      </c>
      <c r="D70" s="24" t="n">
        <v>14505</v>
      </c>
      <c r="E70" s="24" t="n">
        <v>0</v>
      </c>
      <c r="F70" s="24" t="n">
        <v>0</v>
      </c>
      <c r="G70" s="24" t="n">
        <v>0</v>
      </c>
      <c r="H70" s="24">
        <f>G70-F70</f>
        <v/>
      </c>
      <c r="I70" s="8">
        <f>IF(F70=0,0,G70/F70-1)</f>
        <v/>
      </c>
    </row>
    <row r="71">
      <c r="A71" s="6" t="inlineStr">
        <is>
          <t>1000.9600.1000.51500.300</t>
        </is>
      </c>
      <c r="B71" s="6" t="inlineStr">
        <is>
          <t>Stipends-Coaches</t>
        </is>
      </c>
      <c r="C71" s="24" t="n">
        <v>147846</v>
      </c>
      <c r="D71" s="24" t="n">
        <v>108088</v>
      </c>
      <c r="E71" s="24" t="n">
        <v>151984</v>
      </c>
      <c r="F71" s="24" t="n">
        <v>169732</v>
      </c>
      <c r="G71" s="24" t="n">
        <v>164788</v>
      </c>
      <c r="H71" s="24">
        <f>G71-F71</f>
        <v/>
      </c>
      <c r="I71" s="8">
        <f>IF(F71=0,0,G71/F71-1)</f>
        <v/>
      </c>
    </row>
    <row r="72">
      <c r="A72" s="6" t="inlineStr">
        <is>
          <t>1000.9600.1000.52000.300</t>
        </is>
      </c>
      <c r="B72" s="6" t="inlineStr">
        <is>
          <t>Stipend Benefits</t>
        </is>
      </c>
      <c r="C72" s="24" t="n">
        <v>10276</v>
      </c>
      <c r="D72" s="24" t="n">
        <v>8051</v>
      </c>
      <c r="E72" s="24" t="n">
        <v>719</v>
      </c>
      <c r="F72" s="24" t="n">
        <v>8487</v>
      </c>
      <c r="G72" s="24" t="n">
        <v>8239</v>
      </c>
      <c r="H72" s="24">
        <f>G72-F72</f>
        <v/>
      </c>
      <c r="I72" s="8">
        <f>IF(F72=0,0,G72/F72-1)</f>
        <v/>
      </c>
    </row>
    <row r="73">
      <c r="A73" s="6" t="inlineStr">
        <is>
          <t>1000.9600.1000.52030.300</t>
        </is>
      </c>
      <c r="B73" s="6" t="inlineStr">
        <is>
          <t>Other Benefits</t>
        </is>
      </c>
      <c r="C73" s="24" t="n">
        <v>1449</v>
      </c>
      <c r="D73" s="24" t="n">
        <v>1377</v>
      </c>
      <c r="E73" s="24" t="n">
        <v>145</v>
      </c>
      <c r="F73" s="24" t="n">
        <v>0</v>
      </c>
      <c r="G73" s="24" t="n">
        <v>0</v>
      </c>
      <c r="H73" s="24">
        <f>G73-F73</f>
        <v/>
      </c>
      <c r="I73" s="8">
        <f>IF(F73=0,0,G73/F73-1)</f>
        <v/>
      </c>
    </row>
    <row r="74">
      <c r="A74" s="6" t="inlineStr">
        <is>
          <t>1000.9600.1000.52040.300</t>
        </is>
      </c>
      <c r="B74" s="6" t="inlineStr">
        <is>
          <t>Athletic Director Benefits</t>
        </is>
      </c>
      <c r="C74" s="24" t="n">
        <v>8874</v>
      </c>
      <c r="D74" s="24" t="n">
        <v>9371</v>
      </c>
      <c r="E74" s="24" t="n">
        <v>0</v>
      </c>
      <c r="F74" s="24" t="n">
        <v>14528</v>
      </c>
      <c r="G74" s="24" t="n">
        <v>16364</v>
      </c>
      <c r="H74" s="24">
        <f>G74-F74</f>
        <v/>
      </c>
      <c r="I74" s="8">
        <f>IF(F74=0,0,G74/F74-1)</f>
        <v/>
      </c>
    </row>
    <row r="75">
      <c r="A75" s="6" t="inlineStr">
        <is>
          <t>1000.9600.1000.52080.300</t>
        </is>
      </c>
      <c r="B75" s="6" t="inlineStr">
        <is>
          <t>Support Beneifts</t>
        </is>
      </c>
      <c r="C75" s="24" t="n">
        <v>0</v>
      </c>
      <c r="D75" s="24" t="n">
        <v>0</v>
      </c>
      <c r="E75" s="24" t="n">
        <v>0</v>
      </c>
      <c r="F75" s="24" t="n">
        <v>3404</v>
      </c>
      <c r="G75" s="24" t="n">
        <v>2121</v>
      </c>
      <c r="H75" s="24">
        <f>G75-F75</f>
        <v/>
      </c>
      <c r="I75" s="8">
        <f>IF(F75=0,0,G75/F75-1)</f>
        <v/>
      </c>
    </row>
    <row r="76">
      <c r="A76" s="6" t="inlineStr">
        <is>
          <t>1000.9600.1000.52300.300</t>
        </is>
      </c>
      <c r="B76" s="6" t="inlineStr">
        <is>
          <t>Retirement</t>
        </is>
      </c>
      <c r="C76" s="24" t="n">
        <v>589</v>
      </c>
      <c r="D76" s="24" t="n">
        <v>248</v>
      </c>
      <c r="E76" s="24" t="n">
        <v>116</v>
      </c>
      <c r="F76" s="24" t="n">
        <v>7061</v>
      </c>
      <c r="G76" s="24" t="n">
        <v>6855</v>
      </c>
      <c r="H76" s="24">
        <f>G76-F76</f>
        <v/>
      </c>
      <c r="I76" s="8">
        <f>IF(F76=0,0,G76/F76-1)</f>
        <v/>
      </c>
    </row>
    <row r="77">
      <c r="A77" s="6" t="inlineStr">
        <is>
          <t>1000.9600.1000.52330.300</t>
        </is>
      </c>
      <c r="B77" s="6" t="inlineStr">
        <is>
          <t>Retirement</t>
        </is>
      </c>
      <c r="C77" s="24" t="n">
        <v>0</v>
      </c>
      <c r="D77" s="24" t="n">
        <v>62</v>
      </c>
      <c r="E77" s="24" t="n">
        <v>0</v>
      </c>
      <c r="F77" s="24" t="n">
        <v>0</v>
      </c>
      <c r="G77" s="24" t="n">
        <v>0</v>
      </c>
      <c r="H77" s="24">
        <f>G77-F77</f>
        <v/>
      </c>
      <c r="I77" s="8">
        <f>IF(F77=0,0,G77/F77-1)</f>
        <v/>
      </c>
    </row>
    <row r="78">
      <c r="A78" s="6" t="inlineStr">
        <is>
          <t>1000.9600.1000.52340.300</t>
        </is>
      </c>
      <c r="B78" s="6" t="inlineStr">
        <is>
          <t>Retirement</t>
        </is>
      </c>
      <c r="C78" s="24" t="n">
        <v>2712</v>
      </c>
      <c r="D78" s="24" t="n">
        <v>3364</v>
      </c>
      <c r="E78" s="24" t="n">
        <v>0</v>
      </c>
      <c r="F78" s="24" t="n">
        <v>3075</v>
      </c>
      <c r="G78" s="24" t="n">
        <v>3136</v>
      </c>
      <c r="H78" s="24">
        <f>G78-F78</f>
        <v/>
      </c>
      <c r="I78" s="8">
        <f>IF(F78=0,0,G78/F78-1)</f>
        <v/>
      </c>
    </row>
    <row r="79">
      <c r="A79" s="6" t="inlineStr">
        <is>
          <t>1000.9600.1000.53000.300</t>
        </is>
      </c>
      <c r="B79" s="6" t="inlineStr">
        <is>
          <t>Game Officials</t>
        </is>
      </c>
      <c r="C79" s="24" t="n">
        <v>33517</v>
      </c>
      <c r="D79" s="24" t="n">
        <v>23030</v>
      </c>
      <c r="E79" s="24" t="n">
        <v>27705</v>
      </c>
      <c r="F79" s="24" t="n">
        <v>44226</v>
      </c>
      <c r="G79" s="24" t="n">
        <v>47407</v>
      </c>
      <c r="H79" s="24">
        <f>G79-F79</f>
        <v/>
      </c>
      <c r="I79" s="8">
        <f>IF(F79=0,0,G79/F79-1)</f>
        <v/>
      </c>
    </row>
    <row r="80">
      <c r="A80" s="6" t="inlineStr">
        <is>
          <t>1000.9600.1000.55000.300</t>
        </is>
      </c>
      <c r="B80" s="6" t="inlineStr">
        <is>
          <t>Purchased Services</t>
        </is>
      </c>
      <c r="C80" s="24" t="n">
        <v>25789</v>
      </c>
      <c r="D80" s="24" t="n">
        <v>23649</v>
      </c>
      <c r="E80" s="24" t="n">
        <v>28007</v>
      </c>
      <c r="F80" s="24" t="n">
        <v>31960</v>
      </c>
      <c r="G80" s="24" t="n">
        <v>58718</v>
      </c>
      <c r="H80" s="24">
        <f>G80-F80</f>
        <v/>
      </c>
      <c r="I80" s="8">
        <f>IF(F80=0,0,G80/F80-1)</f>
        <v/>
      </c>
    </row>
    <row r="81">
      <c r="A81" s="6" t="inlineStr">
        <is>
          <t>1000.9600.1000.55800.300</t>
        </is>
      </c>
      <c r="B81" s="6" t="inlineStr">
        <is>
          <t>Travel</t>
        </is>
      </c>
      <c r="C81" s="24" t="n">
        <v>1277</v>
      </c>
      <c r="D81" s="24" t="n">
        <v>863</v>
      </c>
      <c r="E81" s="24" t="n">
        <v>1806</v>
      </c>
      <c r="F81" s="24" t="n">
        <v>1270</v>
      </c>
      <c r="G81" s="24" t="n">
        <v>1270</v>
      </c>
      <c r="H81" s="24">
        <f>G81-F81</f>
        <v/>
      </c>
      <c r="I81" s="8">
        <f>IF(F81=0,0,G81/F81-1)</f>
        <v/>
      </c>
    </row>
    <row r="82">
      <c r="A82" s="6" t="inlineStr">
        <is>
          <t>1000.9600.1000.56000.300</t>
        </is>
      </c>
      <c r="B82" s="6" t="inlineStr">
        <is>
          <t>Supplies</t>
        </is>
      </c>
      <c r="C82" s="24" t="n">
        <v>38613</v>
      </c>
      <c r="D82" s="24" t="n">
        <v>25668</v>
      </c>
      <c r="E82" s="24" t="n">
        <v>45471</v>
      </c>
      <c r="F82" s="24" t="n">
        <v>40417</v>
      </c>
      <c r="G82" s="24" t="n">
        <v>41838</v>
      </c>
      <c r="H82" s="24">
        <f>G82-F82</f>
        <v/>
      </c>
      <c r="I82" s="8">
        <f>IF(F82=0,0,G82/F82-1)</f>
        <v/>
      </c>
    </row>
    <row r="83">
      <c r="A83" s="6" t="inlineStr">
        <is>
          <t>1000.9600.1000.58100.300</t>
        </is>
      </c>
      <c r="B83" s="6" t="inlineStr">
        <is>
          <t>Dues and Fees</t>
        </is>
      </c>
      <c r="C83" s="24" t="n">
        <v>32805</v>
      </c>
      <c r="D83" s="24" t="n">
        <v>33806</v>
      </c>
      <c r="E83" s="24" t="n">
        <v>34853</v>
      </c>
      <c r="F83" s="24" t="n">
        <v>43919</v>
      </c>
      <c r="G83" s="24" t="n">
        <v>46969</v>
      </c>
      <c r="H83" s="24">
        <f>G83-F83</f>
        <v/>
      </c>
      <c r="I83" s="8">
        <f>IF(F83=0,0,G83/F83-1)</f>
        <v/>
      </c>
    </row>
    <row r="84">
      <c r="A84" s="14" t="n"/>
      <c r="B84" s="28" t="inlineStr">
        <is>
          <t>Program 9600 Total</t>
        </is>
      </c>
      <c r="C84" s="29">
        <f>SUM(C69:C83)</f>
        <v/>
      </c>
      <c r="D84" s="29">
        <f>SUM(D69:D83)</f>
        <v/>
      </c>
      <c r="E84" s="29">
        <f>SUM(E69:E83)</f>
        <v/>
      </c>
      <c r="F84" s="29">
        <f>SUM(F69:F83)</f>
        <v/>
      </c>
      <c r="G84" s="29">
        <f>SUM(G69:G83)</f>
        <v/>
      </c>
      <c r="H84" s="29">
        <f>SUM(H69:H83)</f>
        <v/>
      </c>
      <c r="I84" s="29">
        <f>SUM(I69:I83)</f>
        <v/>
      </c>
    </row>
    <row r="85">
      <c r="A85" s="14" t="n"/>
      <c r="B85" s="30" t="inlineStr">
        <is>
          <t>Function 1000 Total</t>
        </is>
      </c>
      <c r="C85" s="31">
        <f>C68+C84</f>
        <v/>
      </c>
      <c r="D85" s="31">
        <f>D68+D84</f>
        <v/>
      </c>
      <c r="E85" s="31">
        <f>E68+E84</f>
        <v/>
      </c>
      <c r="F85" s="31">
        <f>F68+F84</f>
        <v/>
      </c>
      <c r="G85" s="31">
        <f>G68+G84</f>
        <v/>
      </c>
      <c r="H85" s="31">
        <f>H68+H84</f>
        <v/>
      </c>
      <c r="I85" s="31">
        <f>I68+I84</f>
        <v/>
      </c>
    </row>
    <row r="86">
      <c r="A86" s="6" t="inlineStr">
        <is>
          <t>1000.9600.2330.51010.300</t>
        </is>
      </c>
      <c r="B86" s="6" t="inlineStr">
        <is>
          <t>Athletic Director Salary - FHS</t>
        </is>
      </c>
      <c r="C86" s="24" t="n">
        <v>0</v>
      </c>
      <c r="D86" s="24" t="n">
        <v>0</v>
      </c>
      <c r="E86" s="24" t="n">
        <v>0</v>
      </c>
      <c r="F86" s="24" t="n">
        <v>73910</v>
      </c>
      <c r="G86" s="24" t="n">
        <v>75387</v>
      </c>
      <c r="H86" s="24">
        <f>G86-F86</f>
        <v/>
      </c>
      <c r="I86" s="8">
        <f>IF(F86=0,0,G86/F86-1)</f>
        <v/>
      </c>
    </row>
    <row r="87">
      <c r="A87" s="6" t="inlineStr">
        <is>
          <t>1000.9600.2330.51180.300</t>
        </is>
      </c>
      <c r="B87" s="6" t="inlineStr">
        <is>
          <t>Athletic Office Support Staff Wages - FHS $0</t>
        </is>
      </c>
      <c r="C87" s="24" t="n">
        <v>0</v>
      </c>
      <c r="D87" s="24" t="n">
        <v>0</v>
      </c>
      <c r="E87" s="24" t="n">
        <v>23831</v>
      </c>
      <c r="F87" s="24" t="n">
        <v>12189</v>
      </c>
      <c r="G87" s="24" t="n">
        <v>-11642</v>
      </c>
      <c r="H87" s="24">
        <f>G87-F87</f>
        <v/>
      </c>
      <c r="I87" s="8">
        <f>IF(F87=0,0,G87/F87-1)</f>
        <v/>
      </c>
    </row>
    <row r="88">
      <c r="A88" s="14" t="n"/>
      <c r="B88" s="28" t="inlineStr">
        <is>
          <t>Program 9600 Total</t>
        </is>
      </c>
      <c r="C88" s="29">
        <f>SUM(C86:C87)</f>
        <v/>
      </c>
      <c r="D88" s="29">
        <f>SUM(D86:D87)</f>
        <v/>
      </c>
      <c r="E88" s="29">
        <f>SUM(E86:E87)</f>
        <v/>
      </c>
      <c r="F88" s="29">
        <f>SUM(F86:F87)</f>
        <v/>
      </c>
      <c r="G88" s="29">
        <f>SUM(G86:G87)</f>
        <v/>
      </c>
      <c r="H88" s="29">
        <f>SUM(H86:H87)</f>
        <v/>
      </c>
      <c r="I88" s="29">
        <f>SUM(I86:I87)</f>
        <v/>
      </c>
    </row>
    <row r="89">
      <c r="A89" s="14" t="n"/>
      <c r="B89" s="17" t="inlineStr">
        <is>
          <t>Cost Center ('300',) Total</t>
        </is>
      </c>
      <c r="C89" s="32">
        <f>C85+C88</f>
        <v/>
      </c>
      <c r="D89" s="32">
        <f>D85+D88</f>
        <v/>
      </c>
      <c r="E89" s="32">
        <f>E85+E88</f>
        <v/>
      </c>
      <c r="F89" s="32">
        <f>F85+F88</f>
        <v/>
      </c>
      <c r="G89" s="32">
        <f>G85+G88</f>
        <v/>
      </c>
      <c r="H89" s="32">
        <f>H85+H88</f>
        <v/>
      </c>
      <c r="I89" s="32">
        <f>I85+I88</f>
        <v/>
      </c>
    </row>
    <row r="91">
      <c r="A91" s="14" t="n"/>
      <c r="B91" s="33" t="inlineStr">
        <is>
          <t>ARTICLE 4 TOTAL</t>
        </is>
      </c>
      <c r="C91" s="34">
        <f>C13+C23+C31+C59+C89</f>
        <v/>
      </c>
      <c r="D91" s="34">
        <f>D13+D23+D31+D59+D89</f>
        <v/>
      </c>
      <c r="E91" s="34">
        <f>E13+E23+E31+E59+E89</f>
        <v/>
      </c>
      <c r="F91" s="34">
        <f>F13+F23+F31+F59+F89</f>
        <v/>
      </c>
      <c r="G91" s="34">
        <f>G13+G23+G31+G59+G89</f>
        <v/>
      </c>
      <c r="H91" s="34">
        <f>H13+H23+H31+H59+H89</f>
        <v/>
      </c>
      <c r="I91" s="34">
        <f>I13+I23+I31+I59+I89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1000.0000.2120.51010.010</t>
        </is>
      </c>
      <c r="B7" s="6" t="inlineStr">
        <is>
          <t>Guidance Salaries</t>
        </is>
      </c>
      <c r="C7" s="24" t="n">
        <v>67124</v>
      </c>
      <c r="D7" s="24" t="n">
        <v>58968</v>
      </c>
      <c r="E7" s="24" t="n">
        <v>55616</v>
      </c>
      <c r="F7" s="24" t="n">
        <v>101995</v>
      </c>
      <c r="G7" s="24" t="n">
        <v>104837</v>
      </c>
      <c r="H7" s="24">
        <f>G7-F7</f>
        <v/>
      </c>
      <c r="I7" s="8">
        <f>IF(F7=0,0,G7/F7-1)</f>
        <v/>
      </c>
    </row>
    <row r="8">
      <c r="A8" s="6" t="inlineStr">
        <is>
          <t>1000.0000.2120.52010.010</t>
        </is>
      </c>
      <c r="B8" s="6" t="inlineStr">
        <is>
          <t>Benefits</t>
        </is>
      </c>
      <c r="C8" s="24" t="n">
        <v>4495</v>
      </c>
      <c r="D8" s="24" t="n">
        <v>5542</v>
      </c>
      <c r="E8" s="24" t="n">
        <v>3386</v>
      </c>
      <c r="F8" s="24" t="n">
        <v>11969</v>
      </c>
      <c r="G8" s="24" t="n">
        <v>16523</v>
      </c>
      <c r="H8" s="24">
        <f>G8-F8</f>
        <v/>
      </c>
      <c r="I8" s="8">
        <f>IF(F8=0,0,G8/F8-1)</f>
        <v/>
      </c>
    </row>
    <row r="9">
      <c r="A9" s="6" t="inlineStr">
        <is>
          <t>1000.0000.2120.52310.010</t>
        </is>
      </c>
      <c r="B9" s="6" t="inlineStr">
        <is>
          <t>Retirement</t>
        </is>
      </c>
      <c r="C9" s="24" t="n">
        <v>2278</v>
      </c>
      <c r="D9" s="24" t="n">
        <v>2589</v>
      </c>
      <c r="E9" s="24" t="n">
        <v>610</v>
      </c>
      <c r="F9" s="24" t="n">
        <v>4243</v>
      </c>
      <c r="G9" s="24" t="n">
        <v>4377</v>
      </c>
      <c r="H9" s="24">
        <f>G9-F9</f>
        <v/>
      </c>
      <c r="I9" s="8">
        <f>IF(F9=0,0,G9/F9-1)</f>
        <v/>
      </c>
    </row>
    <row r="10">
      <c r="A10" s="6" t="inlineStr">
        <is>
          <t>1000.0000.2120.53000.010</t>
        </is>
      </c>
      <c r="B10" s="6" t="inlineStr">
        <is>
          <t>Professional Services</t>
        </is>
      </c>
      <c r="C10" s="24" t="n">
        <v>205</v>
      </c>
      <c r="D10" s="24" t="n">
        <v>0</v>
      </c>
      <c r="E10" s="24" t="n">
        <v>0</v>
      </c>
      <c r="F10" s="24" t="n">
        <v>0</v>
      </c>
      <c r="G10" s="24" t="n">
        <v>300</v>
      </c>
      <c r="H10" s="24">
        <f>G10-F10</f>
        <v/>
      </c>
      <c r="I10" s="8">
        <f>IF(F10=0,0,G10/F10-1)</f>
        <v/>
      </c>
    </row>
    <row r="11">
      <c r="A11" s="6" t="inlineStr">
        <is>
          <t>1000.0000.2120.54330.010</t>
        </is>
      </c>
      <c r="B11" s="6" t="inlineStr">
        <is>
          <t>Software</t>
        </is>
      </c>
      <c r="C11" s="24" t="n">
        <v>0</v>
      </c>
      <c r="D11" s="24" t="n">
        <v>0</v>
      </c>
      <c r="E11" s="24" t="n">
        <v>0</v>
      </c>
      <c r="F11" s="24" t="n">
        <v>334</v>
      </c>
      <c r="G11" s="24" t="n">
        <v>334</v>
      </c>
      <c r="H11" s="24">
        <f>G11-F11</f>
        <v/>
      </c>
      <c r="I11" s="8">
        <f>IF(F11=0,0,G11/F11-1)</f>
        <v/>
      </c>
    </row>
    <row r="12">
      <c r="A12" s="6" t="inlineStr">
        <is>
          <t>1000.0000.2120.55810.010</t>
        </is>
      </c>
      <c r="B12" s="6" t="inlineStr">
        <is>
          <t>Travel - Guidance</t>
        </is>
      </c>
      <c r="C12" s="24" t="n">
        <v>961</v>
      </c>
      <c r="D12" s="24" t="n">
        <v>0</v>
      </c>
      <c r="E12" s="24" t="n">
        <v>0</v>
      </c>
      <c r="F12" s="24" t="n">
        <v>0</v>
      </c>
      <c r="G12" s="24" t="n">
        <v>0</v>
      </c>
      <c r="H12" s="24">
        <f>G12-F12</f>
        <v/>
      </c>
      <c r="I12" s="8">
        <f>IF(F12=0,0,G12/F12-1)</f>
        <v/>
      </c>
    </row>
    <row r="13">
      <c r="A13" s="6" t="inlineStr">
        <is>
          <t>1000.0000.2120.56100.010</t>
        </is>
      </c>
      <c r="B13" s="6" t="inlineStr">
        <is>
          <t>Supplies</t>
        </is>
      </c>
      <c r="C13" s="24" t="n">
        <v>332</v>
      </c>
      <c r="D13" s="24" t="n">
        <v>326</v>
      </c>
      <c r="E13" s="24" t="n">
        <v>535</v>
      </c>
      <c r="F13" s="24" t="n">
        <v>250</v>
      </c>
      <c r="G13" s="24" t="n">
        <v>250</v>
      </c>
      <c r="H13" s="24">
        <f>G13-F13</f>
        <v/>
      </c>
      <c r="I13" s="8">
        <f>IF(F13=0,0,G13/F13-1)</f>
        <v/>
      </c>
    </row>
    <row r="14">
      <c r="A14" s="6" t="inlineStr">
        <is>
          <t>1000.0000.2120.57300.010</t>
        </is>
      </c>
      <c r="B14" s="6" t="inlineStr">
        <is>
          <t>Equipment</t>
        </is>
      </c>
      <c r="C14" s="24" t="n">
        <v>0</v>
      </c>
      <c r="D14" s="24" t="n">
        <v>0</v>
      </c>
      <c r="E14" s="24" t="n">
        <v>267</v>
      </c>
      <c r="F14" s="24" t="n">
        <v>500</v>
      </c>
      <c r="G14" s="24" t="n">
        <v>500</v>
      </c>
      <c r="H14" s="24">
        <f>G14-F14</f>
        <v/>
      </c>
      <c r="I14" s="8">
        <f>IF(F14=0,0,G14/F14-1)</f>
        <v/>
      </c>
    </row>
    <row r="15">
      <c r="A15" s="6" t="inlineStr">
        <is>
          <t>1000.0000.2120.58100.010</t>
        </is>
      </c>
      <c r="B15" s="6" t="inlineStr">
        <is>
          <t>Dues &amp; Fees</t>
        </is>
      </c>
      <c r="C15" s="24" t="n">
        <v>0</v>
      </c>
      <c r="D15" s="24" t="n">
        <v>0</v>
      </c>
      <c r="E15" s="24" t="n">
        <v>0</v>
      </c>
      <c r="F15" s="24" t="n">
        <v>258</v>
      </c>
      <c r="G15" s="24" t="n">
        <v>508</v>
      </c>
      <c r="H15" s="24">
        <f>G15-F15</f>
        <v/>
      </c>
      <c r="I15" s="8">
        <f>IF(F15=0,0,G15/F15-1)</f>
        <v/>
      </c>
    </row>
    <row r="16">
      <c r="A16" s="14" t="n"/>
      <c r="B16" s="28" t="inlineStr">
        <is>
          <t>Program 0000 Total</t>
        </is>
      </c>
      <c r="C16" s="29">
        <f>SUM(C7:C15)</f>
        <v/>
      </c>
      <c r="D16" s="29">
        <f>SUM(D7:D15)</f>
        <v/>
      </c>
      <c r="E16" s="29">
        <f>SUM(E7:E15)</f>
        <v/>
      </c>
      <c r="F16" s="29">
        <f>SUM(F7:F15)</f>
        <v/>
      </c>
      <c r="G16" s="29">
        <f>SUM(G7:G15)</f>
        <v/>
      </c>
      <c r="H16" s="29">
        <f>SUM(H7:H15)</f>
        <v/>
      </c>
      <c r="I16" s="29">
        <f>SUM(I7:I15)</f>
        <v/>
      </c>
    </row>
    <row r="17">
      <c r="A17" s="6" t="inlineStr">
        <is>
          <t>1000.0000.2130.51010.010</t>
        </is>
      </c>
      <c r="B17" s="6" t="inlineStr">
        <is>
          <t>Nurse Salary</t>
        </is>
      </c>
      <c r="C17" s="24" t="n">
        <v>64073</v>
      </c>
      <c r="D17" s="24" t="n">
        <v>65996</v>
      </c>
      <c r="E17" s="24" t="n">
        <v>68809</v>
      </c>
      <c r="F17" s="24" t="n">
        <v>70014</v>
      </c>
      <c r="G17" s="24" t="n">
        <v>72464</v>
      </c>
      <c r="H17" s="24">
        <f>G17-F17</f>
        <v/>
      </c>
      <c r="I17" s="8">
        <f>IF(F17=0,0,G17/F17-1)</f>
        <v/>
      </c>
    </row>
    <row r="18">
      <c r="A18" s="6" t="inlineStr">
        <is>
          <t>1000.0000.2130.52010.010</t>
        </is>
      </c>
      <c r="B18" s="6" t="inlineStr">
        <is>
          <t>Nurse Benefits</t>
        </is>
      </c>
      <c r="C18" s="24" t="n">
        <v>15206</v>
      </c>
      <c r="D18" s="24" t="n">
        <v>15120</v>
      </c>
      <c r="E18" s="24" t="n">
        <v>3342</v>
      </c>
      <c r="F18" s="24" t="n">
        <v>15132</v>
      </c>
      <c r="G18" s="24" t="n">
        <v>16073</v>
      </c>
      <c r="H18" s="24">
        <f>G18-F18</f>
        <v/>
      </c>
      <c r="I18" s="8">
        <f>IF(F18=0,0,G18/F18-1)</f>
        <v/>
      </c>
    </row>
    <row r="19">
      <c r="A19" s="6" t="inlineStr">
        <is>
          <t>1000.0000.2130.52310.010</t>
        </is>
      </c>
      <c r="B19" s="6" t="inlineStr">
        <is>
          <t>Retirement</t>
        </is>
      </c>
      <c r="C19" s="24" t="n">
        <v>2562</v>
      </c>
      <c r="D19" s="24" t="n">
        <v>2745</v>
      </c>
      <c r="E19" s="24" t="n">
        <v>649</v>
      </c>
      <c r="F19" s="24" t="n">
        <v>2913</v>
      </c>
      <c r="G19" s="24" t="n">
        <v>3014</v>
      </c>
      <c r="H19" s="24">
        <f>G19-F19</f>
        <v/>
      </c>
      <c r="I19" s="8">
        <f>IF(F19=0,0,G19/F19-1)</f>
        <v/>
      </c>
    </row>
    <row r="20">
      <c r="A20" s="6" t="inlineStr">
        <is>
          <t>1000.0000.2130.53000.010</t>
        </is>
      </c>
      <c r="B20" s="6" t="inlineStr">
        <is>
          <t>Professional Services</t>
        </is>
      </c>
      <c r="C20" s="24" t="n">
        <v>249</v>
      </c>
      <c r="D20" s="24" t="n">
        <v>0</v>
      </c>
      <c r="E20" s="24" t="n">
        <v>129</v>
      </c>
      <c r="F20" s="24" t="n">
        <v>200</v>
      </c>
      <c r="G20" s="24" t="n">
        <v>300</v>
      </c>
      <c r="H20" s="24">
        <f>G20-F20</f>
        <v/>
      </c>
      <c r="I20" s="8">
        <f>IF(F20=0,0,G20/F20-1)</f>
        <v/>
      </c>
    </row>
    <row r="21">
      <c r="A21" s="6" t="inlineStr">
        <is>
          <t>1000.0000.2130.54310.010</t>
        </is>
      </c>
      <c r="B21" s="6" t="inlineStr">
        <is>
          <t>Repairs &amp; Maintenance</t>
        </is>
      </c>
      <c r="C21" s="24" t="n">
        <v>0</v>
      </c>
      <c r="D21" s="24" t="n">
        <v>0</v>
      </c>
      <c r="E21" s="24" t="n">
        <v>0</v>
      </c>
      <c r="F21" s="24" t="n">
        <v>135</v>
      </c>
      <c r="G21" s="24" t="n">
        <v>135</v>
      </c>
      <c r="H21" s="24">
        <f>G21-F21</f>
        <v/>
      </c>
      <c r="I21" s="8">
        <f>IF(F21=0,0,G21/F21-1)</f>
        <v/>
      </c>
    </row>
    <row r="22">
      <c r="A22" s="6" t="inlineStr">
        <is>
          <t>1000.0000.2130.55800.010</t>
        </is>
      </c>
      <c r="B22" s="6" t="inlineStr">
        <is>
          <t>Travel</t>
        </is>
      </c>
      <c r="C22" s="24" t="n">
        <v>219</v>
      </c>
      <c r="D22" s="24" t="n">
        <v>0</v>
      </c>
      <c r="E22" s="24" t="n">
        <v>0</v>
      </c>
      <c r="F22" s="24" t="n">
        <v>220</v>
      </c>
      <c r="G22" s="24" t="n">
        <v>100</v>
      </c>
      <c r="H22" s="24">
        <f>G22-F22</f>
        <v/>
      </c>
      <c r="I22" s="8">
        <f>IF(F22=0,0,G22/F22-1)</f>
        <v/>
      </c>
    </row>
    <row r="23">
      <c r="A23" s="6" t="inlineStr">
        <is>
          <t>1000.0000.2130.56000.010</t>
        </is>
      </c>
      <c r="B23" s="6" t="inlineStr">
        <is>
          <t>Supplies</t>
        </is>
      </c>
      <c r="C23" s="24" t="n">
        <v>1069</v>
      </c>
      <c r="D23" s="24" t="n">
        <v>1093</v>
      </c>
      <c r="E23" s="24" t="n">
        <v>1020</v>
      </c>
      <c r="F23" s="24" t="n">
        <v>1187</v>
      </c>
      <c r="G23" s="24" t="n">
        <v>1229</v>
      </c>
      <c r="H23" s="24">
        <f>G23-F23</f>
        <v/>
      </c>
      <c r="I23" s="8">
        <f>IF(F23=0,0,G23/F23-1)</f>
        <v/>
      </c>
    </row>
    <row r="24">
      <c r="A24" s="14" t="n"/>
      <c r="B24" s="28" t="inlineStr">
        <is>
          <t>Program 0000 Total</t>
        </is>
      </c>
      <c r="C24" s="29">
        <f>SUM(C17:C23)</f>
        <v/>
      </c>
      <c r="D24" s="29">
        <f>SUM(D17:D23)</f>
        <v/>
      </c>
      <c r="E24" s="29">
        <f>SUM(E17:E23)</f>
        <v/>
      </c>
      <c r="F24" s="29">
        <f>SUM(F17:F23)</f>
        <v/>
      </c>
      <c r="G24" s="29">
        <f>SUM(G17:G23)</f>
        <v/>
      </c>
      <c r="H24" s="29">
        <f>SUM(H17:H23)</f>
        <v/>
      </c>
      <c r="I24" s="29">
        <f>SUM(I17:I23)</f>
        <v/>
      </c>
    </row>
    <row r="25">
      <c r="A25" s="6" t="inlineStr">
        <is>
          <t>1000.0000.2213.51500.010</t>
        </is>
      </c>
      <c r="B25" s="6" t="inlineStr">
        <is>
          <t>Stipends</t>
        </is>
      </c>
      <c r="C25" s="24" t="n">
        <v>0</v>
      </c>
      <c r="D25" s="24" t="n">
        <v>0</v>
      </c>
      <c r="E25" s="24" t="n">
        <v>0</v>
      </c>
      <c r="F25" s="24" t="n">
        <v>19587</v>
      </c>
      <c r="G25" s="24" t="n">
        <v>19586</v>
      </c>
      <c r="H25" s="24">
        <f>G25-F25</f>
        <v/>
      </c>
      <c r="I25" s="8">
        <f>IF(F25=0,0,G25/F25-1)</f>
        <v/>
      </c>
    </row>
    <row r="26">
      <c r="A26" s="6" t="inlineStr">
        <is>
          <t>1000.0000.2213.52000.010</t>
        </is>
      </c>
      <c r="B26" s="6" t="inlineStr">
        <is>
          <t>Stipend Benefits - DCS</t>
        </is>
      </c>
      <c r="C26" s="24" t="n">
        <v>0</v>
      </c>
      <c r="D26" s="24" t="n">
        <v>0</v>
      </c>
      <c r="E26" s="24" t="n">
        <v>0</v>
      </c>
      <c r="F26" s="24" t="n">
        <v>323</v>
      </c>
      <c r="G26" s="24" t="n">
        <v>0</v>
      </c>
      <c r="H26" s="24">
        <f>G26-F26</f>
        <v/>
      </c>
      <c r="I26" s="8">
        <f>IF(F26=0,0,G26/F26-1)</f>
        <v/>
      </c>
    </row>
    <row r="27">
      <c r="A27" s="6" t="inlineStr">
        <is>
          <t>1000.0000.2213.52300.010</t>
        </is>
      </c>
      <c r="B27" s="6" t="inlineStr">
        <is>
          <t>Stipend Retirement - DCS</t>
        </is>
      </c>
      <c r="C27" s="24" t="n">
        <v>0</v>
      </c>
      <c r="D27" s="24" t="n">
        <v>0</v>
      </c>
      <c r="E27" s="24" t="n">
        <v>0</v>
      </c>
      <c r="F27" s="24" t="n">
        <v>815</v>
      </c>
      <c r="G27" s="24" t="n">
        <v>0</v>
      </c>
      <c r="H27" s="24">
        <f>G27-F27</f>
        <v/>
      </c>
      <c r="I27" s="8">
        <f>IF(F27=0,0,G27/F27-1)</f>
        <v/>
      </c>
    </row>
    <row r="28">
      <c r="A28" s="14" t="n"/>
      <c r="B28" s="28" t="inlineStr">
        <is>
          <t>Program 0000 Total</t>
        </is>
      </c>
      <c r="C28" s="29">
        <f>SUM(C25:C27)</f>
        <v/>
      </c>
      <c r="D28" s="29">
        <f>SUM(D25:D27)</f>
        <v/>
      </c>
      <c r="E28" s="29">
        <f>SUM(E25:E27)</f>
        <v/>
      </c>
      <c r="F28" s="29">
        <f>SUM(F25:F27)</f>
        <v/>
      </c>
      <c r="G28" s="29">
        <f>SUM(G25:G27)</f>
        <v/>
      </c>
      <c r="H28" s="29">
        <f>SUM(H25:H27)</f>
        <v/>
      </c>
      <c r="I28" s="29">
        <f>SUM(I25:I27)</f>
        <v/>
      </c>
    </row>
    <row r="29">
      <c r="A29" s="6" t="inlineStr">
        <is>
          <t>1000.0000.2220.51010.010</t>
        </is>
      </c>
      <c r="B29" s="6" t="inlineStr">
        <is>
          <t>Librarian Salary</t>
        </is>
      </c>
      <c r="C29" s="24" t="n">
        <v>63567</v>
      </c>
      <c r="D29" s="24" t="n">
        <v>66475</v>
      </c>
      <c r="E29" s="24" t="n">
        <v>72481</v>
      </c>
      <c r="F29" s="24" t="n">
        <v>71255</v>
      </c>
      <c r="G29" s="24" t="n">
        <v>75483</v>
      </c>
      <c r="H29" s="24">
        <f>G29-F29</f>
        <v/>
      </c>
      <c r="I29" s="8">
        <f>IF(F29=0,0,G29/F29-1)</f>
        <v/>
      </c>
    </row>
    <row r="30">
      <c r="A30" s="6" t="inlineStr">
        <is>
          <t>1000.0000.2220.51020.010</t>
        </is>
      </c>
      <c r="B30" s="6" t="inlineStr">
        <is>
          <t>Ed Tech Salaries</t>
        </is>
      </c>
      <c r="C30" s="24" t="n">
        <v>0</v>
      </c>
      <c r="D30" s="24" t="n">
        <v>0</v>
      </c>
      <c r="E30" s="24" t="n">
        <v>5649</v>
      </c>
      <c r="F30" s="24" t="n">
        <v>12476</v>
      </c>
      <c r="G30" s="24" t="n">
        <v>14392</v>
      </c>
      <c r="H30" s="24">
        <f>G30-F30</f>
        <v/>
      </c>
      <c r="I30" s="8">
        <f>IF(F30=0,0,G30/F30-1)</f>
        <v/>
      </c>
    </row>
    <row r="31">
      <c r="A31" s="6" t="inlineStr">
        <is>
          <t>1000.0000.2220.52010.010</t>
        </is>
      </c>
      <c r="B31" s="6" t="inlineStr">
        <is>
          <t>Librarian Benefits</t>
        </is>
      </c>
      <c r="C31" s="24" t="n">
        <v>21379</v>
      </c>
      <c r="D31" s="24" t="n">
        <v>21006</v>
      </c>
      <c r="E31" s="24" t="n">
        <v>4872</v>
      </c>
      <c r="F31" s="24" t="n">
        <v>21431</v>
      </c>
      <c r="G31" s="24" t="n">
        <v>23958</v>
      </c>
      <c r="H31" s="24">
        <f>G31-F31</f>
        <v/>
      </c>
      <c r="I31" s="8">
        <f>IF(F31=0,0,G31/F31-1)</f>
        <v/>
      </c>
    </row>
    <row r="32">
      <c r="A32" s="6" t="inlineStr">
        <is>
          <t>1000.0000.2220.52020.010</t>
        </is>
      </c>
      <c r="B32" s="6" t="inlineStr">
        <is>
          <t>Ed Tech Salaries</t>
        </is>
      </c>
      <c r="C32" s="24" t="n">
        <v>0</v>
      </c>
      <c r="D32" s="24" t="n">
        <v>0</v>
      </c>
      <c r="E32" s="24" t="n">
        <v>2023</v>
      </c>
      <c r="F32" s="24" t="n">
        <v>4926</v>
      </c>
      <c r="G32" s="24" t="n">
        <v>6184</v>
      </c>
      <c r="H32" s="24">
        <f>G32-F32</f>
        <v/>
      </c>
      <c r="I32" s="8">
        <f>IF(F32=0,0,G32/F32-1)</f>
        <v/>
      </c>
    </row>
    <row r="33">
      <c r="A33" s="6" t="inlineStr">
        <is>
          <t>1000.0000.2220.52310.010</t>
        </is>
      </c>
      <c r="B33" s="6" t="inlineStr">
        <is>
          <t>Retirement</t>
        </is>
      </c>
      <c r="C33" s="24" t="n">
        <v>2494</v>
      </c>
      <c r="D33" s="24" t="n">
        <v>2745</v>
      </c>
      <c r="E33" s="24" t="n">
        <v>653</v>
      </c>
      <c r="F33" s="24" t="n">
        <v>2964</v>
      </c>
      <c r="G33" s="24" t="n">
        <v>3140</v>
      </c>
      <c r="H33" s="24">
        <f>G33-F33</f>
        <v/>
      </c>
      <c r="I33" s="8">
        <f>IF(F33=0,0,G33/F33-1)</f>
        <v/>
      </c>
    </row>
    <row r="34">
      <c r="A34" s="6" t="inlineStr">
        <is>
          <t>1000.0000.2220.52320.010</t>
        </is>
      </c>
      <c r="B34" s="6" t="inlineStr">
        <is>
          <t>Ed Tech Retirement</t>
        </is>
      </c>
      <c r="C34" s="24" t="n">
        <v>0</v>
      </c>
      <c r="D34" s="24" t="n">
        <v>0</v>
      </c>
      <c r="E34" s="24" t="n">
        <v>0</v>
      </c>
      <c r="F34" s="24" t="n">
        <v>519</v>
      </c>
      <c r="G34" s="24" t="n">
        <v>599</v>
      </c>
      <c r="H34" s="24">
        <f>G34-F34</f>
        <v/>
      </c>
      <c r="I34" s="8">
        <f>IF(F34=0,0,G34/F34-1)</f>
        <v/>
      </c>
    </row>
    <row r="35">
      <c r="A35" s="6" t="inlineStr">
        <is>
          <t>1000.0000.2220.54330.010</t>
        </is>
      </c>
      <c r="B35" s="6" t="inlineStr">
        <is>
          <t>Software</t>
        </is>
      </c>
      <c r="C35" s="24" t="n">
        <v>1042</v>
      </c>
      <c r="D35" s="24" t="n">
        <v>1043</v>
      </c>
      <c r="E35" s="24" t="n">
        <v>1043</v>
      </c>
      <c r="F35" s="24" t="n">
        <v>1043</v>
      </c>
      <c r="G35" s="24" t="n">
        <v>1043</v>
      </c>
      <c r="H35" s="24">
        <f>G35-F35</f>
        <v/>
      </c>
      <c r="I35" s="8">
        <f>IF(F35=0,0,G35/F35-1)</f>
        <v/>
      </c>
    </row>
    <row r="36">
      <c r="A36" s="6" t="inlineStr">
        <is>
          <t>1000.0000.2220.56000.010</t>
        </is>
      </c>
      <c r="B36" s="6" t="inlineStr">
        <is>
          <t>Supplies</t>
        </is>
      </c>
      <c r="C36" s="24" t="n">
        <v>0</v>
      </c>
      <c r="D36" s="24" t="n">
        <v>0</v>
      </c>
      <c r="E36" s="24" t="n">
        <v>1121</v>
      </c>
      <c r="F36" s="24" t="n">
        <v>1300</v>
      </c>
      <c r="G36" s="24" t="n">
        <v>1300</v>
      </c>
      <c r="H36" s="24">
        <f>G36-F36</f>
        <v/>
      </c>
      <c r="I36" s="8">
        <f>IF(F36=0,0,G36/F36-1)</f>
        <v/>
      </c>
    </row>
    <row r="37">
      <c r="A37" s="6" t="inlineStr">
        <is>
          <t>1000.0000.2220.56100.010</t>
        </is>
      </c>
      <c r="B37" s="6" t="inlineStr">
        <is>
          <t>Supplies</t>
        </is>
      </c>
      <c r="C37" s="24" t="n">
        <v>1319</v>
      </c>
      <c r="D37" s="24" t="n">
        <v>1511</v>
      </c>
      <c r="E37" s="24" t="n">
        <v>143</v>
      </c>
      <c r="F37" s="24" t="n">
        <v>0</v>
      </c>
      <c r="G37" s="24" t="n">
        <v>0</v>
      </c>
      <c r="H37" s="24">
        <f>G37-F37</f>
        <v/>
      </c>
      <c r="I37" s="8">
        <f>IF(F37=0,0,G37/F37-1)</f>
        <v/>
      </c>
    </row>
    <row r="38">
      <c r="A38" s="6" t="inlineStr">
        <is>
          <t>1000.0000.2220.56400.010</t>
        </is>
      </c>
      <c r="B38" s="6" t="inlineStr">
        <is>
          <t>Books</t>
        </is>
      </c>
      <c r="C38" s="24" t="n">
        <v>8583</v>
      </c>
      <c r="D38" s="24" t="n">
        <v>8540</v>
      </c>
      <c r="E38" s="24" t="n">
        <v>8652</v>
      </c>
      <c r="F38" s="24" t="n">
        <v>9287</v>
      </c>
      <c r="G38" s="24" t="n">
        <v>11115</v>
      </c>
      <c r="H38" s="24">
        <f>G38-F38</f>
        <v/>
      </c>
      <c r="I38" s="8">
        <f>IF(F38=0,0,G38/F38-1)</f>
        <v/>
      </c>
    </row>
    <row r="39">
      <c r="A39" s="14" t="n"/>
      <c r="B39" s="28" t="inlineStr">
        <is>
          <t>Program 0000 Total</t>
        </is>
      </c>
      <c r="C39" s="29">
        <f>SUM(C29:C38)</f>
        <v/>
      </c>
      <c r="D39" s="29">
        <f>SUM(D29:D38)</f>
        <v/>
      </c>
      <c r="E39" s="29">
        <f>SUM(E29:E38)</f>
        <v/>
      </c>
      <c r="F39" s="29">
        <f>SUM(F29:F38)</f>
        <v/>
      </c>
      <c r="G39" s="29">
        <f>SUM(G29:G38)</f>
        <v/>
      </c>
      <c r="H39" s="29">
        <f>SUM(H29:H38)</f>
        <v/>
      </c>
      <c r="I39" s="29">
        <f>SUM(I29:I38)</f>
        <v/>
      </c>
    </row>
    <row r="40">
      <c r="A40" s="6" t="inlineStr">
        <is>
          <t>1000.0000.2230.51010.010</t>
        </is>
      </c>
      <c r="B40" s="6" t="inlineStr">
        <is>
          <t>Teacher Salaries</t>
        </is>
      </c>
      <c r="C40" s="24" t="n">
        <v>71298</v>
      </c>
      <c r="D40" s="24" t="n">
        <v>51938</v>
      </c>
      <c r="E40" s="24" t="n">
        <v>12</v>
      </c>
      <c r="F40" s="24" t="n">
        <v>0</v>
      </c>
      <c r="G40" s="24" t="n">
        <v>0</v>
      </c>
      <c r="H40" s="24">
        <f>G40-F40</f>
        <v/>
      </c>
      <c r="I40" s="8">
        <f>IF(F40=0,0,G40/F40-1)</f>
        <v/>
      </c>
    </row>
    <row r="41">
      <c r="A41" s="6" t="inlineStr">
        <is>
          <t>1000.0000.2230.51180.010</t>
        </is>
      </c>
      <c r="B41" s="6" t="inlineStr">
        <is>
          <t>Support Salaries</t>
        </is>
      </c>
      <c r="C41" s="24" t="n">
        <v>341</v>
      </c>
      <c r="D41" s="24" t="n">
        <v>0</v>
      </c>
      <c r="E41" s="24" t="n">
        <v>0</v>
      </c>
      <c r="F41" s="24" t="n">
        <v>0</v>
      </c>
      <c r="G41" s="24" t="n">
        <v>0</v>
      </c>
      <c r="H41" s="24">
        <f>G41-F41</f>
        <v/>
      </c>
      <c r="I41" s="8">
        <f>IF(F41=0,0,G41/F41-1)</f>
        <v/>
      </c>
    </row>
    <row r="42">
      <c r="A42" s="6" t="inlineStr">
        <is>
          <t>1000.0000.2230.51500.010</t>
        </is>
      </c>
      <c r="B42" s="6" t="inlineStr">
        <is>
          <t>Stipends</t>
        </is>
      </c>
      <c r="C42" s="24" t="n">
        <v>1385</v>
      </c>
      <c r="D42" s="24" t="n">
        <v>1385</v>
      </c>
      <c r="E42" s="24" t="n">
        <v>3181</v>
      </c>
      <c r="F42" s="24" t="n">
        <v>1422</v>
      </c>
      <c r="G42" s="24" t="n">
        <v>3815</v>
      </c>
      <c r="H42" s="24">
        <f>G42-F42</f>
        <v/>
      </c>
      <c r="I42" s="8">
        <f>IF(F42=0,0,G42/F42-1)</f>
        <v/>
      </c>
    </row>
    <row r="43">
      <c r="A43" s="6" t="inlineStr">
        <is>
          <t>1000.0000.2230.52000.010</t>
        </is>
      </c>
      <c r="B43" s="6" t="inlineStr">
        <is>
          <t>Benefits</t>
        </is>
      </c>
      <c r="C43" s="24" t="n">
        <v>9</v>
      </c>
      <c r="D43" s="24" t="n">
        <v>20</v>
      </c>
      <c r="E43" s="24" t="n">
        <v>2</v>
      </c>
      <c r="F43" s="24" t="n">
        <v>23</v>
      </c>
      <c r="G43" s="24" t="n">
        <v>0</v>
      </c>
      <c r="H43" s="24">
        <f>G43-F43</f>
        <v/>
      </c>
      <c r="I43" s="8">
        <f>IF(F43=0,0,G43/F43-1)</f>
        <v/>
      </c>
    </row>
    <row r="44">
      <c r="A44" s="6" t="inlineStr">
        <is>
          <t>1000.0000.2230.52010.010</t>
        </is>
      </c>
      <c r="B44" s="6" t="inlineStr">
        <is>
          <t>Teacher Benefits</t>
        </is>
      </c>
      <c r="C44" s="24" t="n">
        <v>20578</v>
      </c>
      <c r="D44" s="24" t="n">
        <v>6613</v>
      </c>
      <c r="E44" s="24" t="n">
        <v>1394</v>
      </c>
      <c r="F44" s="24" t="n">
        <v>0</v>
      </c>
      <c r="G44" s="24" t="n">
        <v>0</v>
      </c>
      <c r="H44" s="24">
        <f>G44-F44</f>
        <v/>
      </c>
      <c r="I44" s="8">
        <f>IF(F44=0,0,G44/F44-1)</f>
        <v/>
      </c>
    </row>
    <row r="45">
      <c r="A45" s="6" t="inlineStr">
        <is>
          <t>1000.0000.2230.52080.010</t>
        </is>
      </c>
      <c r="B45" s="6" t="inlineStr">
        <is>
          <t>Support Benefits</t>
        </is>
      </c>
      <c r="C45" s="24" t="n">
        <v>227</v>
      </c>
      <c r="D45" s="24" t="n">
        <v>0</v>
      </c>
      <c r="E45" s="24" t="n">
        <v>0</v>
      </c>
      <c r="F45" s="24" t="n">
        <v>0</v>
      </c>
      <c r="G45" s="24" t="n">
        <v>0</v>
      </c>
      <c r="H45" s="24">
        <f>G45-F45</f>
        <v/>
      </c>
      <c r="I45" s="8">
        <f>IF(F45=0,0,G45/F45-1)</f>
        <v/>
      </c>
    </row>
    <row r="46">
      <c r="A46" s="6" t="inlineStr">
        <is>
          <t>1000.0000.2230.52300.010</t>
        </is>
      </c>
      <c r="B46" s="6" t="inlineStr">
        <is>
          <t>Stipend Retirement</t>
        </is>
      </c>
      <c r="C46" s="24" t="n">
        <v>0</v>
      </c>
      <c r="D46" s="24" t="n">
        <v>2</v>
      </c>
      <c r="E46" s="24" t="n">
        <v>0</v>
      </c>
      <c r="F46" s="24" t="n">
        <v>59</v>
      </c>
      <c r="G46" s="24" t="n">
        <v>0</v>
      </c>
      <c r="H46" s="24">
        <f>G46-F46</f>
        <v/>
      </c>
      <c r="I46" s="8">
        <f>IF(F46=0,0,G46/F46-1)</f>
        <v/>
      </c>
    </row>
    <row r="47">
      <c r="A47" s="6" t="inlineStr">
        <is>
          <t>1000.0000.2230.52310.010</t>
        </is>
      </c>
      <c r="B47" s="6" t="inlineStr">
        <is>
          <t>Retirement</t>
        </is>
      </c>
      <c r="C47" s="24" t="n">
        <v>2441</v>
      </c>
      <c r="D47" s="24" t="n">
        <v>2210</v>
      </c>
      <c r="E47" s="24" t="n">
        <v>387</v>
      </c>
      <c r="F47" s="24" t="n">
        <v>0</v>
      </c>
      <c r="G47" s="24" t="n">
        <v>0</v>
      </c>
      <c r="H47" s="24">
        <f>G47-F47</f>
        <v/>
      </c>
      <c r="I47" s="8">
        <f>IF(F47=0,0,G47/F47-1)</f>
        <v/>
      </c>
    </row>
    <row r="48">
      <c r="A48" s="6" t="inlineStr">
        <is>
          <t>1000.0000.2230.54320.010</t>
        </is>
      </c>
      <c r="B48" s="6" t="inlineStr">
        <is>
          <t>Tech Repairs/Maint</t>
        </is>
      </c>
      <c r="C48" s="24" t="n">
        <v>1211</v>
      </c>
      <c r="D48" s="24" t="n">
        <v>0</v>
      </c>
      <c r="E48" s="24" t="n">
        <v>0</v>
      </c>
      <c r="F48" s="24" t="n">
        <v>0</v>
      </c>
      <c r="G48" s="24" t="n">
        <v>0</v>
      </c>
      <c r="H48" s="24">
        <f>G48-F48</f>
        <v/>
      </c>
      <c r="I48" s="8">
        <f>IF(F48=0,0,G48/F48-1)</f>
        <v/>
      </c>
    </row>
    <row r="49">
      <c r="A49" s="6" t="inlineStr">
        <is>
          <t>1000.0000.2230.54330.010</t>
        </is>
      </c>
      <c r="B49" s="6" t="inlineStr">
        <is>
          <t>Software</t>
        </is>
      </c>
      <c r="C49" s="24" t="n">
        <v>200</v>
      </c>
      <c r="D49" s="24" t="n">
        <v>0</v>
      </c>
      <c r="E49" s="24" t="n">
        <v>0</v>
      </c>
      <c r="F49" s="24" t="n">
        <v>0</v>
      </c>
      <c r="G49" s="24" t="n">
        <v>0</v>
      </c>
      <c r="H49" s="24">
        <f>G49-F49</f>
        <v/>
      </c>
      <c r="I49" s="8">
        <f>IF(F49=0,0,G49/F49-1)</f>
        <v/>
      </c>
    </row>
    <row r="50">
      <c r="A50" s="6" t="inlineStr">
        <is>
          <t>1000.0000.2230.55000.010</t>
        </is>
      </c>
      <c r="B50" s="6" t="inlineStr">
        <is>
          <t>Other Purchased Services</t>
        </is>
      </c>
      <c r="C50" s="24" t="n">
        <v>902</v>
      </c>
      <c r="D50" s="24" t="n">
        <v>440</v>
      </c>
      <c r="E50" s="24" t="n">
        <v>140</v>
      </c>
      <c r="F50" s="24" t="n">
        <v>9081</v>
      </c>
      <c r="G50" s="24" t="n">
        <v>0</v>
      </c>
      <c r="H50" s="24">
        <f>G50-F50</f>
        <v/>
      </c>
      <c r="I50" s="8">
        <f>IF(F50=0,0,G50/F50-1)</f>
        <v/>
      </c>
    </row>
    <row r="51">
      <c r="A51" s="6" t="inlineStr">
        <is>
          <t>1000.0000.2230.56500.010</t>
        </is>
      </c>
      <c r="B51" s="6" t="inlineStr">
        <is>
          <t>Supplies</t>
        </is>
      </c>
      <c r="C51" s="24" t="n">
        <v>0</v>
      </c>
      <c r="D51" s="24" t="n">
        <v>47</v>
      </c>
      <c r="E51" s="24" t="n">
        <v>6486</v>
      </c>
      <c r="F51" s="24" t="n">
        <v>0</v>
      </c>
      <c r="G51" s="24" t="n">
        <v>0</v>
      </c>
      <c r="H51" s="24">
        <f>G51-F51</f>
        <v/>
      </c>
      <c r="I51" s="8">
        <f>IF(F51=0,0,G51/F51-1)</f>
        <v/>
      </c>
    </row>
    <row r="52">
      <c r="A52" s="14" t="n"/>
      <c r="B52" s="28" t="inlineStr">
        <is>
          <t>Program 0000 Total</t>
        </is>
      </c>
      <c r="C52" s="29">
        <f>SUM(C40:C51)</f>
        <v/>
      </c>
      <c r="D52" s="29">
        <f>SUM(D40:D51)</f>
        <v/>
      </c>
      <c r="E52" s="29">
        <f>SUM(E40:E51)</f>
        <v/>
      </c>
      <c r="F52" s="29">
        <f>SUM(F40:F51)</f>
        <v/>
      </c>
      <c r="G52" s="29">
        <f>SUM(G40:G51)</f>
        <v/>
      </c>
      <c r="H52" s="29">
        <f>SUM(H40:H51)</f>
        <v/>
      </c>
      <c r="I52" s="29">
        <f>SUM(I40:I51)</f>
        <v/>
      </c>
    </row>
    <row r="53">
      <c r="A53" s="14" t="n"/>
      <c r="B53" s="17" t="inlineStr">
        <is>
          <t>Cost Center ('010',) Total</t>
        </is>
      </c>
      <c r="C53" s="32">
        <f>C16+C24+C28+C39+C52</f>
        <v/>
      </c>
      <c r="D53" s="32">
        <f>D16+D24+D28+D39+D52</f>
        <v/>
      </c>
      <c r="E53" s="32">
        <f>E16+E24+E28+E39+E52</f>
        <v/>
      </c>
      <c r="F53" s="32">
        <f>F16+F24+F28+F39+F52</f>
        <v/>
      </c>
      <c r="G53" s="32">
        <f>G16+G24+G28+G39+G52</f>
        <v/>
      </c>
      <c r="H53" s="32">
        <f>H16+H24+H28+H39+H52</f>
        <v/>
      </c>
      <c r="I53" s="32">
        <f>I16+I24+I28+I39+I52</f>
        <v/>
      </c>
    </row>
    <row r="55">
      <c r="A55" s="3" t="inlineStr">
        <is>
          <t>Cost Center: ('020',)</t>
        </is>
      </c>
    </row>
    <row r="56">
      <c r="A56" s="6" t="inlineStr">
        <is>
          <t>1000.0000.2120.51010.020</t>
        </is>
      </c>
      <c r="B56" s="6" t="inlineStr">
        <is>
          <t>Guidance Salaries</t>
        </is>
      </c>
      <c r="C56" s="24" t="n">
        <v>55541</v>
      </c>
      <c r="D56" s="24" t="n">
        <v>58968</v>
      </c>
      <c r="E56" s="24" t="n">
        <v>87744</v>
      </c>
      <c r="F56" s="24" t="n">
        <v>86087</v>
      </c>
      <c r="G56" s="24" t="n">
        <v>91031</v>
      </c>
      <c r="H56" s="24">
        <f>G56-F56</f>
        <v/>
      </c>
      <c r="I56" s="8">
        <f>IF(F56=0,0,G56/F56-1)</f>
        <v/>
      </c>
    </row>
    <row r="57">
      <c r="A57" s="6" t="inlineStr">
        <is>
          <t>1000.0000.2120.52010.020</t>
        </is>
      </c>
      <c r="B57" s="6" t="inlineStr">
        <is>
          <t>Benefits</t>
        </is>
      </c>
      <c r="C57" s="24" t="n">
        <v>20489</v>
      </c>
      <c r="D57" s="24" t="n">
        <v>21224</v>
      </c>
      <c r="E57" s="24" t="n">
        <v>4814</v>
      </c>
      <c r="F57" s="24" t="n">
        <v>25295</v>
      </c>
      <c r="G57" s="24" t="n">
        <v>25924</v>
      </c>
      <c r="H57" s="24">
        <f>G57-F57</f>
        <v/>
      </c>
      <c r="I57" s="8">
        <f>IF(F57=0,0,G57/F57-1)</f>
        <v/>
      </c>
    </row>
    <row r="58">
      <c r="A58" s="6" t="inlineStr">
        <is>
          <t>1000.0000.2120.52310.020</t>
        </is>
      </c>
      <c r="B58" s="6" t="inlineStr">
        <is>
          <t>Retirement</t>
        </is>
      </c>
      <c r="C58" s="24" t="n">
        <v>2267</v>
      </c>
      <c r="D58" s="24" t="n">
        <v>2501</v>
      </c>
      <c r="E58" s="24" t="n">
        <v>608</v>
      </c>
      <c r="F58" s="24" t="n">
        <v>3581</v>
      </c>
      <c r="G58" s="24" t="n">
        <v>3862</v>
      </c>
      <c r="H58" s="24">
        <f>G58-F58</f>
        <v/>
      </c>
      <c r="I58" s="8">
        <f>IF(F58=0,0,G58/F58-1)</f>
        <v/>
      </c>
    </row>
    <row r="59">
      <c r="A59" s="6" t="inlineStr">
        <is>
          <t>1000.0000.2120.53000.020</t>
        </is>
      </c>
      <c r="B59" s="6" t="inlineStr">
        <is>
          <t>Purchased Professional</t>
        </is>
      </c>
      <c r="C59" s="24" t="n">
        <v>0</v>
      </c>
      <c r="D59" s="24" t="n">
        <v>0</v>
      </c>
      <c r="E59" s="24" t="n">
        <v>0</v>
      </c>
      <c r="F59" s="24" t="n">
        <v>0</v>
      </c>
      <c r="G59" s="24" t="n">
        <v>300</v>
      </c>
      <c r="H59" s="24">
        <f>G59-F59</f>
        <v/>
      </c>
      <c r="I59" s="8">
        <f>IF(F59=0,0,G59/F59-1)</f>
        <v/>
      </c>
    </row>
    <row r="60">
      <c r="A60" s="6" t="inlineStr">
        <is>
          <t>1000.0000.2120.54330.020</t>
        </is>
      </c>
      <c r="B60" s="6" t="inlineStr">
        <is>
          <t>Software</t>
        </is>
      </c>
      <c r="C60" s="24" t="n">
        <v>0</v>
      </c>
      <c r="D60" s="24" t="n">
        <v>0</v>
      </c>
      <c r="E60" s="24" t="n">
        <v>0</v>
      </c>
      <c r="F60" s="24" t="n">
        <v>333</v>
      </c>
      <c r="G60" s="24" t="n">
        <v>334</v>
      </c>
      <c r="H60" s="24">
        <f>G60-F60</f>
        <v/>
      </c>
      <c r="I60" s="8">
        <f>IF(F60=0,0,G60/F60-1)</f>
        <v/>
      </c>
    </row>
    <row r="61">
      <c r="A61" s="6" t="inlineStr">
        <is>
          <t>1000.0000.2120.56100.020</t>
        </is>
      </c>
      <c r="B61" s="6" t="inlineStr">
        <is>
          <t>Supplies</t>
        </is>
      </c>
      <c r="C61" s="24" t="n">
        <v>290</v>
      </c>
      <c r="D61" s="24" t="n">
        <v>216</v>
      </c>
      <c r="E61" s="24" t="n">
        <v>107</v>
      </c>
      <c r="F61" s="24" t="n">
        <v>339</v>
      </c>
      <c r="G61" s="24" t="n">
        <v>339</v>
      </c>
      <c r="H61" s="24">
        <f>G61-F61</f>
        <v/>
      </c>
      <c r="I61" s="8">
        <f>IF(F61=0,0,G61/F61-1)</f>
        <v/>
      </c>
    </row>
    <row r="62">
      <c r="A62" s="6" t="inlineStr">
        <is>
          <t>1000.0000.2120.56400.020</t>
        </is>
      </c>
      <c r="B62" s="6" t="inlineStr">
        <is>
          <t>Books</t>
        </is>
      </c>
      <c r="C62" s="24" t="n">
        <v>339</v>
      </c>
      <c r="D62" s="24" t="n">
        <v>173</v>
      </c>
      <c r="E62" s="24" t="n">
        <v>275</v>
      </c>
      <c r="F62" s="24" t="n">
        <v>339</v>
      </c>
      <c r="G62" s="24" t="n">
        <v>339</v>
      </c>
      <c r="H62" s="24">
        <f>G62-F62</f>
        <v/>
      </c>
      <c r="I62" s="8">
        <f>IF(F62=0,0,G62/F62-1)</f>
        <v/>
      </c>
    </row>
    <row r="63">
      <c r="A63" s="6" t="inlineStr">
        <is>
          <t>1000.0000.2120.57300.020</t>
        </is>
      </c>
      <c r="B63" s="6" t="inlineStr">
        <is>
          <t>Equipment</t>
        </is>
      </c>
      <c r="C63" s="24" t="n">
        <v>0</v>
      </c>
      <c r="D63" s="24" t="n">
        <v>0</v>
      </c>
      <c r="E63" s="24" t="n">
        <v>498</v>
      </c>
      <c r="F63" s="24" t="n">
        <v>500</v>
      </c>
      <c r="G63" s="24" t="n">
        <v>500</v>
      </c>
      <c r="H63" s="24">
        <f>G63-F63</f>
        <v/>
      </c>
      <c r="I63" s="8">
        <f>IF(F63=0,0,G63/F63-1)</f>
        <v/>
      </c>
    </row>
    <row r="64">
      <c r="A64" s="14" t="n"/>
      <c r="B64" s="28" t="inlineStr">
        <is>
          <t>Program 0000 Total</t>
        </is>
      </c>
      <c r="C64" s="29">
        <f>SUM(C56:C63)</f>
        <v/>
      </c>
      <c r="D64" s="29">
        <f>SUM(D56:D63)</f>
        <v/>
      </c>
      <c r="E64" s="29">
        <f>SUM(E56:E63)</f>
        <v/>
      </c>
      <c r="F64" s="29">
        <f>SUM(F56:F63)</f>
        <v/>
      </c>
      <c r="G64" s="29">
        <f>SUM(G56:G63)</f>
        <v/>
      </c>
      <c r="H64" s="29">
        <f>SUM(H56:H63)</f>
        <v/>
      </c>
      <c r="I64" s="29">
        <f>SUM(I56:I63)</f>
        <v/>
      </c>
    </row>
    <row r="65">
      <c r="A65" s="6" t="inlineStr">
        <is>
          <t>1000.0000.2130.51010.020</t>
        </is>
      </c>
      <c r="B65" s="6" t="inlineStr">
        <is>
          <t>Nurse Salary</t>
        </is>
      </c>
      <c r="C65" s="24" t="n">
        <v>62176</v>
      </c>
      <c r="D65" s="24" t="n">
        <v>64979</v>
      </c>
      <c r="E65" s="24" t="n">
        <v>58598</v>
      </c>
      <c r="F65" s="24" t="n">
        <v>71219</v>
      </c>
      <c r="G65" s="24" t="n">
        <v>74318</v>
      </c>
      <c r="H65" s="24">
        <f>G65-F65</f>
        <v/>
      </c>
      <c r="I65" s="8">
        <f>IF(F65=0,0,G65/F65-1)</f>
        <v/>
      </c>
    </row>
    <row r="66">
      <c r="A66" s="6" t="inlineStr">
        <is>
          <t>1000.0000.2130.52010.020</t>
        </is>
      </c>
      <c r="B66" s="6" t="inlineStr">
        <is>
          <t>Nurse Benefits</t>
        </is>
      </c>
      <c r="C66" s="24" t="n">
        <v>3942</v>
      </c>
      <c r="D66" s="24" t="n">
        <v>4785</v>
      </c>
      <c r="E66" s="24" t="n">
        <v>2764</v>
      </c>
      <c r="F66" s="24" t="n">
        <v>1355</v>
      </c>
      <c r="G66" s="24" t="n">
        <v>5683</v>
      </c>
      <c r="H66" s="24">
        <f>G66-F66</f>
        <v/>
      </c>
      <c r="I66" s="8">
        <f>IF(F66=0,0,G66/F66-1)</f>
        <v/>
      </c>
    </row>
    <row r="67">
      <c r="A67" s="6" t="inlineStr">
        <is>
          <t>1000.0000.2130.52310.020</t>
        </is>
      </c>
      <c r="B67" s="6" t="inlineStr">
        <is>
          <t>Retirement</t>
        </is>
      </c>
      <c r="C67" s="24" t="n">
        <v>2487</v>
      </c>
      <c r="D67" s="24" t="n">
        <v>2749</v>
      </c>
      <c r="E67" s="24" t="n">
        <v>652</v>
      </c>
      <c r="F67" s="24" t="n">
        <v>2963</v>
      </c>
      <c r="G67" s="24" t="n">
        <v>3091</v>
      </c>
      <c r="H67" s="24">
        <f>G67-F67</f>
        <v/>
      </c>
      <c r="I67" s="8">
        <f>IF(F67=0,0,G67/F67-1)</f>
        <v/>
      </c>
    </row>
    <row r="68">
      <c r="A68" s="6" t="inlineStr">
        <is>
          <t>1000.0000.2130.53000.020</t>
        </is>
      </c>
      <c r="B68" s="6" t="inlineStr">
        <is>
          <t>Purchased Professional</t>
        </is>
      </c>
      <c r="C68" s="24" t="n">
        <v>150</v>
      </c>
      <c r="D68" s="24" t="n">
        <v>125</v>
      </c>
      <c r="E68" s="24" t="n">
        <v>0</v>
      </c>
      <c r="F68" s="24" t="n">
        <v>200</v>
      </c>
      <c r="G68" s="24" t="n">
        <v>300</v>
      </c>
      <c r="H68" s="24">
        <f>G68-F68</f>
        <v/>
      </c>
      <c r="I68" s="8">
        <f>IF(F68=0,0,G68/F68-1)</f>
        <v/>
      </c>
    </row>
    <row r="69">
      <c r="A69" s="6" t="inlineStr">
        <is>
          <t>1000.0000.2130.54310.020</t>
        </is>
      </c>
      <c r="B69" s="6" t="inlineStr">
        <is>
          <t>Repairs &amp; Maintenance</t>
        </is>
      </c>
      <c r="C69" s="24" t="n">
        <v>0</v>
      </c>
      <c r="D69" s="24" t="n">
        <v>65</v>
      </c>
      <c r="E69" s="24" t="n">
        <v>65</v>
      </c>
      <c r="F69" s="24" t="n">
        <v>135</v>
      </c>
      <c r="G69" s="24" t="n">
        <v>135</v>
      </c>
      <c r="H69" s="24">
        <f>G69-F69</f>
        <v/>
      </c>
      <c r="I69" s="8">
        <f>IF(F69=0,0,G69/F69-1)</f>
        <v/>
      </c>
    </row>
    <row r="70">
      <c r="A70" s="6" t="inlineStr">
        <is>
          <t>1000.0000.2130.56000.020</t>
        </is>
      </c>
      <c r="B70" s="6" t="inlineStr">
        <is>
          <t>Supplies</t>
        </is>
      </c>
      <c r="C70" s="24" t="n">
        <v>700</v>
      </c>
      <c r="D70" s="24" t="n">
        <v>765</v>
      </c>
      <c r="E70" s="24" t="n">
        <v>990</v>
      </c>
      <c r="F70" s="24" t="n">
        <v>872</v>
      </c>
      <c r="G70" s="24" t="n">
        <v>813</v>
      </c>
      <c r="H70" s="24">
        <f>G70-F70</f>
        <v/>
      </c>
      <c r="I70" s="8">
        <f>IF(F70=0,0,G70/F70-1)</f>
        <v/>
      </c>
    </row>
    <row r="71">
      <c r="A71" s="14" t="n"/>
      <c r="B71" s="28" t="inlineStr">
        <is>
          <t>Program 0000 Total</t>
        </is>
      </c>
      <c r="C71" s="29">
        <f>SUM(C65:C70)</f>
        <v/>
      </c>
      <c r="D71" s="29">
        <f>SUM(D65:D70)</f>
        <v/>
      </c>
      <c r="E71" s="29">
        <f>SUM(E65:E70)</f>
        <v/>
      </c>
      <c r="F71" s="29">
        <f>SUM(F65:F70)</f>
        <v/>
      </c>
      <c r="G71" s="29">
        <f>SUM(G65:G70)</f>
        <v/>
      </c>
      <c r="H71" s="29">
        <f>SUM(H65:H70)</f>
        <v/>
      </c>
      <c r="I71" s="29">
        <f>SUM(I65:I70)</f>
        <v/>
      </c>
    </row>
    <row r="72">
      <c r="A72" s="6" t="inlineStr">
        <is>
          <t>1000.0000.2213.51500.020</t>
        </is>
      </c>
      <c r="B72" s="6" t="inlineStr">
        <is>
          <t>Stipends - MSS</t>
        </is>
      </c>
      <c r="C72" s="24" t="n">
        <v>0</v>
      </c>
      <c r="D72" s="24" t="n">
        <v>0</v>
      </c>
      <c r="E72" s="24" t="n">
        <v>0</v>
      </c>
      <c r="F72" s="24" t="n">
        <v>13700</v>
      </c>
      <c r="G72" s="24" t="n">
        <v>13700</v>
      </c>
      <c r="H72" s="24">
        <f>G72-F72</f>
        <v/>
      </c>
      <c r="I72" s="8">
        <f>IF(F72=0,0,G72/F72-1)</f>
        <v/>
      </c>
    </row>
    <row r="73">
      <c r="A73" s="6" t="inlineStr">
        <is>
          <t>1000.0000.2213.52000.020</t>
        </is>
      </c>
      <c r="B73" s="6" t="inlineStr">
        <is>
          <t>Stipend Benefits - MSS</t>
        </is>
      </c>
      <c r="C73" s="24" t="n">
        <v>0</v>
      </c>
      <c r="D73" s="24" t="n">
        <v>0</v>
      </c>
      <c r="E73" s="24" t="n">
        <v>0</v>
      </c>
      <c r="F73" s="24" t="n">
        <v>226</v>
      </c>
      <c r="G73" s="24" t="n">
        <v>0</v>
      </c>
      <c r="H73" s="24">
        <f>G73-F73</f>
        <v/>
      </c>
      <c r="I73" s="8">
        <f>IF(F73=0,0,G73/F73-1)</f>
        <v/>
      </c>
    </row>
    <row r="74">
      <c r="A74" s="6" t="inlineStr">
        <is>
          <t>1000.0000.2213.52300.020</t>
        </is>
      </c>
      <c r="B74" s="6" t="inlineStr">
        <is>
          <t>Stipend Retirement - MSS</t>
        </is>
      </c>
      <c r="C74" s="24" t="n">
        <v>0</v>
      </c>
      <c r="D74" s="24" t="n">
        <v>0</v>
      </c>
      <c r="E74" s="24" t="n">
        <v>0</v>
      </c>
      <c r="F74" s="24" t="n">
        <v>570</v>
      </c>
      <c r="G74" s="24" t="n">
        <v>0</v>
      </c>
      <c r="H74" s="24">
        <f>G74-F74</f>
        <v/>
      </c>
      <c r="I74" s="8">
        <f>IF(F74=0,0,G74/F74-1)</f>
        <v/>
      </c>
    </row>
    <row r="75">
      <c r="A75" s="6" t="inlineStr">
        <is>
          <t>1000.0000.2213.55810.020</t>
        </is>
      </c>
      <c r="B75" s="6" t="inlineStr">
        <is>
          <t>Travel</t>
        </is>
      </c>
      <c r="C75" s="24" t="n">
        <v>0</v>
      </c>
      <c r="D75" s="24" t="n">
        <v>0</v>
      </c>
      <c r="E75" s="24" t="n">
        <v>0</v>
      </c>
      <c r="F75" s="24" t="n">
        <v>1000</v>
      </c>
      <c r="G75" s="24" t="n">
        <v>0</v>
      </c>
      <c r="H75" s="24">
        <f>G75-F75</f>
        <v/>
      </c>
      <c r="I75" s="8">
        <f>IF(F75=0,0,G75/F75-1)</f>
        <v/>
      </c>
    </row>
    <row r="76">
      <c r="A76" s="14" t="n"/>
      <c r="B76" s="28" t="inlineStr">
        <is>
          <t>Program 0000 Total</t>
        </is>
      </c>
      <c r="C76" s="29">
        <f>SUM(C72:C75)</f>
        <v/>
      </c>
      <c r="D76" s="29">
        <f>SUM(D72:D75)</f>
        <v/>
      </c>
      <c r="E76" s="29">
        <f>SUM(E72:E75)</f>
        <v/>
      </c>
      <c r="F76" s="29">
        <f>SUM(F72:F75)</f>
        <v/>
      </c>
      <c r="G76" s="29">
        <f>SUM(G72:G75)</f>
        <v/>
      </c>
      <c r="H76" s="29">
        <f>SUM(H72:H75)</f>
        <v/>
      </c>
      <c r="I76" s="29">
        <f>SUM(I72:I75)</f>
        <v/>
      </c>
    </row>
    <row r="77">
      <c r="A77" s="6" t="inlineStr">
        <is>
          <t>1000.0000.2220.51010.020</t>
        </is>
      </c>
      <c r="B77" s="6" t="inlineStr">
        <is>
          <t>Librarian Salary</t>
        </is>
      </c>
      <c r="C77" s="24" t="n">
        <v>35316</v>
      </c>
      <c r="D77" s="24" t="n">
        <v>36859</v>
      </c>
      <c r="E77" s="24" t="n">
        <v>41215</v>
      </c>
      <c r="F77" s="24" t="n">
        <v>31164</v>
      </c>
      <c r="G77" s="24" t="n">
        <v>31235</v>
      </c>
      <c r="H77" s="24">
        <f>G77-F77</f>
        <v/>
      </c>
      <c r="I77" s="8">
        <f>IF(F77=0,0,G77/F77-1)</f>
        <v/>
      </c>
    </row>
    <row r="78">
      <c r="A78" s="6" t="inlineStr">
        <is>
          <t>1000.0000.2220.51020.020</t>
        </is>
      </c>
      <c r="B78" s="6" t="inlineStr">
        <is>
          <t>Ed Tech Salaries</t>
        </is>
      </c>
      <c r="C78" s="24" t="n">
        <v>13167</v>
      </c>
      <c r="D78" s="24" t="n">
        <v>11808</v>
      </c>
      <c r="E78" s="24" t="n">
        <v>14094</v>
      </c>
      <c r="F78" s="24" t="n">
        <v>16538</v>
      </c>
      <c r="G78" s="24" t="n">
        <v>14391</v>
      </c>
      <c r="H78" s="24">
        <f>G78-F78</f>
        <v/>
      </c>
      <c r="I78" s="8">
        <f>IF(F78=0,0,G78/F78-1)</f>
        <v/>
      </c>
    </row>
    <row r="79">
      <c r="A79" s="6" t="inlineStr">
        <is>
          <t>1000.0000.2220.52010.020</t>
        </is>
      </c>
      <c r="B79" s="6" t="inlineStr">
        <is>
          <t>Librarian Benefits</t>
        </is>
      </c>
      <c r="C79" s="24" t="n">
        <v>5311</v>
      </c>
      <c r="D79" s="24" t="n">
        <v>5526</v>
      </c>
      <c r="E79" s="24" t="n">
        <v>2337</v>
      </c>
      <c r="F79" s="24" t="n">
        <v>584</v>
      </c>
      <c r="G79" s="24" t="n">
        <v>2453</v>
      </c>
      <c r="H79" s="24">
        <f>G79-F79</f>
        <v/>
      </c>
      <c r="I79" s="8">
        <f>IF(F79=0,0,G79/F79-1)</f>
        <v/>
      </c>
    </row>
    <row r="80">
      <c r="A80" s="6" t="inlineStr">
        <is>
          <t>1000.0000.2220.52020.020</t>
        </is>
      </c>
      <c r="B80" s="6" t="inlineStr">
        <is>
          <t>Library Ed Tech Benefit</t>
        </is>
      </c>
      <c r="C80" s="24" t="n">
        <v>4197</v>
      </c>
      <c r="D80" s="24" t="n">
        <v>6148</v>
      </c>
      <c r="E80" s="24" t="n">
        <v>5085</v>
      </c>
      <c r="F80" s="24" t="n">
        <v>6659</v>
      </c>
      <c r="G80" s="24" t="n">
        <v>11987</v>
      </c>
      <c r="H80" s="24">
        <f>G80-F80</f>
        <v/>
      </c>
      <c r="I80" s="8">
        <f>IF(F80=0,0,G80/F80-1)</f>
        <v/>
      </c>
    </row>
    <row r="81">
      <c r="A81" s="6" t="inlineStr">
        <is>
          <t>1000.0000.2220.52310.020</t>
        </is>
      </c>
      <c r="B81" s="6" t="inlineStr">
        <is>
          <t>Retirement</t>
        </is>
      </c>
      <c r="C81" s="24" t="n">
        <v>1488</v>
      </c>
      <c r="D81" s="24" t="n">
        <v>1578</v>
      </c>
      <c r="E81" s="24" t="n">
        <v>157</v>
      </c>
      <c r="F81" s="24" t="n">
        <v>1296</v>
      </c>
      <c r="G81" s="24" t="n">
        <v>1299</v>
      </c>
      <c r="H81" s="24">
        <f>G81-F81</f>
        <v/>
      </c>
      <c r="I81" s="8">
        <f>IF(F81=0,0,G81/F81-1)</f>
        <v/>
      </c>
    </row>
    <row r="82">
      <c r="A82" s="6" t="inlineStr">
        <is>
          <t>1000.0000.2220.52320.020</t>
        </is>
      </c>
      <c r="B82" s="6" t="inlineStr">
        <is>
          <t>Retirement</t>
        </is>
      </c>
      <c r="C82" s="24" t="n">
        <v>523</v>
      </c>
      <c r="D82" s="24" t="n">
        <v>491</v>
      </c>
      <c r="E82" s="24" t="n">
        <v>201</v>
      </c>
      <c r="F82" s="24" t="n">
        <v>688</v>
      </c>
      <c r="G82" s="24" t="n">
        <v>0</v>
      </c>
      <c r="H82" s="24">
        <f>G82-F82</f>
        <v/>
      </c>
      <c r="I82" s="8">
        <f>IF(F82=0,0,G82/F82-1)</f>
        <v/>
      </c>
    </row>
    <row r="83">
      <c r="A83" s="6" t="inlineStr">
        <is>
          <t>1000.0000.2220.54330.020</t>
        </is>
      </c>
      <c r="B83" s="6" t="inlineStr">
        <is>
          <t>Software</t>
        </is>
      </c>
      <c r="C83" s="24" t="n">
        <v>1042</v>
      </c>
      <c r="D83" s="24" t="n">
        <v>1043</v>
      </c>
      <c r="E83" s="24" t="n">
        <v>1043</v>
      </c>
      <c r="F83" s="24" t="n">
        <v>1043</v>
      </c>
      <c r="G83" s="24" t="n">
        <v>1043</v>
      </c>
      <c r="H83" s="24">
        <f>G83-F83</f>
        <v/>
      </c>
      <c r="I83" s="8">
        <f>IF(F83=0,0,G83/F83-1)</f>
        <v/>
      </c>
    </row>
    <row r="84">
      <c r="A84" s="6" t="inlineStr">
        <is>
          <t>1000.0000.2220.56000.020</t>
        </is>
      </c>
      <c r="B84" s="6" t="inlineStr">
        <is>
          <t>Supplies</t>
        </is>
      </c>
      <c r="C84" s="24" t="n">
        <v>0</v>
      </c>
      <c r="D84" s="24" t="n">
        <v>309</v>
      </c>
      <c r="E84" s="24" t="n">
        <v>0</v>
      </c>
      <c r="F84" s="24" t="n">
        <v>0</v>
      </c>
      <c r="G84" s="24" t="n">
        <v>0</v>
      </c>
      <c r="H84" s="24">
        <f>G84-F84</f>
        <v/>
      </c>
      <c r="I84" s="8">
        <f>IF(F84=0,0,G84/F84-1)</f>
        <v/>
      </c>
    </row>
    <row r="85">
      <c r="A85" s="6" t="inlineStr">
        <is>
          <t>1000.0000.2220.56100.020</t>
        </is>
      </c>
      <c r="B85" s="6" t="inlineStr">
        <is>
          <t>Instructional Supplies</t>
        </is>
      </c>
      <c r="C85" s="24" t="n">
        <v>0</v>
      </c>
      <c r="D85" s="24" t="n">
        <v>0</v>
      </c>
      <c r="E85" s="24" t="n">
        <v>114</v>
      </c>
      <c r="F85" s="24" t="n">
        <v>339</v>
      </c>
      <c r="G85" s="24" t="n">
        <v>339</v>
      </c>
      <c r="H85" s="24">
        <f>G85-F85</f>
        <v/>
      </c>
      <c r="I85" s="8">
        <f>IF(F85=0,0,G85/F85-1)</f>
        <v/>
      </c>
    </row>
    <row r="86">
      <c r="A86" s="6" t="inlineStr">
        <is>
          <t>1000.0000.2220.56400.020</t>
        </is>
      </c>
      <c r="B86" s="6" t="inlineStr">
        <is>
          <t>Books</t>
        </is>
      </c>
      <c r="C86" s="24" t="n">
        <v>5500</v>
      </c>
      <c r="D86" s="24" t="n">
        <v>6166</v>
      </c>
      <c r="E86" s="24" t="n">
        <v>6447</v>
      </c>
      <c r="F86" s="24" t="n">
        <v>6827</v>
      </c>
      <c r="G86" s="24" t="n">
        <v>6355</v>
      </c>
      <c r="H86" s="24">
        <f>G86-F86</f>
        <v/>
      </c>
      <c r="I86" s="8">
        <f>IF(F86=0,0,G86/F86-1)</f>
        <v/>
      </c>
    </row>
    <row r="87">
      <c r="A87" s="14" t="n"/>
      <c r="B87" s="28" t="inlineStr">
        <is>
          <t>Program 0000 Total</t>
        </is>
      </c>
      <c r="C87" s="29">
        <f>SUM(C77:C86)</f>
        <v/>
      </c>
      <c r="D87" s="29">
        <f>SUM(D77:D86)</f>
        <v/>
      </c>
      <c r="E87" s="29">
        <f>SUM(E77:E86)</f>
        <v/>
      </c>
      <c r="F87" s="29">
        <f>SUM(F77:F86)</f>
        <v/>
      </c>
      <c r="G87" s="29">
        <f>SUM(G77:G86)</f>
        <v/>
      </c>
      <c r="H87" s="29">
        <f>SUM(H77:H86)</f>
        <v/>
      </c>
      <c r="I87" s="29">
        <f>SUM(I77:I86)</f>
        <v/>
      </c>
    </row>
    <row r="88">
      <c r="A88" s="6" t="inlineStr">
        <is>
          <t>1000.0000.2230.51010.020</t>
        </is>
      </c>
      <c r="B88" s="6" t="inlineStr">
        <is>
          <t>Teacher Salaries</t>
        </is>
      </c>
      <c r="C88" s="24" t="n">
        <v>35165</v>
      </c>
      <c r="D88" s="24" t="n">
        <v>36649</v>
      </c>
      <c r="E88" s="24" t="n">
        <v>-3487</v>
      </c>
      <c r="F88" s="24" t="n">
        <v>0</v>
      </c>
      <c r="G88" s="24" t="n">
        <v>0</v>
      </c>
      <c r="H88" s="24">
        <f>G88-F88</f>
        <v/>
      </c>
      <c r="I88" s="8">
        <f>IF(F88=0,0,G88/F88-1)</f>
        <v/>
      </c>
    </row>
    <row r="89">
      <c r="A89" s="6" t="inlineStr">
        <is>
          <t>1000.0000.2230.52010.020</t>
        </is>
      </c>
      <c r="B89" s="6" t="inlineStr">
        <is>
          <t>Teacher Benefits</t>
        </is>
      </c>
      <c r="C89" s="24" t="n">
        <v>7866</v>
      </c>
      <c r="D89" s="24" t="n">
        <v>7853</v>
      </c>
      <c r="E89" s="24" t="n">
        <v>902</v>
      </c>
      <c r="F89" s="24" t="n">
        <v>0</v>
      </c>
      <c r="G89" s="24" t="n">
        <v>0</v>
      </c>
      <c r="H89" s="24">
        <f>G89-F89</f>
        <v/>
      </c>
      <c r="I89" s="8">
        <f>IF(F89=0,0,G89/F89-1)</f>
        <v/>
      </c>
    </row>
    <row r="90">
      <c r="A90" s="6" t="inlineStr">
        <is>
          <t>1000.0000.2230.52310.020</t>
        </is>
      </c>
      <c r="B90" s="6" t="inlineStr">
        <is>
          <t>Retirement</t>
        </is>
      </c>
      <c r="C90" s="24" t="n">
        <v>1441</v>
      </c>
      <c r="D90" s="24" t="n">
        <v>1561</v>
      </c>
      <c r="E90" s="24" t="n">
        <v>142</v>
      </c>
      <c r="F90" s="24" t="n">
        <v>0</v>
      </c>
      <c r="G90" s="24" t="n">
        <v>0</v>
      </c>
      <c r="H90" s="24">
        <f>G90-F90</f>
        <v/>
      </c>
      <c r="I90" s="8">
        <f>IF(F90=0,0,G90/F90-1)</f>
        <v/>
      </c>
    </row>
    <row r="91">
      <c r="A91" s="6" t="inlineStr">
        <is>
          <t>1000.0000.2230.54320.020</t>
        </is>
      </c>
      <c r="B91" s="6" t="inlineStr">
        <is>
          <t>Tech Repairs/Maint</t>
        </is>
      </c>
      <c r="C91" s="24" t="n">
        <v>1211</v>
      </c>
      <c r="D91" s="24" t="n">
        <v>0</v>
      </c>
      <c r="E91" s="24" t="n">
        <v>0</v>
      </c>
      <c r="F91" s="24" t="n">
        <v>0</v>
      </c>
      <c r="G91" s="24" t="n">
        <v>0</v>
      </c>
      <c r="H91" s="24">
        <f>G91-F91</f>
        <v/>
      </c>
      <c r="I91" s="8">
        <f>IF(F91=0,0,G91/F91-1)</f>
        <v/>
      </c>
    </row>
    <row r="92">
      <c r="A92" s="6" t="inlineStr">
        <is>
          <t>1000.0000.2230.56500.020</t>
        </is>
      </c>
      <c r="B92" s="6" t="inlineStr">
        <is>
          <t>Supplies</t>
        </is>
      </c>
      <c r="C92" s="24" t="n">
        <v>300</v>
      </c>
      <c r="D92" s="24" t="n">
        <v>0</v>
      </c>
      <c r="E92" s="24" t="n">
        <v>0</v>
      </c>
      <c r="F92" s="24" t="n">
        <v>0</v>
      </c>
      <c r="G92" s="24" t="n">
        <v>0</v>
      </c>
      <c r="H92" s="24">
        <f>G92-F92</f>
        <v/>
      </c>
      <c r="I92" s="8">
        <f>IF(F92=0,0,G92/F92-1)</f>
        <v/>
      </c>
    </row>
    <row r="93">
      <c r="A93" s="14" t="n"/>
      <c r="B93" s="28" t="inlineStr">
        <is>
          <t>Program 0000 Total</t>
        </is>
      </c>
      <c r="C93" s="29">
        <f>SUM(C88:C92)</f>
        <v/>
      </c>
      <c r="D93" s="29">
        <f>SUM(D88:D92)</f>
        <v/>
      </c>
      <c r="E93" s="29">
        <f>SUM(E88:E92)</f>
        <v/>
      </c>
      <c r="F93" s="29">
        <f>SUM(F88:F92)</f>
        <v/>
      </c>
      <c r="G93" s="29">
        <f>SUM(G88:G92)</f>
        <v/>
      </c>
      <c r="H93" s="29">
        <f>SUM(H88:H92)</f>
        <v/>
      </c>
      <c r="I93" s="29">
        <f>SUM(I88:I92)</f>
        <v/>
      </c>
    </row>
    <row r="94">
      <c r="A94" s="14" t="n"/>
      <c r="B94" s="17" t="inlineStr">
        <is>
          <t>Cost Center ('020',) Total</t>
        </is>
      </c>
      <c r="C94" s="32">
        <f>C64+C71+C76+C87+C93</f>
        <v/>
      </c>
      <c r="D94" s="32">
        <f>D64+D71+D76+D87+D93</f>
        <v/>
      </c>
      <c r="E94" s="32">
        <f>E64+E71+E76+E87+E93</f>
        <v/>
      </c>
      <c r="F94" s="32">
        <f>F64+F71+F76+F87+F93</f>
        <v/>
      </c>
      <c r="G94" s="32">
        <f>G64+G71+G76+G87+G93</f>
        <v/>
      </c>
      <c r="H94" s="32">
        <f>H64+H71+H76+H87+H93</f>
        <v/>
      </c>
      <c r="I94" s="32">
        <f>I64+I71+I76+I87+I93</f>
        <v/>
      </c>
    </row>
    <row r="96">
      <c r="A96" s="3" t="inlineStr">
        <is>
          <t>Cost Center: ('030',)</t>
        </is>
      </c>
    </row>
    <row r="97">
      <c r="A97" s="6" t="inlineStr">
        <is>
          <t>1000.0000.2120.51010.030</t>
        </is>
      </c>
      <c r="B97" s="6" t="inlineStr">
        <is>
          <t>Guidance Salaries</t>
        </is>
      </c>
      <c r="C97" s="24" t="n">
        <v>31624</v>
      </c>
      <c r="D97" s="24" t="n">
        <v>34123</v>
      </c>
      <c r="E97" s="24" t="n">
        <v>30497</v>
      </c>
      <c r="F97" s="24" t="n">
        <v>39128</v>
      </c>
      <c r="G97" s="24" t="n">
        <v>37346</v>
      </c>
      <c r="H97" s="24">
        <f>G97-F97</f>
        <v/>
      </c>
      <c r="I97" s="8">
        <f>IF(F97=0,0,G97/F97-1)</f>
        <v/>
      </c>
    </row>
    <row r="98">
      <c r="A98" s="6" t="inlineStr">
        <is>
          <t>1000.0000.2120.52010.030</t>
        </is>
      </c>
      <c r="B98" s="6" t="inlineStr">
        <is>
          <t>Benefits</t>
        </is>
      </c>
      <c r="C98" s="24" t="n">
        <v>795</v>
      </c>
      <c r="D98" s="24" t="n">
        <v>3292</v>
      </c>
      <c r="E98" s="24" t="n">
        <v>37</v>
      </c>
      <c r="F98" s="24" t="n">
        <v>742</v>
      </c>
      <c r="G98" s="24" t="n">
        <v>2527</v>
      </c>
      <c r="H98" s="24">
        <f>G98-F98</f>
        <v/>
      </c>
      <c r="I98" s="8">
        <f>IF(F98=0,0,G98/F98-1)</f>
        <v/>
      </c>
    </row>
    <row r="99">
      <c r="A99" s="6" t="inlineStr">
        <is>
          <t>1000.0000.2120.52310.030</t>
        </is>
      </c>
      <c r="B99" s="6" t="inlineStr">
        <is>
          <t>Retirement</t>
        </is>
      </c>
      <c r="C99" s="24" t="n">
        <v>1490</v>
      </c>
      <c r="D99" s="24" t="n">
        <v>20712</v>
      </c>
      <c r="E99" s="24" t="n">
        <v>88097</v>
      </c>
      <c r="F99" s="24" t="n">
        <v>1628</v>
      </c>
      <c r="G99" s="24" t="n">
        <v>1621</v>
      </c>
      <c r="H99" s="24">
        <f>G99-F99</f>
        <v/>
      </c>
      <c r="I99" s="8">
        <f>IF(F99=0,0,G99/F99-1)</f>
        <v/>
      </c>
    </row>
    <row r="100">
      <c r="A100" s="6" t="inlineStr">
        <is>
          <t>1000.0000.2120.53000.030</t>
        </is>
      </c>
      <c r="B100" s="6" t="inlineStr">
        <is>
          <t>Purchased Professional</t>
        </is>
      </c>
      <c r="C100" s="24" t="n">
        <v>0</v>
      </c>
      <c r="D100" s="24" t="n">
        <v>0</v>
      </c>
      <c r="E100" s="24" t="n">
        <v>0</v>
      </c>
      <c r="F100" s="24" t="n">
        <v>0</v>
      </c>
      <c r="G100" s="24" t="n">
        <v>300</v>
      </c>
      <c r="H100" s="24">
        <f>G100-F100</f>
        <v/>
      </c>
      <c r="I100" s="8">
        <f>IF(F100=0,0,G100/F100-1)</f>
        <v/>
      </c>
    </row>
    <row r="101">
      <c r="A101" s="6" t="inlineStr">
        <is>
          <t>1000.0000.2120.54330.030</t>
        </is>
      </c>
      <c r="B101" s="6" t="inlineStr">
        <is>
          <t>Software</t>
        </is>
      </c>
      <c r="C101" s="24" t="n">
        <v>0</v>
      </c>
      <c r="D101" s="24" t="n">
        <v>0</v>
      </c>
      <c r="E101" s="24" t="n">
        <v>0</v>
      </c>
      <c r="F101" s="24" t="n">
        <v>334</v>
      </c>
      <c r="G101" s="24" t="n">
        <v>334</v>
      </c>
      <c r="H101" s="24">
        <f>G101-F101</f>
        <v/>
      </c>
      <c r="I101" s="8">
        <f>IF(F101=0,0,G101/F101-1)</f>
        <v/>
      </c>
    </row>
    <row r="102">
      <c r="A102" s="6" t="inlineStr">
        <is>
          <t>1000.0000.2120.56100.030</t>
        </is>
      </c>
      <c r="B102" s="6" t="inlineStr">
        <is>
          <t>Supplies</t>
        </is>
      </c>
      <c r="C102" s="24" t="n">
        <v>14</v>
      </c>
      <c r="D102" s="24" t="n">
        <v>0</v>
      </c>
      <c r="E102" s="24" t="n">
        <v>14</v>
      </c>
      <c r="F102" s="24" t="n">
        <v>339</v>
      </c>
      <c r="G102" s="24" t="n">
        <v>339</v>
      </c>
      <c r="H102" s="24">
        <f>G102-F102</f>
        <v/>
      </c>
      <c r="I102" s="8">
        <f>IF(F102=0,0,G102/F102-1)</f>
        <v/>
      </c>
    </row>
    <row r="103">
      <c r="A103" s="6" t="inlineStr">
        <is>
          <t>1000.0000.2120.56400.030</t>
        </is>
      </c>
      <c r="B103" s="6" t="inlineStr">
        <is>
          <t>Books</t>
        </is>
      </c>
      <c r="C103" s="24" t="n">
        <v>0</v>
      </c>
      <c r="D103" s="24" t="n">
        <v>0</v>
      </c>
      <c r="E103" s="24" t="n">
        <v>67</v>
      </c>
      <c r="F103" s="24" t="n">
        <v>150</v>
      </c>
      <c r="G103" s="24" t="n">
        <v>150</v>
      </c>
      <c r="H103" s="24">
        <f>G103-F103</f>
        <v/>
      </c>
      <c r="I103" s="8">
        <f>IF(F103=0,0,G103/F103-1)</f>
        <v/>
      </c>
    </row>
    <row r="104">
      <c r="A104" s="6" t="inlineStr">
        <is>
          <t>1000.0000.2120.57300.030</t>
        </is>
      </c>
      <c r="B104" s="6" t="inlineStr">
        <is>
          <t>Equipment</t>
        </is>
      </c>
      <c r="C104" s="24" t="n">
        <v>0</v>
      </c>
      <c r="D104" s="24" t="n">
        <v>0</v>
      </c>
      <c r="E104" s="24" t="n">
        <v>0</v>
      </c>
      <c r="F104" s="24" t="n">
        <v>500</v>
      </c>
      <c r="G104" s="24" t="n">
        <v>500</v>
      </c>
      <c r="H104" s="24">
        <f>G104-F104</f>
        <v/>
      </c>
      <c r="I104" s="8">
        <f>IF(F104=0,0,G104/F104-1)</f>
        <v/>
      </c>
    </row>
    <row r="105">
      <c r="A105" s="14" t="n"/>
      <c r="B105" s="28" t="inlineStr">
        <is>
          <t>Program 0000 Total</t>
        </is>
      </c>
      <c r="C105" s="29">
        <f>SUM(C97:C104)</f>
        <v/>
      </c>
      <c r="D105" s="29">
        <f>SUM(D97:D104)</f>
        <v/>
      </c>
      <c r="E105" s="29">
        <f>SUM(E97:E104)</f>
        <v/>
      </c>
      <c r="F105" s="29">
        <f>SUM(F97:F104)</f>
        <v/>
      </c>
      <c r="G105" s="29">
        <f>SUM(G97:G104)</f>
        <v/>
      </c>
      <c r="H105" s="29">
        <f>SUM(H97:H104)</f>
        <v/>
      </c>
      <c r="I105" s="29">
        <f>SUM(I97:I104)</f>
        <v/>
      </c>
    </row>
    <row r="106">
      <c r="A106" s="6" t="inlineStr">
        <is>
          <t>1000.0000.2130.51010.030</t>
        </is>
      </c>
      <c r="B106" s="6" t="inlineStr">
        <is>
          <t>Nurse Salary</t>
        </is>
      </c>
      <c r="C106" s="24" t="n">
        <v>34140</v>
      </c>
      <c r="D106" s="24" t="n">
        <v>51908</v>
      </c>
      <c r="E106" s="24" t="n">
        <v>57692</v>
      </c>
      <c r="F106" s="24" t="n">
        <v>56012</v>
      </c>
      <c r="G106" s="24" t="n">
        <v>57971</v>
      </c>
      <c r="H106" s="24">
        <f>G106-F106</f>
        <v/>
      </c>
      <c r="I106" s="8">
        <f>IF(F106=0,0,G106/F106-1)</f>
        <v/>
      </c>
    </row>
    <row r="107">
      <c r="A107" s="6" t="inlineStr">
        <is>
          <t>1000.0000.2130.52010.030</t>
        </is>
      </c>
      <c r="B107" s="6" t="inlineStr">
        <is>
          <t>Nurse Benefits</t>
        </is>
      </c>
      <c r="C107" s="24" t="n">
        <v>9996</v>
      </c>
      <c r="D107" s="24" t="n">
        <v>16954</v>
      </c>
      <c r="E107" s="24" t="n">
        <v>4185</v>
      </c>
      <c r="F107" s="24" t="n">
        <v>21151</v>
      </c>
      <c r="G107" s="24" t="n">
        <v>21576</v>
      </c>
      <c r="H107" s="24">
        <f>G107-F107</f>
        <v/>
      </c>
      <c r="I107" s="8">
        <f>IF(F107=0,0,G107/F107-1)</f>
        <v/>
      </c>
    </row>
    <row r="108">
      <c r="A108" s="6" t="inlineStr">
        <is>
          <t>1000.0000.2130.52310.030</t>
        </is>
      </c>
      <c r="B108" s="6" t="inlineStr">
        <is>
          <t>Retirement</t>
        </is>
      </c>
      <c r="C108" s="24" t="n">
        <v>1355</v>
      </c>
      <c r="D108" s="24" t="n">
        <v>0</v>
      </c>
      <c r="E108" s="24" t="n">
        <v>130</v>
      </c>
      <c r="F108" s="24" t="n">
        <v>0</v>
      </c>
      <c r="G108" s="24" t="n">
        <v>2411</v>
      </c>
      <c r="H108" s="24">
        <f>G108-F108</f>
        <v/>
      </c>
      <c r="I108" s="8">
        <f>IF(F108=0,0,G108/F108-1)</f>
        <v/>
      </c>
    </row>
    <row r="109">
      <c r="A109" s="6" t="inlineStr">
        <is>
          <t>1000.0000.2130.53000.030</t>
        </is>
      </c>
      <c r="B109" s="6" t="inlineStr">
        <is>
          <t>Purchased Professional</t>
        </is>
      </c>
      <c r="C109" s="24" t="n">
        <v>45</v>
      </c>
      <c r="D109" s="24" t="n">
        <v>0</v>
      </c>
      <c r="E109" s="24" t="n">
        <v>0</v>
      </c>
      <c r="F109" s="24" t="n">
        <v>200</v>
      </c>
      <c r="G109" s="24" t="n">
        <v>500</v>
      </c>
      <c r="H109" s="24">
        <f>G109-F109</f>
        <v/>
      </c>
      <c r="I109" s="8">
        <f>IF(F109=0,0,G109/F109-1)</f>
        <v/>
      </c>
    </row>
    <row r="110">
      <c r="A110" s="6" t="inlineStr">
        <is>
          <t>1000.0000.2130.54310.030</t>
        </is>
      </c>
      <c r="B110" s="6" t="inlineStr">
        <is>
          <t>Repairs &amp; Maintenance</t>
        </is>
      </c>
      <c r="C110" s="24" t="n">
        <v>0</v>
      </c>
      <c r="D110" s="24" t="n">
        <v>0</v>
      </c>
      <c r="E110" s="24" t="n">
        <v>0</v>
      </c>
      <c r="F110" s="24" t="n">
        <v>135</v>
      </c>
      <c r="G110" s="24" t="n">
        <v>135</v>
      </c>
      <c r="H110" s="24">
        <f>G110-F110</f>
        <v/>
      </c>
      <c r="I110" s="8">
        <f>IF(F110=0,0,G110/F110-1)</f>
        <v/>
      </c>
    </row>
    <row r="111">
      <c r="A111" s="6" t="inlineStr">
        <is>
          <t>1000.0000.2130.56000.030</t>
        </is>
      </c>
      <c r="B111" s="6" t="inlineStr">
        <is>
          <t>Supplies</t>
        </is>
      </c>
      <c r="C111" s="24" t="n">
        <v>298</v>
      </c>
      <c r="D111" s="24" t="n">
        <v>720</v>
      </c>
      <c r="E111" s="24" t="n">
        <v>312</v>
      </c>
      <c r="F111" s="24" t="n">
        <v>270</v>
      </c>
      <c r="G111" s="24" t="n">
        <v>291</v>
      </c>
      <c r="H111" s="24">
        <f>G111-F111</f>
        <v/>
      </c>
      <c r="I111" s="8">
        <f>IF(F111=0,0,G111/F111-1)</f>
        <v/>
      </c>
    </row>
    <row r="112">
      <c r="A112" s="14" t="n"/>
      <c r="B112" s="28" t="inlineStr">
        <is>
          <t>Program 0000 Total</t>
        </is>
      </c>
      <c r="C112" s="29">
        <f>SUM(C106:C111)</f>
        <v/>
      </c>
      <c r="D112" s="29">
        <f>SUM(D106:D111)</f>
        <v/>
      </c>
      <c r="E112" s="29">
        <f>SUM(E106:E111)</f>
        <v/>
      </c>
      <c r="F112" s="29">
        <f>SUM(F106:F111)</f>
        <v/>
      </c>
      <c r="G112" s="29">
        <f>SUM(G106:G111)</f>
        <v/>
      </c>
      <c r="H112" s="29">
        <f>SUM(H106:H111)</f>
        <v/>
      </c>
      <c r="I112" s="29">
        <f>SUM(I106:I111)</f>
        <v/>
      </c>
    </row>
    <row r="113">
      <c r="A113" s="6" t="inlineStr">
        <is>
          <t>1000.0000.2213.51500.030</t>
        </is>
      </c>
      <c r="B113" s="6" t="inlineStr">
        <is>
          <t>Stipends</t>
        </is>
      </c>
      <c r="C113" s="24" t="n">
        <v>0</v>
      </c>
      <c r="D113" s="24" t="n">
        <v>0</v>
      </c>
      <c r="E113" s="24" t="n">
        <v>0</v>
      </c>
      <c r="F113" s="24" t="n">
        <v>5009</v>
      </c>
      <c r="G113" s="24" t="n">
        <v>5000</v>
      </c>
      <c r="H113" s="24">
        <f>G113-F113</f>
        <v/>
      </c>
      <c r="I113" s="8">
        <f>IF(F113=0,0,G113/F113-1)</f>
        <v/>
      </c>
    </row>
    <row r="114">
      <c r="A114" s="6" t="inlineStr">
        <is>
          <t>1000.0000.2213.52000.030</t>
        </is>
      </c>
      <c r="B114" s="6" t="inlineStr">
        <is>
          <t>Stipend Benefits - PES</t>
        </is>
      </c>
      <c r="C114" s="24" t="n">
        <v>0</v>
      </c>
      <c r="D114" s="24" t="n">
        <v>0</v>
      </c>
      <c r="E114" s="24" t="n">
        <v>0</v>
      </c>
      <c r="F114" s="24" t="n">
        <v>83</v>
      </c>
      <c r="G114" s="24" t="n">
        <v>0</v>
      </c>
      <c r="H114" s="24">
        <f>G114-F114</f>
        <v/>
      </c>
      <c r="I114" s="8">
        <f>IF(F114=0,0,G114/F114-1)</f>
        <v/>
      </c>
    </row>
    <row r="115">
      <c r="A115" s="6" t="inlineStr">
        <is>
          <t>1000.0000.2213.52300.030</t>
        </is>
      </c>
      <c r="B115" s="6" t="inlineStr">
        <is>
          <t>Stipend Retirement - PES</t>
        </is>
      </c>
      <c r="C115" s="24" t="n">
        <v>0</v>
      </c>
      <c r="D115" s="24" t="n">
        <v>0</v>
      </c>
      <c r="E115" s="24" t="n">
        <v>0</v>
      </c>
      <c r="F115" s="24" t="n">
        <v>208</v>
      </c>
      <c r="G115" s="24" t="n">
        <v>0</v>
      </c>
      <c r="H115" s="24">
        <f>G115-F115</f>
        <v/>
      </c>
      <c r="I115" s="8">
        <f>IF(F115=0,0,G115/F115-1)</f>
        <v/>
      </c>
    </row>
    <row r="116">
      <c r="A116" s="14" t="n"/>
      <c r="B116" s="28" t="inlineStr">
        <is>
          <t>Program 0000 Total</t>
        </is>
      </c>
      <c r="C116" s="29">
        <f>SUM(C113:C115)</f>
        <v/>
      </c>
      <c r="D116" s="29">
        <f>SUM(D113:D115)</f>
        <v/>
      </c>
      <c r="E116" s="29">
        <f>SUM(E113:E115)</f>
        <v/>
      </c>
      <c r="F116" s="29">
        <f>SUM(F113:F115)</f>
        <v/>
      </c>
      <c r="G116" s="29">
        <f>SUM(G113:G115)</f>
        <v/>
      </c>
      <c r="H116" s="29">
        <f>SUM(H113:H115)</f>
        <v/>
      </c>
      <c r="I116" s="29">
        <f>SUM(I113:I115)</f>
        <v/>
      </c>
    </row>
    <row r="117">
      <c r="A117" s="6" t="inlineStr">
        <is>
          <t>1000.0000.2220.51010.030</t>
        </is>
      </c>
      <c r="B117" s="6" t="inlineStr">
        <is>
          <t>Librarian Salaries</t>
        </is>
      </c>
      <c r="C117" s="24" t="n">
        <v>25054</v>
      </c>
      <c r="D117" s="24" t="n">
        <v>27143</v>
      </c>
      <c r="E117" s="24" t="n">
        <v>24663</v>
      </c>
      <c r="F117" s="24" t="n">
        <v>31164</v>
      </c>
      <c r="G117" s="24" t="n">
        <v>33725</v>
      </c>
      <c r="H117" s="24">
        <f>G117-F117</f>
        <v/>
      </c>
      <c r="I117" s="8">
        <f>IF(F117=0,0,G117/F117-1)</f>
        <v/>
      </c>
    </row>
    <row r="118">
      <c r="A118" s="6" t="inlineStr">
        <is>
          <t>1000.0000.2220.51020.030</t>
        </is>
      </c>
      <c r="B118" s="6" t="inlineStr">
        <is>
          <t>Ed Tech Salaries</t>
        </is>
      </c>
      <c r="C118" s="24" t="n">
        <v>29545</v>
      </c>
      <c r="D118" s="24" t="n">
        <v>31014</v>
      </c>
      <c r="E118" s="24" t="n">
        <v>25742</v>
      </c>
      <c r="F118" s="24" t="n">
        <v>0</v>
      </c>
      <c r="G118" s="24" t="n">
        <v>0</v>
      </c>
      <c r="H118" s="24">
        <f>G118-F118</f>
        <v/>
      </c>
      <c r="I118" s="8">
        <f>IF(F118=0,0,G118/F118-1)</f>
        <v/>
      </c>
    </row>
    <row r="119">
      <c r="A119" s="6" t="inlineStr">
        <is>
          <t>1000.0000.2220.52010.030</t>
        </is>
      </c>
      <c r="B119" s="6" t="inlineStr">
        <is>
          <t>Librarian Benefits</t>
        </is>
      </c>
      <c r="C119" s="24" t="n">
        <v>2674</v>
      </c>
      <c r="D119" s="24" t="n">
        <v>2939</v>
      </c>
      <c r="E119" s="24" t="n">
        <v>1633</v>
      </c>
      <c r="F119" s="24" t="n">
        <v>584</v>
      </c>
      <c r="G119" s="24" t="n">
        <v>2508</v>
      </c>
      <c r="H119" s="24">
        <f>G119-F119</f>
        <v/>
      </c>
      <c r="I119" s="8">
        <f>IF(F119=0,0,G119/F119-1)</f>
        <v/>
      </c>
    </row>
    <row r="120">
      <c r="A120" s="6" t="inlineStr">
        <is>
          <t>1000.0000.2220.52020.030</t>
        </is>
      </c>
      <c r="B120" s="6" t="inlineStr">
        <is>
          <t>Ed Tech Benefits</t>
        </is>
      </c>
      <c r="C120" s="24" t="n">
        <v>3036</v>
      </c>
      <c r="D120" s="24" t="n">
        <v>3149</v>
      </c>
      <c r="E120" s="24" t="n">
        <v>2284</v>
      </c>
      <c r="F120" s="24" t="n">
        <v>0</v>
      </c>
      <c r="G120" s="24" t="n">
        <v>0</v>
      </c>
      <c r="H120" s="24">
        <f>G120-F120</f>
        <v/>
      </c>
      <c r="I120" s="8">
        <f>IF(F120=0,0,G120/F120-1)</f>
        <v/>
      </c>
    </row>
    <row r="121">
      <c r="A121" s="6" t="inlineStr">
        <is>
          <t>1000.0000.2220.52310.030</t>
        </is>
      </c>
      <c r="B121" s="6" t="inlineStr">
        <is>
          <t>Retirement</t>
        </is>
      </c>
      <c r="C121" s="24" t="n">
        <v>1120</v>
      </c>
      <c r="D121" s="24" t="n">
        <v>1152</v>
      </c>
      <c r="E121" s="24" t="n">
        <v>-10</v>
      </c>
      <c r="F121" s="24" t="n">
        <v>1296</v>
      </c>
      <c r="G121" s="24" t="n">
        <v>1402</v>
      </c>
      <c r="H121" s="24">
        <f>G121-F121</f>
        <v/>
      </c>
      <c r="I121" s="8">
        <f>IF(F121=0,0,G121/F121-1)</f>
        <v/>
      </c>
    </row>
    <row r="122">
      <c r="A122" s="6" t="inlineStr">
        <is>
          <t>1000.0000.2220.52320.030</t>
        </is>
      </c>
      <c r="B122" s="6" t="inlineStr">
        <is>
          <t>Retirement</t>
        </is>
      </c>
      <c r="C122" s="24" t="n">
        <v>1173</v>
      </c>
      <c r="D122" s="24" t="n">
        <v>1154</v>
      </c>
      <c r="E122" s="24" t="n">
        <v>23</v>
      </c>
      <c r="F122" s="24" t="n">
        <v>0</v>
      </c>
      <c r="G122" s="24" t="n">
        <v>0</v>
      </c>
      <c r="H122" s="24">
        <f>G122-F122</f>
        <v/>
      </c>
      <c r="I122" s="8">
        <f>IF(F122=0,0,G122/F122-1)</f>
        <v/>
      </c>
    </row>
    <row r="123">
      <c r="A123" s="6" t="inlineStr">
        <is>
          <t>1000.0000.2220.54330.030</t>
        </is>
      </c>
      <c r="B123" s="6" t="inlineStr">
        <is>
          <t>Software</t>
        </is>
      </c>
      <c r="C123" s="24" t="n">
        <v>1042</v>
      </c>
      <c r="D123" s="24" t="n">
        <v>1043</v>
      </c>
      <c r="E123" s="24" t="n">
        <v>1043</v>
      </c>
      <c r="F123" s="24" t="n">
        <v>1043</v>
      </c>
      <c r="G123" s="24" t="n">
        <v>1043</v>
      </c>
      <c r="H123" s="24">
        <f>G123-F123</f>
        <v/>
      </c>
      <c r="I123" s="8">
        <f>IF(F123=0,0,G123/F123-1)</f>
        <v/>
      </c>
    </row>
    <row r="124">
      <c r="A124" s="6" t="inlineStr">
        <is>
          <t>1000.0000.2220.56000.030</t>
        </is>
      </c>
      <c r="B124" s="6" t="inlineStr">
        <is>
          <t>Supplies</t>
        </is>
      </c>
      <c r="C124" s="24" t="n">
        <v>10</v>
      </c>
      <c r="D124" s="24" t="n">
        <v>160</v>
      </c>
      <c r="E124" s="24" t="n">
        <v>0</v>
      </c>
      <c r="F124" s="24" t="n">
        <v>0</v>
      </c>
      <c r="G124" s="24" t="n">
        <v>0</v>
      </c>
      <c r="H124" s="24">
        <f>G124-F124</f>
        <v/>
      </c>
      <c r="I124" s="8">
        <f>IF(F124=0,0,G124/F124-1)</f>
        <v/>
      </c>
    </row>
    <row r="125">
      <c r="A125" s="6" t="inlineStr">
        <is>
          <t>1000.0000.2220.56100.030</t>
        </is>
      </c>
      <c r="B125" s="6" t="inlineStr">
        <is>
          <t>Instructional Supplies</t>
        </is>
      </c>
      <c r="C125" s="24" t="n">
        <v>0</v>
      </c>
      <c r="D125" s="24" t="n">
        <v>0</v>
      </c>
      <c r="E125" s="24" t="n">
        <v>150</v>
      </c>
      <c r="F125" s="24" t="n">
        <v>339</v>
      </c>
      <c r="G125" s="24" t="n">
        <v>339</v>
      </c>
      <c r="H125" s="24">
        <f>G125-F125</f>
        <v/>
      </c>
      <c r="I125" s="8">
        <f>IF(F125=0,0,G125/F125-1)</f>
        <v/>
      </c>
    </row>
    <row r="126">
      <c r="A126" s="6" t="inlineStr">
        <is>
          <t>1000.0000.2220.56400.030</t>
        </is>
      </c>
      <c r="B126" s="6" t="inlineStr">
        <is>
          <t>Books &amp; Periodicals</t>
        </is>
      </c>
      <c r="C126" s="24" t="n">
        <v>2316</v>
      </c>
      <c r="D126" s="24" t="n">
        <v>6607</v>
      </c>
      <c r="E126" s="24" t="n">
        <v>4218</v>
      </c>
      <c r="F126" s="24" t="n">
        <v>3726</v>
      </c>
      <c r="G126" s="24" t="n">
        <v>2276</v>
      </c>
      <c r="H126" s="24">
        <f>G126-F126</f>
        <v/>
      </c>
      <c r="I126" s="8">
        <f>IF(F126=0,0,G126/F126-1)</f>
        <v/>
      </c>
    </row>
    <row r="127">
      <c r="A127" s="14" t="n"/>
      <c r="B127" s="28" t="inlineStr">
        <is>
          <t>Program 0000 Total</t>
        </is>
      </c>
      <c r="C127" s="29">
        <f>SUM(C117:C126)</f>
        <v/>
      </c>
      <c r="D127" s="29">
        <f>SUM(D117:D126)</f>
        <v/>
      </c>
      <c r="E127" s="29">
        <f>SUM(E117:E126)</f>
        <v/>
      </c>
      <c r="F127" s="29">
        <f>SUM(F117:F126)</f>
        <v/>
      </c>
      <c r="G127" s="29">
        <f>SUM(G117:G126)</f>
        <v/>
      </c>
      <c r="H127" s="29">
        <f>SUM(H117:H126)</f>
        <v/>
      </c>
      <c r="I127" s="29">
        <f>SUM(I117:I126)</f>
        <v/>
      </c>
    </row>
    <row r="128">
      <c r="A128" s="6" t="inlineStr">
        <is>
          <t>1000.0000.2230.51010.030</t>
        </is>
      </c>
      <c r="B128" s="6" t="inlineStr">
        <is>
          <t>Teacher Salaries</t>
        </is>
      </c>
      <c r="C128" s="24" t="n">
        <v>35165</v>
      </c>
      <c r="D128" s="24" t="n">
        <v>36649</v>
      </c>
      <c r="E128" s="24" t="n">
        <v>-956</v>
      </c>
      <c r="F128" s="24" t="n">
        <v>0</v>
      </c>
      <c r="G128" s="24" t="n">
        <v>0</v>
      </c>
      <c r="H128" s="24">
        <f>G128-F128</f>
        <v/>
      </c>
      <c r="I128" s="8">
        <f>IF(F128=0,0,G128/F128-1)</f>
        <v/>
      </c>
    </row>
    <row r="129">
      <c r="A129" s="6" t="inlineStr">
        <is>
          <t>1000.0000.2230.51180.030</t>
        </is>
      </c>
      <c r="B129" s="6" t="inlineStr">
        <is>
          <t>Support Salaries</t>
        </is>
      </c>
      <c r="C129" s="24" t="n">
        <v>324</v>
      </c>
      <c r="D129" s="24" t="n">
        <v>0</v>
      </c>
      <c r="E129" s="24" t="n">
        <v>0</v>
      </c>
      <c r="F129" s="24" t="n">
        <v>0</v>
      </c>
      <c r="G129" s="24" t="n">
        <v>0</v>
      </c>
      <c r="H129" s="24">
        <f>G129-F129</f>
        <v/>
      </c>
      <c r="I129" s="8">
        <f>IF(F129=0,0,G129/F129-1)</f>
        <v/>
      </c>
    </row>
    <row r="130">
      <c r="A130" s="6" t="inlineStr">
        <is>
          <t>1000.0000.2230.52000.030</t>
        </is>
      </c>
      <c r="B130" s="6" t="inlineStr">
        <is>
          <t>Benefits</t>
        </is>
      </c>
      <c r="C130" s="24" t="n">
        <v>0</v>
      </c>
      <c r="D130" s="24" t="n">
        <v>0</v>
      </c>
      <c r="E130" s="24" t="n">
        <v>3221</v>
      </c>
      <c r="F130" s="24" t="n">
        <v>0</v>
      </c>
      <c r="G130" s="24" t="n">
        <v>0</v>
      </c>
      <c r="H130" s="24">
        <f>G130-F130</f>
        <v/>
      </c>
      <c r="I130" s="8">
        <f>IF(F130=0,0,G130/F130-1)</f>
        <v/>
      </c>
    </row>
    <row r="131">
      <c r="A131" s="6" t="inlineStr">
        <is>
          <t>1000.0000.2230.52010.030</t>
        </is>
      </c>
      <c r="B131" s="6" t="inlineStr">
        <is>
          <t>Teacher Benefits</t>
        </is>
      </c>
      <c r="C131" s="24" t="n">
        <v>7866</v>
      </c>
      <c r="D131" s="24" t="n">
        <v>7852</v>
      </c>
      <c r="E131" s="24" t="n">
        <v>902</v>
      </c>
      <c r="F131" s="24" t="n">
        <v>0</v>
      </c>
      <c r="G131" s="24" t="n">
        <v>0</v>
      </c>
      <c r="H131" s="24">
        <f>G131-F131</f>
        <v/>
      </c>
      <c r="I131" s="8">
        <f>IF(F131=0,0,G131/F131-1)</f>
        <v/>
      </c>
    </row>
    <row r="132">
      <c r="A132" s="6" t="inlineStr">
        <is>
          <t>1000.0000.2230.52080.030</t>
        </is>
      </c>
      <c r="B132" s="6" t="inlineStr">
        <is>
          <t>Support Benefits</t>
        </is>
      </c>
      <c r="C132" s="24" t="n">
        <v>227</v>
      </c>
      <c r="D132" s="24" t="n">
        <v>0</v>
      </c>
      <c r="E132" s="24" t="n">
        <v>0</v>
      </c>
      <c r="F132" s="24" t="n">
        <v>0</v>
      </c>
      <c r="G132" s="24" t="n">
        <v>0</v>
      </c>
      <c r="H132" s="24">
        <f>G132-F132</f>
        <v/>
      </c>
      <c r="I132" s="8">
        <f>IF(F132=0,0,G132/F132-1)</f>
        <v/>
      </c>
    </row>
    <row r="133">
      <c r="A133" s="6" t="inlineStr">
        <is>
          <t>1000.0000.2230.52310.030</t>
        </is>
      </c>
      <c r="B133" s="6" t="inlineStr">
        <is>
          <t>Retirement</t>
        </is>
      </c>
      <c r="C133" s="24" t="n">
        <v>1441</v>
      </c>
      <c r="D133" s="24" t="n">
        <v>1561</v>
      </c>
      <c r="E133" s="24" t="n">
        <v>142</v>
      </c>
      <c r="F133" s="24" t="n">
        <v>0</v>
      </c>
      <c r="G133" s="24" t="n">
        <v>0</v>
      </c>
      <c r="H133" s="24">
        <f>G133-F133</f>
        <v/>
      </c>
      <c r="I133" s="8">
        <f>IF(F133=0,0,G133/F133-1)</f>
        <v/>
      </c>
    </row>
    <row r="134">
      <c r="A134" s="6" t="inlineStr">
        <is>
          <t>1000.0000.2230.54320.030</t>
        </is>
      </c>
      <c r="B134" s="6" t="inlineStr">
        <is>
          <t>Tech Repairs &amp; Maint</t>
        </is>
      </c>
      <c r="C134" s="24" t="n">
        <v>1211</v>
      </c>
      <c r="D134" s="24" t="n">
        <v>0</v>
      </c>
      <c r="E134" s="24" t="n">
        <v>0</v>
      </c>
      <c r="F134" s="24" t="n">
        <v>0</v>
      </c>
      <c r="G134" s="24" t="n">
        <v>0</v>
      </c>
      <c r="H134" s="24">
        <f>G134-F134</f>
        <v/>
      </c>
      <c r="I134" s="8">
        <f>IF(F134=0,0,G134/F134-1)</f>
        <v/>
      </c>
    </row>
    <row r="135">
      <c r="A135" s="6" t="inlineStr">
        <is>
          <t>1000.0000.2230.54330.030</t>
        </is>
      </c>
      <c r="B135" s="6" t="inlineStr">
        <is>
          <t>Software</t>
        </is>
      </c>
      <c r="C135" s="24" t="n">
        <v>95</v>
      </c>
      <c r="D135" s="24" t="n">
        <v>0</v>
      </c>
      <c r="E135" s="24" t="n">
        <v>0</v>
      </c>
      <c r="F135" s="24" t="n">
        <v>0</v>
      </c>
      <c r="G135" s="24" t="n">
        <v>0</v>
      </c>
      <c r="H135" s="24">
        <f>G135-F135</f>
        <v/>
      </c>
      <c r="I135" s="8">
        <f>IF(F135=0,0,G135/F135-1)</f>
        <v/>
      </c>
    </row>
    <row r="136">
      <c r="A136" s="6" t="inlineStr">
        <is>
          <t>1000.0000.2230.56500.030</t>
        </is>
      </c>
      <c r="B136" s="6" t="inlineStr">
        <is>
          <t>Supplies</t>
        </is>
      </c>
      <c r="C136" s="24" t="n">
        <v>698</v>
      </c>
      <c r="D136" s="24" t="n">
        <v>343</v>
      </c>
      <c r="E136" s="24" t="n">
        <v>0</v>
      </c>
      <c r="F136" s="24" t="n">
        <v>0</v>
      </c>
      <c r="G136" s="24" t="n">
        <v>0</v>
      </c>
      <c r="H136" s="24">
        <f>G136-F136</f>
        <v/>
      </c>
      <c r="I136" s="8">
        <f>IF(F136=0,0,G136/F136-1)</f>
        <v/>
      </c>
    </row>
    <row r="137">
      <c r="A137" s="14" t="n"/>
      <c r="B137" s="28" t="inlineStr">
        <is>
          <t>Program 0000 Total</t>
        </is>
      </c>
      <c r="C137" s="29">
        <f>SUM(C128:C136)</f>
        <v/>
      </c>
      <c r="D137" s="29">
        <f>SUM(D128:D136)</f>
        <v/>
      </c>
      <c r="E137" s="29">
        <f>SUM(E128:E136)</f>
        <v/>
      </c>
      <c r="F137" s="29">
        <f>SUM(F128:F136)</f>
        <v/>
      </c>
      <c r="G137" s="29">
        <f>SUM(G128:G136)</f>
        <v/>
      </c>
      <c r="H137" s="29">
        <f>SUM(H128:H136)</f>
        <v/>
      </c>
      <c r="I137" s="29">
        <f>SUM(I128:I136)</f>
        <v/>
      </c>
    </row>
    <row r="138">
      <c r="A138" s="14" t="n"/>
      <c r="B138" s="17" t="inlineStr">
        <is>
          <t>Cost Center ('030',) Total</t>
        </is>
      </c>
      <c r="C138" s="32">
        <f>C105+C112+C116+C127+C137</f>
        <v/>
      </c>
      <c r="D138" s="32">
        <f>D105+D112+D116+D127+D137</f>
        <v/>
      </c>
      <c r="E138" s="32">
        <f>E105+E112+E116+E127+E137</f>
        <v/>
      </c>
      <c r="F138" s="32">
        <f>F105+F112+F116+F127+F137</f>
        <v/>
      </c>
      <c r="G138" s="32">
        <f>G105+G112+G116+G127+G137</f>
        <v/>
      </c>
      <c r="H138" s="32">
        <f>H105+H112+H116+H127+H137</f>
        <v/>
      </c>
      <c r="I138" s="32">
        <f>I105+I112+I116+I127+I137</f>
        <v/>
      </c>
    </row>
    <row r="140">
      <c r="A140" s="3" t="inlineStr">
        <is>
          <t>Cost Center: ('040',)</t>
        </is>
      </c>
    </row>
    <row r="141">
      <c r="A141" s="6" t="inlineStr">
        <is>
          <t>1000.0000.2120.51010.040</t>
        </is>
      </c>
      <c r="B141" s="6" t="inlineStr">
        <is>
          <t>Guidance Salaries</t>
        </is>
      </c>
      <c r="C141" s="24" t="n">
        <v>53896</v>
      </c>
      <c r="D141" s="24" t="n">
        <v>64190</v>
      </c>
      <c r="E141" s="24" t="n">
        <v>85821</v>
      </c>
      <c r="F141" s="24" t="n">
        <v>98205</v>
      </c>
      <c r="G141" s="24" t="n">
        <v>96598</v>
      </c>
      <c r="H141" s="24">
        <f>G141-F141</f>
        <v/>
      </c>
      <c r="I141" s="8">
        <f>IF(F141=0,0,G141/F141-1)</f>
        <v/>
      </c>
    </row>
    <row r="142">
      <c r="A142" s="6" t="inlineStr">
        <is>
          <t>1000.0000.2120.52010.040</t>
        </is>
      </c>
      <c r="B142" s="6" t="inlineStr">
        <is>
          <t>Benefits</t>
        </is>
      </c>
      <c r="C142" s="24" t="n">
        <v>21181</v>
      </c>
      <c r="D142" s="24" t="n">
        <v>21178</v>
      </c>
      <c r="E142" s="24" t="n">
        <v>1767</v>
      </c>
      <c r="F142" s="24" t="n">
        <v>5913</v>
      </c>
      <c r="G142" s="24" t="n">
        <v>15985</v>
      </c>
      <c r="H142" s="24">
        <f>G142-F142</f>
        <v/>
      </c>
      <c r="I142" s="8">
        <f>IF(F142=0,0,G142/F142-1)</f>
        <v/>
      </c>
    </row>
    <row r="143">
      <c r="A143" s="6" t="inlineStr">
        <is>
          <t>1000.0000.2120.52310.040</t>
        </is>
      </c>
      <c r="B143" s="6" t="inlineStr">
        <is>
          <t>Retirement</t>
        </is>
      </c>
      <c r="C143" s="24" t="n">
        <v>2155</v>
      </c>
      <c r="D143" s="24" t="n">
        <v>2670</v>
      </c>
      <c r="E143" s="24" t="n">
        <v>686</v>
      </c>
      <c r="F143" s="24" t="n">
        <v>4085</v>
      </c>
      <c r="G143" s="24" t="n">
        <v>4018</v>
      </c>
      <c r="H143" s="24">
        <f>G143-F143</f>
        <v/>
      </c>
      <c r="I143" s="8">
        <f>IF(F143=0,0,G143/F143-1)</f>
        <v/>
      </c>
    </row>
    <row r="144">
      <c r="A144" s="6" t="inlineStr">
        <is>
          <t>1000.0000.2120.53000.040</t>
        </is>
      </c>
      <c r="B144" s="6" t="inlineStr">
        <is>
          <t>Purchased Professional</t>
        </is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300</v>
      </c>
      <c r="H144" s="24">
        <f>G144-F144</f>
        <v/>
      </c>
      <c r="I144" s="8">
        <f>IF(F144=0,0,G144/F144-1)</f>
        <v/>
      </c>
    </row>
    <row r="145">
      <c r="A145" s="6" t="inlineStr">
        <is>
          <t>1000.0000.2120.54330.040</t>
        </is>
      </c>
      <c r="B145" s="6" t="inlineStr">
        <is>
          <t>Software</t>
        </is>
      </c>
      <c r="C145" s="24" t="n">
        <v>0</v>
      </c>
      <c r="D145" s="24" t="n">
        <v>0</v>
      </c>
      <c r="E145" s="24" t="n">
        <v>0</v>
      </c>
      <c r="F145" s="24" t="n">
        <v>334</v>
      </c>
      <c r="G145" s="24" t="n">
        <v>334</v>
      </c>
      <c r="H145" s="24">
        <f>G145-F145</f>
        <v/>
      </c>
      <c r="I145" s="8">
        <f>IF(F145=0,0,G145/F145-1)</f>
        <v/>
      </c>
    </row>
    <row r="146">
      <c r="A146" s="6" t="inlineStr">
        <is>
          <t>1000.0000.2120.56100.040</t>
        </is>
      </c>
      <c r="B146" s="6" t="inlineStr">
        <is>
          <t>Instructional Supplies</t>
        </is>
      </c>
      <c r="C146" s="24" t="n">
        <v>177</v>
      </c>
      <c r="D146" s="24" t="n">
        <v>169</v>
      </c>
      <c r="E146" s="24" t="n">
        <v>256</v>
      </c>
      <c r="F146" s="24" t="n">
        <v>339</v>
      </c>
      <c r="G146" s="24" t="n">
        <v>339</v>
      </c>
      <c r="H146" s="24">
        <f>G146-F146</f>
        <v/>
      </c>
      <c r="I146" s="8">
        <f>IF(F146=0,0,G146/F146-1)</f>
        <v/>
      </c>
    </row>
    <row r="147">
      <c r="A147" s="6" t="inlineStr">
        <is>
          <t>1000.0000.2120.57300.040</t>
        </is>
      </c>
      <c r="B147" s="6" t="inlineStr">
        <is>
          <t>Equipment</t>
        </is>
      </c>
      <c r="C147" s="24" t="n">
        <v>0</v>
      </c>
      <c r="D147" s="24" t="n">
        <v>0</v>
      </c>
      <c r="E147" s="24" t="n">
        <v>0</v>
      </c>
      <c r="F147" s="24" t="n">
        <v>500</v>
      </c>
      <c r="G147" s="24" t="n">
        <v>500</v>
      </c>
      <c r="H147" s="24">
        <f>G147-F147</f>
        <v/>
      </c>
      <c r="I147" s="8">
        <f>IF(F147=0,0,G147/F147-1)</f>
        <v/>
      </c>
    </row>
    <row r="148">
      <c r="A148" s="14" t="n"/>
      <c r="B148" s="28" t="inlineStr">
        <is>
          <t>Program 0000 Total</t>
        </is>
      </c>
      <c r="C148" s="29">
        <f>SUM(C141:C147)</f>
        <v/>
      </c>
      <c r="D148" s="29">
        <f>SUM(D141:D147)</f>
        <v/>
      </c>
      <c r="E148" s="29">
        <f>SUM(E141:E147)</f>
        <v/>
      </c>
      <c r="F148" s="29">
        <f>SUM(F141:F147)</f>
        <v/>
      </c>
      <c r="G148" s="29">
        <f>SUM(G141:G147)</f>
        <v/>
      </c>
      <c r="H148" s="29">
        <f>SUM(H141:H147)</f>
        <v/>
      </c>
      <c r="I148" s="29">
        <f>SUM(I141:I147)</f>
        <v/>
      </c>
    </row>
    <row r="149">
      <c r="A149" s="6" t="inlineStr">
        <is>
          <t>1000.0000.2130.51010.040</t>
        </is>
      </c>
      <c r="B149" s="6" t="inlineStr">
        <is>
          <t>Nurse Salary</t>
        </is>
      </c>
      <c r="C149" s="24" t="n">
        <v>65536</v>
      </c>
      <c r="D149" s="24" t="n">
        <v>67502</v>
      </c>
      <c r="E149" s="24" t="n">
        <v>42912</v>
      </c>
      <c r="F149" s="24" t="n">
        <v>54871</v>
      </c>
      <c r="G149" s="24" t="n">
        <v>54882</v>
      </c>
      <c r="H149" s="24">
        <f>G149-F149</f>
        <v/>
      </c>
      <c r="I149" s="8">
        <f>IF(F149=0,0,G149/F149-1)</f>
        <v/>
      </c>
    </row>
    <row r="150">
      <c r="A150" s="6" t="inlineStr">
        <is>
          <t>1000.0000.2130.52010.040</t>
        </is>
      </c>
      <c r="B150" s="6" t="inlineStr">
        <is>
          <t>Nurse Benefits</t>
        </is>
      </c>
      <c r="C150" s="24" t="n">
        <v>5337</v>
      </c>
      <c r="D150" s="24" t="n">
        <v>5924</v>
      </c>
      <c r="E150" s="24" t="n">
        <v>170</v>
      </c>
      <c r="F150" s="24" t="n">
        <v>1031</v>
      </c>
      <c r="G150" s="24" t="n">
        <v>5245</v>
      </c>
      <c r="H150" s="24">
        <f>G150-F150</f>
        <v/>
      </c>
      <c r="I150" s="8">
        <f>IF(F150=0,0,G150/F150-1)</f>
        <v/>
      </c>
    </row>
    <row r="151">
      <c r="A151" s="6" t="inlineStr">
        <is>
          <t>1000.0000.2130.52310.040</t>
        </is>
      </c>
      <c r="B151" s="6" t="inlineStr">
        <is>
          <t>Retirement</t>
        </is>
      </c>
      <c r="C151" s="24" t="n">
        <v>2621</v>
      </c>
      <c r="D151" s="24" t="n">
        <v>2808</v>
      </c>
      <c r="E151" s="24" t="n">
        <v>461</v>
      </c>
      <c r="F151" s="24" t="n">
        <v>2283</v>
      </c>
      <c r="G151" s="24" t="n">
        <v>0</v>
      </c>
      <c r="H151" s="24">
        <f>G151-F151</f>
        <v/>
      </c>
      <c r="I151" s="8">
        <f>IF(F151=0,0,G151/F151-1)</f>
        <v/>
      </c>
    </row>
    <row r="152">
      <c r="A152" s="6" t="inlineStr">
        <is>
          <t>1000.0000.2130.53000.040</t>
        </is>
      </c>
      <c r="B152" s="6" t="inlineStr">
        <is>
          <t>Purchased Professional</t>
        </is>
      </c>
      <c r="C152" s="24" t="n">
        <v>0</v>
      </c>
      <c r="D152" s="24" t="n">
        <v>0</v>
      </c>
      <c r="E152" s="24" t="n">
        <v>0</v>
      </c>
      <c r="F152" s="24" t="n">
        <v>200</v>
      </c>
      <c r="G152" s="24" t="n">
        <v>300</v>
      </c>
      <c r="H152" s="24">
        <f>G152-F152</f>
        <v/>
      </c>
      <c r="I152" s="8">
        <f>IF(F152=0,0,G152/F152-1)</f>
        <v/>
      </c>
    </row>
    <row r="153">
      <c r="A153" s="6" t="inlineStr">
        <is>
          <t>1000.0000.2130.54310.040</t>
        </is>
      </c>
      <c r="B153" s="6" t="inlineStr">
        <is>
          <t>Repairs &amp; Maintenance</t>
        </is>
      </c>
      <c r="C153" s="24" t="n">
        <v>130</v>
      </c>
      <c r="D153" s="24" t="n">
        <v>0</v>
      </c>
      <c r="E153" s="24" t="n">
        <v>0</v>
      </c>
      <c r="F153" s="24" t="n">
        <v>135</v>
      </c>
      <c r="G153" s="24" t="n">
        <v>135</v>
      </c>
      <c r="H153" s="24">
        <f>G153-F153</f>
        <v/>
      </c>
      <c r="I153" s="8">
        <f>IF(F153=0,0,G153/F153-1)</f>
        <v/>
      </c>
    </row>
    <row r="154">
      <c r="A154" s="6" t="inlineStr">
        <is>
          <t>1000.0000.2130.56000.040</t>
        </is>
      </c>
      <c r="B154" s="6" t="inlineStr">
        <is>
          <t>Supplies</t>
        </is>
      </c>
      <c r="C154" s="24" t="n">
        <v>245</v>
      </c>
      <c r="D154" s="24" t="n">
        <v>547</v>
      </c>
      <c r="E154" s="24" t="n">
        <v>425</v>
      </c>
      <c r="F154" s="24" t="n">
        <v>592</v>
      </c>
      <c r="G154" s="24" t="n">
        <v>642</v>
      </c>
      <c r="H154" s="24">
        <f>G154-F154</f>
        <v/>
      </c>
      <c r="I154" s="8">
        <f>IF(F154=0,0,G154/F154-1)</f>
        <v/>
      </c>
    </row>
    <row r="155">
      <c r="A155" s="14" t="n"/>
      <c r="B155" s="28" t="inlineStr">
        <is>
          <t>Program 0000 Total</t>
        </is>
      </c>
      <c r="C155" s="29">
        <f>SUM(C149:C154)</f>
        <v/>
      </c>
      <c r="D155" s="29">
        <f>SUM(D149:D154)</f>
        <v/>
      </c>
      <c r="E155" s="29">
        <f>SUM(E149:E154)</f>
        <v/>
      </c>
      <c r="F155" s="29">
        <f>SUM(F149:F154)</f>
        <v/>
      </c>
      <c r="G155" s="29">
        <f>SUM(G149:G154)</f>
        <v/>
      </c>
      <c r="H155" s="29">
        <f>SUM(H149:H154)</f>
        <v/>
      </c>
      <c r="I155" s="29">
        <f>SUM(I149:I154)</f>
        <v/>
      </c>
    </row>
    <row r="156">
      <c r="A156" s="6" t="inlineStr">
        <is>
          <t>1000.0000.2213.51500.040</t>
        </is>
      </c>
      <c r="B156" s="6" t="inlineStr">
        <is>
          <t>Stipends</t>
        </is>
      </c>
      <c r="C156" s="24" t="n">
        <v>0</v>
      </c>
      <c r="D156" s="24" t="n">
        <v>0</v>
      </c>
      <c r="E156" s="24" t="n">
        <v>0</v>
      </c>
      <c r="F156" s="24" t="n">
        <v>9868</v>
      </c>
      <c r="G156" s="24" t="n">
        <v>9800</v>
      </c>
      <c r="H156" s="24">
        <f>G156-F156</f>
        <v/>
      </c>
      <c r="I156" s="8">
        <f>IF(F156=0,0,G156/F156-1)</f>
        <v/>
      </c>
    </row>
    <row r="157">
      <c r="A157" s="6" t="inlineStr">
        <is>
          <t>1000.0000.2213.52000.040</t>
        </is>
      </c>
      <c r="B157" s="6" t="inlineStr">
        <is>
          <t>Stipend Benefits - MLS</t>
        </is>
      </c>
      <c r="C157" s="24" t="n">
        <v>0</v>
      </c>
      <c r="D157" s="24" t="n">
        <v>0</v>
      </c>
      <c r="E157" s="24" t="n">
        <v>0</v>
      </c>
      <c r="F157" s="24" t="n">
        <v>163</v>
      </c>
      <c r="G157" s="24" t="n">
        <v>0</v>
      </c>
      <c r="H157" s="24">
        <f>G157-F157</f>
        <v/>
      </c>
      <c r="I157" s="8">
        <f>IF(F157=0,0,G157/F157-1)</f>
        <v/>
      </c>
    </row>
    <row r="158">
      <c r="A158" s="6" t="inlineStr">
        <is>
          <t>1000.0000.2213.52300.040</t>
        </is>
      </c>
      <c r="B158" s="6" t="inlineStr">
        <is>
          <t>Stipend Retirement - MLS</t>
        </is>
      </c>
      <c r="C158" s="24" t="n">
        <v>0</v>
      </c>
      <c r="D158" s="24" t="n">
        <v>0</v>
      </c>
      <c r="E158" s="24" t="n">
        <v>0</v>
      </c>
      <c r="F158" s="24" t="n">
        <v>411</v>
      </c>
      <c r="G158" s="24" t="n">
        <v>0</v>
      </c>
      <c r="H158" s="24">
        <f>G158-F158</f>
        <v/>
      </c>
      <c r="I158" s="8">
        <f>IF(F158=0,0,G158/F158-1)</f>
        <v/>
      </c>
    </row>
    <row r="159">
      <c r="A159" s="14" t="n"/>
      <c r="B159" s="28" t="inlineStr">
        <is>
          <t>Program 0000 Total</t>
        </is>
      </c>
      <c r="C159" s="29">
        <f>SUM(C156:C158)</f>
        <v/>
      </c>
      <c r="D159" s="29">
        <f>SUM(D156:D158)</f>
        <v/>
      </c>
      <c r="E159" s="29">
        <f>SUM(E156:E158)</f>
        <v/>
      </c>
      <c r="F159" s="29">
        <f>SUM(F156:F158)</f>
        <v/>
      </c>
      <c r="G159" s="29">
        <f>SUM(G156:G158)</f>
        <v/>
      </c>
      <c r="H159" s="29">
        <f>SUM(H156:H158)</f>
        <v/>
      </c>
      <c r="I159" s="29">
        <f>SUM(I156:I158)</f>
        <v/>
      </c>
    </row>
    <row r="160">
      <c r="A160" s="6" t="inlineStr">
        <is>
          <t>1000.0000.2220.51010.040</t>
        </is>
      </c>
      <c r="B160" s="6" t="inlineStr">
        <is>
          <t>Librarian Salary</t>
        </is>
      </c>
      <c r="C160" s="24" t="n">
        <v>61297</v>
      </c>
      <c r="D160" s="24" t="n">
        <v>63512</v>
      </c>
      <c r="E160" s="24" t="n">
        <v>65248</v>
      </c>
      <c r="F160" s="24" t="n">
        <v>85217</v>
      </c>
      <c r="G160" s="24" t="n">
        <v>87685</v>
      </c>
      <c r="H160" s="24">
        <f>G160-F160</f>
        <v/>
      </c>
      <c r="I160" s="8">
        <f>IF(F160=0,0,G160/F160-1)</f>
        <v/>
      </c>
    </row>
    <row r="161">
      <c r="A161" s="6" t="inlineStr">
        <is>
          <t>1000.0000.2220.51020.040</t>
        </is>
      </c>
      <c r="B161" s="6" t="inlineStr">
        <is>
          <t>Ed Tech Salaries</t>
        </is>
      </c>
      <c r="C161" s="24" t="n">
        <v>13167</v>
      </c>
      <c r="D161" s="24" t="n">
        <v>11807</v>
      </c>
      <c r="E161" s="24" t="n">
        <v>39301</v>
      </c>
      <c r="F161" s="24" t="n">
        <v>0</v>
      </c>
      <c r="G161" s="24" t="n">
        <v>0</v>
      </c>
      <c r="H161" s="24">
        <f>G161-F161</f>
        <v/>
      </c>
      <c r="I161" s="8">
        <f>IF(F161=0,0,G161/F161-1)</f>
        <v/>
      </c>
    </row>
    <row r="162">
      <c r="A162" s="6" t="inlineStr">
        <is>
          <t>1000.0000.2220.52010.040</t>
        </is>
      </c>
      <c r="B162" s="6" t="inlineStr">
        <is>
          <t>Librarian Benefits</t>
        </is>
      </c>
      <c r="C162" s="24" t="n">
        <v>12752</v>
      </c>
      <c r="D162" s="24" t="n">
        <v>12696</v>
      </c>
      <c r="E162" s="24" t="n">
        <v>2828</v>
      </c>
      <c r="F162" s="24" t="n">
        <v>15907</v>
      </c>
      <c r="G162" s="24" t="n">
        <v>16414</v>
      </c>
      <c r="H162" s="24">
        <f>G162-F162</f>
        <v/>
      </c>
      <c r="I162" s="8">
        <f>IF(F162=0,0,G162/F162-1)</f>
        <v/>
      </c>
    </row>
    <row r="163">
      <c r="A163" s="6" t="inlineStr">
        <is>
          <t>1000.0000.2220.52020.040</t>
        </is>
      </c>
      <c r="B163" s="6" t="inlineStr">
        <is>
          <t>Ed Tech Benefits</t>
        </is>
      </c>
      <c r="C163" s="24" t="n">
        <v>4196</v>
      </c>
      <c r="D163" s="24" t="n">
        <v>6148</v>
      </c>
      <c r="E163" s="24" t="n">
        <v>4541</v>
      </c>
      <c r="F163" s="24" t="n">
        <v>0</v>
      </c>
      <c r="G163" s="24" t="n">
        <v>0</v>
      </c>
      <c r="H163" s="24">
        <f>G163-F163</f>
        <v/>
      </c>
      <c r="I163" s="8">
        <f>IF(F163=0,0,G163/F163-1)</f>
        <v/>
      </c>
    </row>
    <row r="164">
      <c r="A164" s="6" t="inlineStr">
        <is>
          <t>1000.0000.2220.52310.040</t>
        </is>
      </c>
      <c r="B164" s="6" t="inlineStr">
        <is>
          <t>Retirement</t>
        </is>
      </c>
      <c r="C164" s="24" t="n">
        <v>2451</v>
      </c>
      <c r="D164" s="24" t="n">
        <v>2642</v>
      </c>
      <c r="E164" s="24" t="n">
        <v>628</v>
      </c>
      <c r="F164" s="24" t="n">
        <v>3545</v>
      </c>
      <c r="G164" s="24" t="n">
        <v>3647</v>
      </c>
      <c r="H164" s="24">
        <f>G164-F164</f>
        <v/>
      </c>
      <c r="I164" s="8">
        <f>IF(F164=0,0,G164/F164-1)</f>
        <v/>
      </c>
    </row>
    <row r="165">
      <c r="A165" s="6" t="inlineStr">
        <is>
          <t>1000.0000.2220.52320.040</t>
        </is>
      </c>
      <c r="B165" s="6" t="inlineStr">
        <is>
          <t>Retirement</t>
        </is>
      </c>
      <c r="C165" s="24" t="n">
        <v>523</v>
      </c>
      <c r="D165" s="24" t="n">
        <v>491</v>
      </c>
      <c r="E165" s="24" t="n">
        <v>201</v>
      </c>
      <c r="F165" s="24" t="n">
        <v>0</v>
      </c>
      <c r="G165" s="24" t="n">
        <v>0</v>
      </c>
      <c r="H165" s="24">
        <f>G165-F165</f>
        <v/>
      </c>
      <c r="I165" s="8">
        <f>IF(F165=0,0,G165/F165-1)</f>
        <v/>
      </c>
    </row>
    <row r="166">
      <c r="A166" s="6" t="inlineStr">
        <is>
          <t>1000.0000.2220.54330.040</t>
        </is>
      </c>
      <c r="B166" s="6" t="inlineStr">
        <is>
          <t>Software</t>
        </is>
      </c>
      <c r="C166" s="24" t="n">
        <v>1042</v>
      </c>
      <c r="D166" s="24" t="n">
        <v>1043</v>
      </c>
      <c r="E166" s="24" t="n">
        <v>1043</v>
      </c>
      <c r="F166" s="24" t="n">
        <v>1043</v>
      </c>
      <c r="G166" s="24" t="n">
        <v>1043</v>
      </c>
      <c r="H166" s="24">
        <f>G166-F166</f>
        <v/>
      </c>
      <c r="I166" s="8">
        <f>IF(F166=0,0,G166/F166-1)</f>
        <v/>
      </c>
    </row>
    <row r="167">
      <c r="A167" s="6" t="inlineStr">
        <is>
          <t>1000.0000.2220.56000.040</t>
        </is>
      </c>
      <c r="B167" s="6" t="inlineStr">
        <is>
          <t>Supplies</t>
        </is>
      </c>
      <c r="C167" s="24" t="n">
        <v>268</v>
      </c>
      <c r="D167" s="24" t="n">
        <v>449</v>
      </c>
      <c r="E167" s="24" t="n">
        <v>0</v>
      </c>
      <c r="F167" s="24" t="n">
        <v>0</v>
      </c>
      <c r="G167" s="24" t="n">
        <v>0</v>
      </c>
      <c r="H167" s="24">
        <f>G167-F167</f>
        <v/>
      </c>
      <c r="I167" s="8">
        <f>IF(F167=0,0,G167/F167-1)</f>
        <v/>
      </c>
    </row>
    <row r="168">
      <c r="A168" s="6" t="inlineStr">
        <is>
          <t>1000.0000.2220.56100.040</t>
        </is>
      </c>
      <c r="B168" s="6" t="inlineStr">
        <is>
          <t>Instructional Supplies</t>
        </is>
      </c>
      <c r="C168" s="24" t="n">
        <v>0</v>
      </c>
      <c r="D168" s="24" t="n">
        <v>0</v>
      </c>
      <c r="E168" s="24" t="n">
        <v>331</v>
      </c>
      <c r="F168" s="24" t="n">
        <v>339</v>
      </c>
      <c r="G168" s="24" t="n">
        <v>339</v>
      </c>
      <c r="H168" s="24">
        <f>G168-F168</f>
        <v/>
      </c>
      <c r="I168" s="8">
        <f>IF(F168=0,0,G168/F168-1)</f>
        <v/>
      </c>
    </row>
    <row r="169">
      <c r="A169" s="6" t="inlineStr">
        <is>
          <t>1000.0000.2220.56400.040</t>
        </is>
      </c>
      <c r="B169" s="6" t="inlineStr">
        <is>
          <t>Books</t>
        </is>
      </c>
      <c r="C169" s="24" t="n">
        <v>5143</v>
      </c>
      <c r="D169" s="24" t="n">
        <v>3294</v>
      </c>
      <c r="E169" s="24" t="n">
        <v>4644</v>
      </c>
      <c r="F169" s="24" t="n">
        <v>4490</v>
      </c>
      <c r="G169" s="24" t="n">
        <v>5023</v>
      </c>
      <c r="H169" s="24">
        <f>G169-F169</f>
        <v/>
      </c>
      <c r="I169" s="8">
        <f>IF(F169=0,0,G169/F169-1)</f>
        <v/>
      </c>
    </row>
    <row r="170">
      <c r="A170" s="14" t="n"/>
      <c r="B170" s="28" t="inlineStr">
        <is>
          <t>Program 0000 Total</t>
        </is>
      </c>
      <c r="C170" s="29">
        <f>SUM(C160:C169)</f>
        <v/>
      </c>
      <c r="D170" s="29">
        <f>SUM(D160:D169)</f>
        <v/>
      </c>
      <c r="E170" s="29">
        <f>SUM(E160:E169)</f>
        <v/>
      </c>
      <c r="F170" s="29">
        <f>SUM(F160:F169)</f>
        <v/>
      </c>
      <c r="G170" s="29">
        <f>SUM(G160:G169)</f>
        <v/>
      </c>
      <c r="H170" s="29">
        <f>SUM(H160:H169)</f>
        <v/>
      </c>
      <c r="I170" s="29">
        <f>SUM(I160:I169)</f>
        <v/>
      </c>
    </row>
    <row r="171">
      <c r="A171" s="6" t="inlineStr">
        <is>
          <t>1000.0000.2230.51180.040</t>
        </is>
      </c>
      <c r="B171" s="6" t="inlineStr">
        <is>
          <t>Support Salaries</t>
        </is>
      </c>
      <c r="C171" s="24" t="n">
        <v>6305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>
        <f>G171-F171</f>
        <v/>
      </c>
      <c r="I171" s="8">
        <f>IF(F171=0,0,G171/F171-1)</f>
        <v/>
      </c>
    </row>
    <row r="172">
      <c r="A172" s="6" t="inlineStr">
        <is>
          <t>1000.0000.2230.52010.040</t>
        </is>
      </c>
      <c r="B172" s="6" t="inlineStr">
        <is>
          <t>Teacher Benefits</t>
        </is>
      </c>
      <c r="C172" s="24" t="n">
        <v>0</v>
      </c>
      <c r="D172" s="24" t="n">
        <v>0</v>
      </c>
      <c r="E172" s="24" t="n">
        <v>5658</v>
      </c>
      <c r="F172" s="24" t="n">
        <v>0</v>
      </c>
      <c r="G172" s="24" t="n">
        <v>0</v>
      </c>
      <c r="H172" s="24">
        <f>G172-F172</f>
        <v/>
      </c>
      <c r="I172" s="8">
        <f>IF(F172=0,0,G172/F172-1)</f>
        <v/>
      </c>
    </row>
    <row r="173">
      <c r="A173" s="6" t="inlineStr">
        <is>
          <t>1000.0000.2230.52080.040</t>
        </is>
      </c>
      <c r="B173" s="6" t="inlineStr">
        <is>
          <t>Support Benefits</t>
        </is>
      </c>
      <c r="C173" s="24" t="n">
        <v>1899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>
        <f>G173-F173</f>
        <v/>
      </c>
      <c r="I173" s="8">
        <f>IF(F173=0,0,G173/F173-1)</f>
        <v/>
      </c>
    </row>
    <row r="174">
      <c r="A174" s="6" t="inlineStr">
        <is>
          <t>1000.0000.2230.54320.040</t>
        </is>
      </c>
      <c r="B174" s="6" t="inlineStr">
        <is>
          <t>Tech Repairs/Maint</t>
        </is>
      </c>
      <c r="C174" s="24" t="n">
        <v>1211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>
        <f>G174-F174</f>
        <v/>
      </c>
      <c r="I174" s="8">
        <f>IF(F174=0,0,G174/F174-1)</f>
        <v/>
      </c>
    </row>
    <row r="175">
      <c r="A175" s="6" t="inlineStr">
        <is>
          <t>1000.0000.2230.56500.040</t>
        </is>
      </c>
      <c r="B175" s="6" t="inlineStr">
        <is>
          <t>Supplies</t>
        </is>
      </c>
      <c r="C175" s="24" t="n">
        <v>1124</v>
      </c>
      <c r="D175" s="24" t="n">
        <v>74</v>
      </c>
      <c r="E175" s="24" t="n">
        <v>0</v>
      </c>
      <c r="F175" s="24" t="n">
        <v>0</v>
      </c>
      <c r="G175" s="24" t="n">
        <v>0</v>
      </c>
      <c r="H175" s="24">
        <f>G175-F175</f>
        <v/>
      </c>
      <c r="I175" s="8">
        <f>IF(F175=0,0,G175/F175-1)</f>
        <v/>
      </c>
    </row>
    <row r="176">
      <c r="A176" s="14" t="n"/>
      <c r="B176" s="28" t="inlineStr">
        <is>
          <t>Program 0000 Total</t>
        </is>
      </c>
      <c r="C176" s="29">
        <f>SUM(C171:C175)</f>
        <v/>
      </c>
      <c r="D176" s="29">
        <f>SUM(D171:D175)</f>
        <v/>
      </c>
      <c r="E176" s="29">
        <f>SUM(E171:E175)</f>
        <v/>
      </c>
      <c r="F176" s="29">
        <f>SUM(F171:F175)</f>
        <v/>
      </c>
      <c r="G176" s="29">
        <f>SUM(G171:G175)</f>
        <v/>
      </c>
      <c r="H176" s="29">
        <f>SUM(H171:H175)</f>
        <v/>
      </c>
      <c r="I176" s="29">
        <f>SUM(I171:I175)</f>
        <v/>
      </c>
    </row>
    <row r="177">
      <c r="A177" s="14" t="n"/>
      <c r="B177" s="17" t="inlineStr">
        <is>
          <t>Cost Center ('040',) Total</t>
        </is>
      </c>
      <c r="C177" s="32">
        <f>C148+C155+C159+C170+C176</f>
        <v/>
      </c>
      <c r="D177" s="32">
        <f>D148+D155+D159+D170+D176</f>
        <v/>
      </c>
      <c r="E177" s="32">
        <f>E148+E155+E159+E170+E176</f>
        <v/>
      </c>
      <c r="F177" s="32">
        <f>F148+F155+F159+F170+F176</f>
        <v/>
      </c>
      <c r="G177" s="32">
        <f>G148+G155+G159+G170+G176</f>
        <v/>
      </c>
      <c r="H177" s="32">
        <f>H148+H155+H159+H170+H176</f>
        <v/>
      </c>
      <c r="I177" s="32">
        <f>I148+I155+I159+I170+I176</f>
        <v/>
      </c>
    </row>
    <row r="179">
      <c r="A179" s="3" t="inlineStr">
        <is>
          <t>Cost Center: ('050',)</t>
        </is>
      </c>
    </row>
    <row r="180">
      <c r="A180" s="6" t="inlineStr">
        <is>
          <t>1000.0000.2120.51010.050</t>
        </is>
      </c>
      <c r="B180" s="6" t="inlineStr">
        <is>
          <t>Guidance Salaries</t>
        </is>
      </c>
      <c r="C180" s="24" t="n">
        <v>75354</v>
      </c>
      <c r="D180" s="24" t="n">
        <v>74875</v>
      </c>
      <c r="E180" s="24" t="n">
        <v>80748</v>
      </c>
      <c r="F180" s="24" t="n">
        <v>81352</v>
      </c>
      <c r="G180" s="24" t="n">
        <v>86026</v>
      </c>
      <c r="H180" s="24">
        <f>G180-F180</f>
        <v/>
      </c>
      <c r="I180" s="8">
        <f>IF(F180=0,0,G180/F180-1)</f>
        <v/>
      </c>
    </row>
    <row r="181">
      <c r="A181" s="6" t="inlineStr">
        <is>
          <t>1000.0000.2120.52010.050</t>
        </is>
      </c>
      <c r="B181" s="6" t="inlineStr">
        <is>
          <t>Benefits</t>
        </is>
      </c>
      <c r="C181" s="24" t="n">
        <v>21635</v>
      </c>
      <c r="D181" s="24" t="n">
        <v>21594</v>
      </c>
      <c r="E181" s="24" t="n">
        <v>4677</v>
      </c>
      <c r="F181" s="24" t="n">
        <v>21616</v>
      </c>
      <c r="G181" s="24" t="n">
        <v>22202</v>
      </c>
      <c r="H181" s="24">
        <f>G181-F181</f>
        <v/>
      </c>
      <c r="I181" s="8">
        <f>IF(F181=0,0,G181/F181-1)</f>
        <v/>
      </c>
    </row>
    <row r="182">
      <c r="A182" s="6" t="inlineStr">
        <is>
          <t>1000.0000.2120.52310.050</t>
        </is>
      </c>
      <c r="B182" s="6" t="inlineStr">
        <is>
          <t>Retirement</t>
        </is>
      </c>
      <c r="C182" s="24" t="n">
        <v>3226</v>
      </c>
      <c r="D182" s="24" t="n">
        <v>3266</v>
      </c>
      <c r="E182" s="24" t="n">
        <v>783</v>
      </c>
      <c r="F182" s="24" t="n">
        <v>3384</v>
      </c>
      <c r="G182" s="24" t="n">
        <v>3578</v>
      </c>
      <c r="H182" s="24">
        <f>G182-F182</f>
        <v/>
      </c>
      <c r="I182" s="8">
        <f>IF(F182=0,0,G182/F182-1)</f>
        <v/>
      </c>
    </row>
    <row r="183">
      <c r="A183" s="6" t="inlineStr">
        <is>
          <t>1000.0000.2120.53000.050</t>
        </is>
      </c>
      <c r="B183" s="6" t="inlineStr">
        <is>
          <t>Purchased Professional</t>
        </is>
      </c>
      <c r="C183" s="24" t="n">
        <v>0</v>
      </c>
      <c r="D183" s="24" t="n">
        <v>0</v>
      </c>
      <c r="E183" s="24" t="n">
        <v>0</v>
      </c>
      <c r="F183" s="24" t="n">
        <v>0</v>
      </c>
      <c r="G183" s="24" t="n">
        <v>300</v>
      </c>
      <c r="H183" s="24">
        <f>G183-F183</f>
        <v/>
      </c>
      <c r="I183" s="8">
        <f>IF(F183=0,0,G183/F183-1)</f>
        <v/>
      </c>
    </row>
    <row r="184">
      <c r="A184" s="6" t="inlineStr">
        <is>
          <t>1000.0000.2120.54330.050</t>
        </is>
      </c>
      <c r="B184" s="6" t="inlineStr">
        <is>
          <t>Software</t>
        </is>
      </c>
      <c r="C184" s="24" t="n">
        <v>0</v>
      </c>
      <c r="D184" s="24" t="n">
        <v>0</v>
      </c>
      <c r="E184" s="24" t="n">
        <v>0</v>
      </c>
      <c r="F184" s="24" t="n">
        <v>334</v>
      </c>
      <c r="G184" s="24" t="n">
        <v>334</v>
      </c>
      <c r="H184" s="24">
        <f>G184-F184</f>
        <v/>
      </c>
      <c r="I184" s="8">
        <f>IF(F184=0,0,G184/F184-1)</f>
        <v/>
      </c>
    </row>
    <row r="185">
      <c r="A185" s="6" t="inlineStr">
        <is>
          <t>1000.0000.2120.56100.050</t>
        </is>
      </c>
      <c r="B185" s="6" t="inlineStr">
        <is>
          <t>Instructional Supplies</t>
        </is>
      </c>
      <c r="C185" s="24" t="n">
        <v>336</v>
      </c>
      <c r="D185" s="24" t="n">
        <v>123</v>
      </c>
      <c r="E185" s="24" t="n">
        <v>269</v>
      </c>
      <c r="F185" s="24" t="n">
        <v>709</v>
      </c>
      <c r="G185" s="24" t="n">
        <v>709</v>
      </c>
      <c r="H185" s="24">
        <f>G185-F185</f>
        <v/>
      </c>
      <c r="I185" s="8">
        <f>IF(F185=0,0,G185/F185-1)</f>
        <v/>
      </c>
    </row>
    <row r="186">
      <c r="A186" s="6" t="inlineStr">
        <is>
          <t>1000.0000.2120.57300.050</t>
        </is>
      </c>
      <c r="B186" s="6" t="inlineStr">
        <is>
          <t>Equipment</t>
        </is>
      </c>
      <c r="C186" s="24" t="n">
        <v>0</v>
      </c>
      <c r="D186" s="24" t="n">
        <v>0</v>
      </c>
      <c r="E186" s="24" t="n">
        <v>0</v>
      </c>
      <c r="F186" s="24" t="n">
        <v>500</v>
      </c>
      <c r="G186" s="24" t="n">
        <v>500</v>
      </c>
      <c r="H186" s="24">
        <f>G186-F186</f>
        <v/>
      </c>
      <c r="I186" s="8">
        <f>IF(F186=0,0,G186/F186-1)</f>
        <v/>
      </c>
    </row>
    <row r="187">
      <c r="A187" s="14" t="n"/>
      <c r="B187" s="28" t="inlineStr">
        <is>
          <t>Program 0000 Total</t>
        </is>
      </c>
      <c r="C187" s="29">
        <f>SUM(C180:C186)</f>
        <v/>
      </c>
      <c r="D187" s="29">
        <f>SUM(D180:D186)</f>
        <v/>
      </c>
      <c r="E187" s="29">
        <f>SUM(E180:E186)</f>
        <v/>
      </c>
      <c r="F187" s="29">
        <f>SUM(F180:F186)</f>
        <v/>
      </c>
      <c r="G187" s="29">
        <f>SUM(G180:G186)</f>
        <v/>
      </c>
      <c r="H187" s="29">
        <f>SUM(H180:H186)</f>
        <v/>
      </c>
      <c r="I187" s="29">
        <f>SUM(I180:I186)</f>
        <v/>
      </c>
    </row>
    <row r="188">
      <c r="A188" s="6" t="inlineStr">
        <is>
          <t>1000.0000.2130.51010.050</t>
        </is>
      </c>
      <c r="B188" s="6" t="inlineStr">
        <is>
          <t>Nurse Salary</t>
        </is>
      </c>
      <c r="C188" s="24" t="n">
        <v>44320</v>
      </c>
      <c r="D188" s="24" t="n">
        <v>39687</v>
      </c>
      <c r="E188" s="24" t="n">
        <v>59982</v>
      </c>
      <c r="F188" s="24" t="n">
        <v>71414</v>
      </c>
      <c r="G188" s="24" t="n">
        <v>72067</v>
      </c>
      <c r="H188" s="24">
        <f>G188-F188</f>
        <v/>
      </c>
      <c r="I188" s="8">
        <f>IF(F188=0,0,G188/F188-1)</f>
        <v/>
      </c>
    </row>
    <row r="189">
      <c r="A189" s="6" t="inlineStr">
        <is>
          <t>1000.0000.2130.52010.050</t>
        </is>
      </c>
      <c r="B189" s="6" t="inlineStr">
        <is>
          <t>Nurse Benefits</t>
        </is>
      </c>
      <c r="C189" s="24" t="n">
        <v>14496</v>
      </c>
      <c r="D189" s="24" t="n">
        <v>12360</v>
      </c>
      <c r="E189" s="24" t="n">
        <v>2770</v>
      </c>
      <c r="F189" s="24" t="n">
        <v>13120</v>
      </c>
      <c r="G189" s="24" t="n">
        <v>5121</v>
      </c>
      <c r="H189" s="24">
        <f>G189-F189</f>
        <v/>
      </c>
      <c r="I189" s="8">
        <f>IF(F189=0,0,G189/F189-1)</f>
        <v/>
      </c>
    </row>
    <row r="190">
      <c r="A190" s="6" t="inlineStr">
        <is>
          <t>1000.0000.2130.52310.050</t>
        </is>
      </c>
      <c r="B190" s="6" t="inlineStr">
        <is>
          <t>Retirement</t>
        </is>
      </c>
      <c r="C190" s="24" t="n">
        <v>1772</v>
      </c>
      <c r="D190" s="24" t="n">
        <v>1651</v>
      </c>
      <c r="E190" s="24" t="n">
        <v>389</v>
      </c>
      <c r="F190" s="24" t="n">
        <v>2971</v>
      </c>
      <c r="G190" s="24" t="n">
        <v>2998</v>
      </c>
      <c r="H190" s="24">
        <f>G190-F190</f>
        <v/>
      </c>
      <c r="I190" s="8">
        <f>IF(F190=0,0,G190/F190-1)</f>
        <v/>
      </c>
    </row>
    <row r="191">
      <c r="A191" s="6" t="inlineStr">
        <is>
          <t>1000.0000.2130.53000.050</t>
        </is>
      </c>
      <c r="B191" s="6" t="inlineStr">
        <is>
          <t>Purchased Professional</t>
        </is>
      </c>
      <c r="C191" s="24" t="n">
        <v>2019</v>
      </c>
      <c r="D191" s="24" t="n">
        <v>88</v>
      </c>
      <c r="E191" s="24" t="n">
        <v>270</v>
      </c>
      <c r="F191" s="24" t="n">
        <v>200</v>
      </c>
      <c r="G191" s="24" t="n">
        <v>300</v>
      </c>
      <c r="H191" s="24">
        <f>G191-F191</f>
        <v/>
      </c>
      <c r="I191" s="8">
        <f>IF(F191=0,0,G191/F191-1)</f>
        <v/>
      </c>
    </row>
    <row r="192">
      <c r="A192" s="6" t="inlineStr">
        <is>
          <t>1000.0000.2130.54310.050</t>
        </is>
      </c>
      <c r="B192" s="6" t="inlineStr">
        <is>
          <t>Repairs &amp; Maintenance</t>
        </is>
      </c>
      <c r="C192" s="24" t="n">
        <v>135</v>
      </c>
      <c r="D192" s="24" t="n">
        <v>132</v>
      </c>
      <c r="E192" s="24" t="n">
        <v>0</v>
      </c>
      <c r="F192" s="24" t="n">
        <v>135</v>
      </c>
      <c r="G192" s="24" t="n">
        <v>135</v>
      </c>
      <c r="H192" s="24">
        <f>G192-F192</f>
        <v/>
      </c>
      <c r="I192" s="8">
        <f>IF(F192=0,0,G192/F192-1)</f>
        <v/>
      </c>
    </row>
    <row r="193">
      <c r="A193" s="6" t="inlineStr">
        <is>
          <t>1000.0000.2130.56000.050</t>
        </is>
      </c>
      <c r="B193" s="6" t="inlineStr">
        <is>
          <t>Supplies</t>
        </is>
      </c>
      <c r="C193" s="24" t="n">
        <v>964</v>
      </c>
      <c r="D193" s="24" t="n">
        <v>897</v>
      </c>
      <c r="E193" s="24" t="n">
        <v>839</v>
      </c>
      <c r="F193" s="24" t="n">
        <v>791</v>
      </c>
      <c r="G193" s="24" t="n">
        <v>747</v>
      </c>
      <c r="H193" s="24">
        <f>G193-F193</f>
        <v/>
      </c>
      <c r="I193" s="8">
        <f>IF(F193=0,0,G193/F193-1)</f>
        <v/>
      </c>
    </row>
    <row r="194">
      <c r="A194" s="14" t="n"/>
      <c r="B194" s="28" t="inlineStr">
        <is>
          <t>Program 0000 Total</t>
        </is>
      </c>
      <c r="C194" s="29">
        <f>SUM(C188:C193)</f>
        <v/>
      </c>
      <c r="D194" s="29">
        <f>SUM(D188:D193)</f>
        <v/>
      </c>
      <c r="E194" s="29">
        <f>SUM(E188:E193)</f>
        <v/>
      </c>
      <c r="F194" s="29">
        <f>SUM(F188:F193)</f>
        <v/>
      </c>
      <c r="G194" s="29">
        <f>SUM(G188:G193)</f>
        <v/>
      </c>
      <c r="H194" s="29">
        <f>SUM(H188:H193)</f>
        <v/>
      </c>
      <c r="I194" s="29">
        <f>SUM(I188:I193)</f>
        <v/>
      </c>
    </row>
    <row r="195">
      <c r="A195" s="6" t="inlineStr">
        <is>
          <t>1000.0000.2213.51500.050</t>
        </is>
      </c>
      <c r="B195" s="6" t="inlineStr">
        <is>
          <t>Stipends - FMS</t>
        </is>
      </c>
      <c r="C195" s="24" t="n">
        <v>0</v>
      </c>
      <c r="D195" s="24" t="n">
        <v>0</v>
      </c>
      <c r="E195" s="24" t="n">
        <v>0</v>
      </c>
      <c r="F195" s="24" t="n">
        <v>19212</v>
      </c>
      <c r="G195" s="24" t="n">
        <v>19700</v>
      </c>
      <c r="H195" s="24">
        <f>G195-F195</f>
        <v/>
      </c>
      <c r="I195" s="8">
        <f>IF(F195=0,0,G195/F195-1)</f>
        <v/>
      </c>
    </row>
    <row r="196">
      <c r="A196" s="6" t="inlineStr">
        <is>
          <t>1000.0000.2213.52000.050</t>
        </is>
      </c>
      <c r="B196" s="6" t="inlineStr">
        <is>
          <t>Stipend Benefits - FMS</t>
        </is>
      </c>
      <c r="C196" s="24" t="n">
        <v>0</v>
      </c>
      <c r="D196" s="24" t="n">
        <v>0</v>
      </c>
      <c r="E196" s="24" t="n">
        <v>0</v>
      </c>
      <c r="F196" s="24" t="n">
        <v>317</v>
      </c>
      <c r="G196" s="24" t="n">
        <v>0</v>
      </c>
      <c r="H196" s="24">
        <f>G196-F196</f>
        <v/>
      </c>
      <c r="I196" s="8">
        <f>IF(F196=0,0,G196/F196-1)</f>
        <v/>
      </c>
    </row>
    <row r="197">
      <c r="A197" s="6" t="inlineStr">
        <is>
          <t>1000.0000.2213.52300.050</t>
        </is>
      </c>
      <c r="B197" s="6" t="inlineStr">
        <is>
          <t>Stipend Retirement - FMS</t>
        </is>
      </c>
      <c r="C197" s="24" t="n">
        <v>0</v>
      </c>
      <c r="D197" s="24" t="n">
        <v>0</v>
      </c>
      <c r="E197" s="24" t="n">
        <v>0</v>
      </c>
      <c r="F197" s="24" t="n">
        <v>799</v>
      </c>
      <c r="G197" s="24" t="n">
        <v>0</v>
      </c>
      <c r="H197" s="24">
        <f>G197-F197</f>
        <v/>
      </c>
      <c r="I197" s="8">
        <f>IF(F197=0,0,G197/F197-1)</f>
        <v/>
      </c>
    </row>
    <row r="198">
      <c r="A198" s="14" t="n"/>
      <c r="B198" s="28" t="inlineStr">
        <is>
          <t>Program 0000 Total</t>
        </is>
      </c>
      <c r="C198" s="29">
        <f>SUM(C195:C197)</f>
        <v/>
      </c>
      <c r="D198" s="29">
        <f>SUM(D195:D197)</f>
        <v/>
      </c>
      <c r="E198" s="29">
        <f>SUM(E195:E197)</f>
        <v/>
      </c>
      <c r="F198" s="29">
        <f>SUM(F195:F197)</f>
        <v/>
      </c>
      <c r="G198" s="29">
        <f>SUM(G195:G197)</f>
        <v/>
      </c>
      <c r="H198" s="29">
        <f>SUM(H195:H197)</f>
        <v/>
      </c>
      <c r="I198" s="29">
        <f>SUM(I195:I197)</f>
        <v/>
      </c>
    </row>
    <row r="199">
      <c r="A199" s="6" t="inlineStr">
        <is>
          <t>1000.0000.2220.51010.050</t>
        </is>
      </c>
      <c r="B199" s="6" t="inlineStr">
        <is>
          <t>Librarian Salaries</t>
        </is>
      </c>
      <c r="C199" s="24" t="n">
        <v>64433</v>
      </c>
      <c r="D199" s="24" t="n">
        <v>66385</v>
      </c>
      <c r="E199" s="24" t="n">
        <v>72429</v>
      </c>
      <c r="F199" s="24" t="n">
        <v>72168</v>
      </c>
      <c r="G199" s="24" t="n">
        <v>75636</v>
      </c>
      <c r="H199" s="24">
        <f>G199-F199</f>
        <v/>
      </c>
      <c r="I199" s="8">
        <f>IF(F199=0,0,G199/F199-1)</f>
        <v/>
      </c>
    </row>
    <row r="200">
      <c r="A200" s="6" t="inlineStr">
        <is>
          <t>1000.0000.2220.51020.050</t>
        </is>
      </c>
      <c r="B200" s="6" t="inlineStr">
        <is>
          <t>Ed Tech Salaries</t>
        </is>
      </c>
      <c r="C200" s="24" t="n">
        <v>0</v>
      </c>
      <c r="D200" s="24" t="n">
        <v>0</v>
      </c>
      <c r="E200" s="24" t="n">
        <v>1240</v>
      </c>
      <c r="F200" s="24" t="n">
        <v>0</v>
      </c>
      <c r="G200" s="24" t="n">
        <v>0</v>
      </c>
      <c r="H200" s="24">
        <f>G200-F200</f>
        <v/>
      </c>
      <c r="I200" s="8">
        <f>IF(F200=0,0,G200/F200-1)</f>
        <v/>
      </c>
    </row>
    <row r="201">
      <c r="A201" s="6" t="inlineStr">
        <is>
          <t>1000.0000.2220.52010.050</t>
        </is>
      </c>
      <c r="B201" s="6" t="inlineStr">
        <is>
          <t>Librarian Benefits</t>
        </is>
      </c>
      <c r="C201" s="24" t="n">
        <v>21499</v>
      </c>
      <c r="D201" s="24" t="n">
        <v>21476</v>
      </c>
      <c r="E201" s="24" t="n">
        <v>4837</v>
      </c>
      <c r="F201" s="24" t="n">
        <v>21447</v>
      </c>
      <c r="G201" s="24" t="n">
        <v>23960</v>
      </c>
      <c r="H201" s="24">
        <f>G201-F201</f>
        <v/>
      </c>
      <c r="I201" s="8">
        <f>IF(F201=0,0,G201/F201-1)</f>
        <v/>
      </c>
    </row>
    <row r="202">
      <c r="A202" s="6" t="inlineStr">
        <is>
          <t>1000.0000.2220.52310.050</t>
        </is>
      </c>
      <c r="B202" s="6" t="inlineStr">
        <is>
          <t>Retirement</t>
        </is>
      </c>
      <c r="C202" s="24" t="n">
        <v>2902</v>
      </c>
      <c r="D202" s="24" t="n">
        <v>3116</v>
      </c>
      <c r="E202" s="24" t="n">
        <v>733</v>
      </c>
      <c r="F202" s="24" t="n">
        <v>3002</v>
      </c>
      <c r="G202" s="24" t="n">
        <v>3146</v>
      </c>
      <c r="H202" s="24">
        <f>G202-F202</f>
        <v/>
      </c>
      <c r="I202" s="8">
        <f>IF(F202=0,0,G202/F202-1)</f>
        <v/>
      </c>
    </row>
    <row r="203">
      <c r="A203" s="6" t="inlineStr">
        <is>
          <t>1000.0000.2220.54330.050</t>
        </is>
      </c>
      <c r="B203" s="6" t="inlineStr">
        <is>
          <t>Software</t>
        </is>
      </c>
      <c r="C203" s="24" t="n">
        <v>1294</v>
      </c>
      <c r="D203" s="24" t="n">
        <v>1043</v>
      </c>
      <c r="E203" s="24" t="n">
        <v>1043</v>
      </c>
      <c r="F203" s="24" t="n">
        <v>1043</v>
      </c>
      <c r="G203" s="24" t="n">
        <v>1043</v>
      </c>
      <c r="H203" s="24">
        <f>G203-F203</f>
        <v/>
      </c>
      <c r="I203" s="8">
        <f>IF(F203=0,0,G203/F203-1)</f>
        <v/>
      </c>
    </row>
    <row r="204">
      <c r="A204" s="6" t="inlineStr">
        <is>
          <t>1000.0000.2220.56000.050</t>
        </is>
      </c>
      <c r="B204" s="6" t="inlineStr">
        <is>
          <t>Supplies</t>
        </is>
      </c>
      <c r="C204" s="24" t="n">
        <v>499</v>
      </c>
      <c r="D204" s="24" t="n">
        <v>153</v>
      </c>
      <c r="E204" s="24" t="n">
        <v>486</v>
      </c>
      <c r="F204" s="24" t="n">
        <v>709</v>
      </c>
      <c r="G204" s="24" t="n">
        <v>500</v>
      </c>
      <c r="H204" s="24">
        <f>G204-F204</f>
        <v/>
      </c>
      <c r="I204" s="8">
        <f>IF(F204=0,0,G204/F204-1)</f>
        <v/>
      </c>
    </row>
    <row r="205">
      <c r="A205" s="6" t="inlineStr">
        <is>
          <t>1000.0000.2220.56400.050</t>
        </is>
      </c>
      <c r="B205" s="6" t="inlineStr">
        <is>
          <t>Books</t>
        </is>
      </c>
      <c r="C205" s="24" t="n">
        <v>6867</v>
      </c>
      <c r="D205" s="24" t="n">
        <v>7107</v>
      </c>
      <c r="E205" s="24" t="n">
        <v>6517</v>
      </c>
      <c r="F205" s="24" t="n">
        <v>6191</v>
      </c>
      <c r="G205" s="24" t="n">
        <v>5843</v>
      </c>
      <c r="H205" s="24">
        <f>G205-F205</f>
        <v/>
      </c>
      <c r="I205" s="8">
        <f>IF(F205=0,0,G205/F205-1)</f>
        <v/>
      </c>
    </row>
    <row r="206">
      <c r="A206" s="6" t="inlineStr">
        <is>
          <t>1000.0000.2220.57300.050</t>
        </is>
      </c>
      <c r="B206" s="6" t="inlineStr">
        <is>
          <t>Equipment</t>
        </is>
      </c>
      <c r="C206" s="24" t="n">
        <v>1189</v>
      </c>
      <c r="D206" s="24" t="n">
        <v>0</v>
      </c>
      <c r="E206" s="24" t="n">
        <v>0</v>
      </c>
      <c r="F206" s="24" t="n">
        <v>0</v>
      </c>
      <c r="G206" s="24" t="n">
        <v>0</v>
      </c>
      <c r="H206" s="24">
        <f>G206-F206</f>
        <v/>
      </c>
      <c r="I206" s="8">
        <f>IF(F206=0,0,G206/F206-1)</f>
        <v/>
      </c>
    </row>
    <row r="207">
      <c r="A207" s="14" t="n"/>
      <c r="B207" s="28" t="inlineStr">
        <is>
          <t>Program 0000 Total</t>
        </is>
      </c>
      <c r="C207" s="29">
        <f>SUM(C199:C206)</f>
        <v/>
      </c>
      <c r="D207" s="29">
        <f>SUM(D199:D206)</f>
        <v/>
      </c>
      <c r="E207" s="29">
        <f>SUM(E199:E206)</f>
        <v/>
      </c>
      <c r="F207" s="29">
        <f>SUM(F199:F206)</f>
        <v/>
      </c>
      <c r="G207" s="29">
        <f>SUM(G199:G206)</f>
        <v/>
      </c>
      <c r="H207" s="29">
        <f>SUM(H199:H206)</f>
        <v/>
      </c>
      <c r="I207" s="29">
        <f>SUM(I199:I206)</f>
        <v/>
      </c>
    </row>
    <row r="208">
      <c r="A208" s="6" t="inlineStr">
        <is>
          <t>1000.0000.2230.51010.050</t>
        </is>
      </c>
      <c r="B208" s="6" t="inlineStr">
        <is>
          <t>Teacher Salary</t>
        </is>
      </c>
      <c r="C208" s="24" t="n">
        <v>57294</v>
      </c>
      <c r="D208" s="24" t="n">
        <v>70602</v>
      </c>
      <c r="E208" s="24" t="n">
        <v>11</v>
      </c>
      <c r="F208" s="24" t="n">
        <v>0</v>
      </c>
      <c r="G208" s="24" t="n">
        <v>0</v>
      </c>
      <c r="H208" s="24">
        <f>G208-F208</f>
        <v/>
      </c>
      <c r="I208" s="8">
        <f>IF(F208=0,0,G208/F208-1)</f>
        <v/>
      </c>
    </row>
    <row r="209">
      <c r="A209" s="6" t="inlineStr">
        <is>
          <t>1000.0000.2230.51180.050</t>
        </is>
      </c>
      <c r="B209" s="6" t="inlineStr">
        <is>
          <t>Support Salaries</t>
        </is>
      </c>
      <c r="C209" s="24" t="n">
        <v>40137</v>
      </c>
      <c r="D209" s="24" t="n">
        <v>39689</v>
      </c>
      <c r="E209" s="24" t="n">
        <v>-1088</v>
      </c>
      <c r="F209" s="24" t="n">
        <v>0</v>
      </c>
      <c r="G209" s="24" t="n">
        <v>0</v>
      </c>
      <c r="H209" s="24">
        <f>G209-F209</f>
        <v/>
      </c>
      <c r="I209" s="8">
        <f>IF(F209=0,0,G209/F209-1)</f>
        <v/>
      </c>
    </row>
    <row r="210">
      <c r="A210" s="6" t="inlineStr">
        <is>
          <t>1000.0000.2230.51500.050</t>
        </is>
      </c>
      <c r="B210" s="6" t="inlineStr">
        <is>
          <t>Stipends</t>
        </is>
      </c>
      <c r="C210" s="24" t="n">
        <v>3855</v>
      </c>
      <c r="D210" s="24" t="n">
        <v>3855</v>
      </c>
      <c r="E210" s="24" t="n">
        <v>2362</v>
      </c>
      <c r="F210" s="24" t="n">
        <v>1272</v>
      </c>
      <c r="G210" s="24" t="n">
        <v>3815</v>
      </c>
      <c r="H210" s="24">
        <f>G210-F210</f>
        <v/>
      </c>
      <c r="I210" s="8">
        <f>IF(F210=0,0,G210/F210-1)</f>
        <v/>
      </c>
    </row>
    <row r="211">
      <c r="A211" s="6" t="inlineStr">
        <is>
          <t>1000.0000.2230.52000.050</t>
        </is>
      </c>
      <c r="B211" s="6" t="inlineStr">
        <is>
          <t>Stipend Benefits</t>
        </is>
      </c>
      <c r="C211" s="24" t="n">
        <v>22</v>
      </c>
      <c r="D211" s="24" t="n">
        <v>19</v>
      </c>
      <c r="E211" s="24" t="n">
        <v>2</v>
      </c>
      <c r="F211" s="24" t="n">
        <v>21</v>
      </c>
      <c r="G211" s="24" t="n">
        <v>0</v>
      </c>
      <c r="H211" s="24">
        <f>G211-F211</f>
        <v/>
      </c>
      <c r="I211" s="8">
        <f>IF(F211=0,0,G211/F211-1)</f>
        <v/>
      </c>
    </row>
    <row r="212">
      <c r="A212" s="6" t="inlineStr">
        <is>
          <t>1000.0000.2230.52010.050</t>
        </is>
      </c>
      <c r="B212" s="6" t="inlineStr">
        <is>
          <t>Teacher Benefits</t>
        </is>
      </c>
      <c r="C212" s="24" t="n">
        <v>18192</v>
      </c>
      <c r="D212" s="24" t="n">
        <v>21434</v>
      </c>
      <c r="E212" s="24" t="n">
        <v>4114</v>
      </c>
      <c r="F212" s="24" t="n">
        <v>0</v>
      </c>
      <c r="G212" s="24" t="n">
        <v>0</v>
      </c>
      <c r="H212" s="24">
        <f>G212-F212</f>
        <v/>
      </c>
      <c r="I212" s="8">
        <f>IF(F212=0,0,G212/F212-1)</f>
        <v/>
      </c>
    </row>
    <row r="213">
      <c r="A213" s="6" t="inlineStr">
        <is>
          <t>1000.0000.2230.52080.050</t>
        </is>
      </c>
      <c r="B213" s="6" t="inlineStr">
        <is>
          <t>Support Benefits</t>
        </is>
      </c>
      <c r="C213" s="24" t="n">
        <v>12050</v>
      </c>
      <c r="D213" s="24" t="n">
        <v>5687</v>
      </c>
      <c r="E213" s="24" t="n">
        <v>-47</v>
      </c>
      <c r="F213" s="24" t="n">
        <v>0</v>
      </c>
      <c r="G213" s="24" t="n">
        <v>0</v>
      </c>
      <c r="H213" s="24">
        <f>G213-F213</f>
        <v/>
      </c>
      <c r="I213" s="8">
        <f>IF(F213=0,0,G213/F213-1)</f>
        <v/>
      </c>
    </row>
    <row r="214">
      <c r="A214" s="6" t="inlineStr">
        <is>
          <t>1000.0000.2230.52300.050</t>
        </is>
      </c>
      <c r="B214" s="6" t="inlineStr">
        <is>
          <t>Retirement</t>
        </is>
      </c>
      <c r="C214" s="24" t="n">
        <v>0</v>
      </c>
      <c r="D214" s="24" t="n">
        <v>3</v>
      </c>
      <c r="E214" s="24" t="n">
        <v>0</v>
      </c>
      <c r="F214" s="24" t="n">
        <v>53</v>
      </c>
      <c r="G214" s="24" t="n">
        <v>0</v>
      </c>
      <c r="H214" s="24">
        <f>G214-F214</f>
        <v/>
      </c>
      <c r="I214" s="8">
        <f>IF(F214=0,0,G214/F214-1)</f>
        <v/>
      </c>
    </row>
    <row r="215">
      <c r="A215" s="6" t="inlineStr">
        <is>
          <t>1000.0000.2230.52310.050</t>
        </is>
      </c>
      <c r="B215" s="6" t="inlineStr">
        <is>
          <t>Retirement</t>
        </is>
      </c>
      <c r="C215" s="24" t="n">
        <v>2294</v>
      </c>
      <c r="D215" s="24" t="n">
        <v>2937</v>
      </c>
      <c r="E215" s="24" t="n">
        <v>351</v>
      </c>
      <c r="F215" s="24" t="n">
        <v>0</v>
      </c>
      <c r="G215" s="24" t="n">
        <v>0</v>
      </c>
      <c r="H215" s="24">
        <f>G215-F215</f>
        <v/>
      </c>
      <c r="I215" s="8">
        <f>IF(F215=0,0,G215/F215-1)</f>
        <v/>
      </c>
    </row>
    <row r="216">
      <c r="A216" s="6" t="inlineStr">
        <is>
          <t>1000.0000.2230.54320.050</t>
        </is>
      </c>
      <c r="B216" s="6" t="inlineStr">
        <is>
          <t>Tech Repairs/Maint</t>
        </is>
      </c>
      <c r="C216" s="24" t="n">
        <v>1211</v>
      </c>
      <c r="D216" s="24" t="n">
        <v>475</v>
      </c>
      <c r="E216" s="24" t="n">
        <v>0</v>
      </c>
      <c r="F216" s="24" t="n">
        <v>0</v>
      </c>
      <c r="G216" s="24" t="n">
        <v>0</v>
      </c>
      <c r="H216" s="24">
        <f>G216-F216</f>
        <v/>
      </c>
      <c r="I216" s="8">
        <f>IF(F216=0,0,G216/F216-1)</f>
        <v/>
      </c>
    </row>
    <row r="217">
      <c r="A217" s="6" t="inlineStr">
        <is>
          <t>1000.0000.2230.56500.050</t>
        </is>
      </c>
      <c r="B217" s="6" t="inlineStr">
        <is>
          <t>Supplies</t>
        </is>
      </c>
      <c r="C217" s="24" t="n">
        <v>0</v>
      </c>
      <c r="D217" s="24" t="n">
        <v>0</v>
      </c>
      <c r="E217" s="24" t="n">
        <v>6686</v>
      </c>
      <c r="F217" s="24" t="n">
        <v>200</v>
      </c>
      <c r="G217" s="24" t="n">
        <v>0</v>
      </c>
      <c r="H217" s="24">
        <f>G217-F217</f>
        <v/>
      </c>
      <c r="I217" s="8">
        <f>IF(F217=0,0,G217/F217-1)</f>
        <v/>
      </c>
    </row>
    <row r="218">
      <c r="A218" s="14" t="n"/>
      <c r="B218" s="28" t="inlineStr">
        <is>
          <t>Program 0000 Total</t>
        </is>
      </c>
      <c r="C218" s="29">
        <f>SUM(C208:C217)</f>
        <v/>
      </c>
      <c r="D218" s="29">
        <f>SUM(D208:D217)</f>
        <v/>
      </c>
      <c r="E218" s="29">
        <f>SUM(E208:E217)</f>
        <v/>
      </c>
      <c r="F218" s="29">
        <f>SUM(F208:F217)</f>
        <v/>
      </c>
      <c r="G218" s="29">
        <f>SUM(G208:G217)</f>
        <v/>
      </c>
      <c r="H218" s="29">
        <f>SUM(H208:H217)</f>
        <v/>
      </c>
      <c r="I218" s="29">
        <f>SUM(I208:I217)</f>
        <v/>
      </c>
    </row>
    <row r="219">
      <c r="A219" s="14" t="n"/>
      <c r="B219" s="17" t="inlineStr">
        <is>
          <t>Cost Center ('050',) Total</t>
        </is>
      </c>
      <c r="C219" s="32">
        <f>C187+C194+C198+C207+C218</f>
        <v/>
      </c>
      <c r="D219" s="32">
        <f>D187+D194+D198+D207+D218</f>
        <v/>
      </c>
      <c r="E219" s="32">
        <f>E187+E194+E198+E207+E218</f>
        <v/>
      </c>
      <c r="F219" s="32">
        <f>F187+F194+F198+F207+F218</f>
        <v/>
      </c>
      <c r="G219" s="32">
        <f>G187+G194+G198+G207+G218</f>
        <v/>
      </c>
      <c r="H219" s="32">
        <f>H187+H194+H198+H207+H218</f>
        <v/>
      </c>
      <c r="I219" s="32">
        <f>I187+I194+I198+I207+I218</f>
        <v/>
      </c>
    </row>
    <row r="221">
      <c r="A221" s="3" t="inlineStr">
        <is>
          <t>Cost Center: ('300',)</t>
        </is>
      </c>
    </row>
    <row r="222">
      <c r="A222" s="6" t="inlineStr">
        <is>
          <t>1000.0000.2110.51010.300</t>
        </is>
      </c>
      <c r="B222" s="6" t="inlineStr">
        <is>
          <t>Teachers Salaries</t>
        </is>
      </c>
      <c r="C222" s="24" t="n">
        <v>0</v>
      </c>
      <c r="D222" s="24" t="n">
        <v>0</v>
      </c>
      <c r="E222" s="24" t="n">
        <v>21703</v>
      </c>
      <c r="F222" s="24" t="n">
        <v>0</v>
      </c>
      <c r="G222" s="24" t="n">
        <v>0</v>
      </c>
      <c r="H222" s="24">
        <f>G222-F222</f>
        <v/>
      </c>
      <c r="I222" s="8">
        <f>IF(F222=0,0,G222/F222-1)</f>
        <v/>
      </c>
    </row>
    <row r="223">
      <c r="A223" s="6" t="inlineStr">
        <is>
          <t>1000.0000.2110.52010.300</t>
        </is>
      </c>
      <c r="B223" s="6" t="inlineStr">
        <is>
          <t>Teacher Benefits</t>
        </is>
      </c>
      <c r="C223" s="24" t="n">
        <v>0</v>
      </c>
      <c r="D223" s="24" t="n">
        <v>0</v>
      </c>
      <c r="E223" s="24" t="n">
        <v>53</v>
      </c>
      <c r="F223" s="24" t="n">
        <v>0</v>
      </c>
      <c r="G223" s="24" t="n">
        <v>0</v>
      </c>
      <c r="H223" s="24">
        <f>G223-F223</f>
        <v/>
      </c>
      <c r="I223" s="8">
        <f>IF(F223=0,0,G223/F223-1)</f>
        <v/>
      </c>
    </row>
    <row r="224">
      <c r="A224" s="6" t="inlineStr">
        <is>
          <t>1000.0000.2110.52310.300</t>
        </is>
      </c>
      <c r="B224" s="6" t="inlineStr">
        <is>
          <t>Retirement</t>
        </is>
      </c>
      <c r="C224" s="24" t="n">
        <v>0</v>
      </c>
      <c r="D224" s="24" t="n">
        <v>0</v>
      </c>
      <c r="E224" s="24" t="n">
        <v>233</v>
      </c>
      <c r="F224" s="24" t="n">
        <v>0</v>
      </c>
      <c r="G224" s="24" t="n">
        <v>0</v>
      </c>
      <c r="H224" s="24">
        <f>G224-F224</f>
        <v/>
      </c>
      <c r="I224" s="8">
        <f>IF(F224=0,0,G224/F224-1)</f>
        <v/>
      </c>
    </row>
    <row r="225">
      <c r="A225" s="14" t="n"/>
      <c r="B225" s="28" t="inlineStr">
        <is>
          <t>Program 0000 Total</t>
        </is>
      </c>
      <c r="C225" s="29">
        <f>SUM(C222:C224)</f>
        <v/>
      </c>
      <c r="D225" s="29">
        <f>SUM(D222:D224)</f>
        <v/>
      </c>
      <c r="E225" s="29">
        <f>SUM(E222:E224)</f>
        <v/>
      </c>
      <c r="F225" s="29">
        <f>SUM(F222:F224)</f>
        <v/>
      </c>
      <c r="G225" s="29">
        <f>SUM(G222:G224)</f>
        <v/>
      </c>
      <c r="H225" s="29">
        <f>SUM(H222:H224)</f>
        <v/>
      </c>
      <c r="I225" s="29">
        <f>SUM(I222:I224)</f>
        <v/>
      </c>
    </row>
    <row r="226">
      <c r="A226" s="6" t="inlineStr">
        <is>
          <t>1000.0000.2120.51010.300</t>
        </is>
      </c>
      <c r="B226" s="6" t="inlineStr">
        <is>
          <t>Counselor Salaries</t>
        </is>
      </c>
      <c r="C226" s="24" t="n">
        <v>227767</v>
      </c>
      <c r="D226" s="24" t="n">
        <v>235416</v>
      </c>
      <c r="E226" s="24" t="n">
        <v>257571</v>
      </c>
      <c r="F226" s="24" t="n">
        <v>263356</v>
      </c>
      <c r="G226" s="24" t="n">
        <v>296319</v>
      </c>
      <c r="H226" s="24">
        <f>G226-F226</f>
        <v/>
      </c>
      <c r="I226" s="8">
        <f>IF(F226=0,0,G226/F226-1)</f>
        <v/>
      </c>
    </row>
    <row r="227">
      <c r="A227" s="6" t="inlineStr">
        <is>
          <t>1000.0000.2120.51180.300</t>
        </is>
      </c>
      <c r="B227" s="6" t="inlineStr">
        <is>
          <t>Guidance Support Wages</t>
        </is>
      </c>
      <c r="C227" s="24" t="n">
        <v>41478</v>
      </c>
      <c r="D227" s="24" t="n">
        <v>25240</v>
      </c>
      <c r="E227" s="24" t="n">
        <v>33802</v>
      </c>
      <c r="F227" s="24" t="n">
        <v>75823</v>
      </c>
      <c r="G227" s="24" t="n">
        <v>53801</v>
      </c>
      <c r="H227" s="24">
        <f>G227-F227</f>
        <v/>
      </c>
      <c r="I227" s="8">
        <f>IF(F227=0,0,G227/F227-1)</f>
        <v/>
      </c>
    </row>
    <row r="228">
      <c r="A228" s="6" t="inlineStr">
        <is>
          <t>1000.0000.2120.52010.300</t>
        </is>
      </c>
      <c r="B228" s="6" t="inlineStr">
        <is>
          <t>Counselor Benefits</t>
        </is>
      </c>
      <c r="C228" s="24" t="n">
        <v>43923</v>
      </c>
      <c r="D228" s="24" t="n">
        <v>60221</v>
      </c>
      <c r="E228" s="24" t="n">
        <v>14326</v>
      </c>
      <c r="F228" s="24" t="n">
        <v>63970</v>
      </c>
      <c r="G228" s="24" t="n">
        <v>81925</v>
      </c>
      <c r="H228" s="24">
        <f>G228-F228</f>
        <v/>
      </c>
      <c r="I228" s="8">
        <f>IF(F228=0,0,G228/F228-1)</f>
        <v/>
      </c>
    </row>
    <row r="229">
      <c r="A229" s="6" t="inlineStr">
        <is>
          <t>1000.0000.2120.52080.300</t>
        </is>
      </c>
      <c r="B229" s="6" t="inlineStr">
        <is>
          <t>Support Benefits</t>
        </is>
      </c>
      <c r="C229" s="24" t="n">
        <v>9953</v>
      </c>
      <c r="D229" s="24" t="n">
        <v>2168</v>
      </c>
      <c r="E229" s="24" t="n">
        <v>271</v>
      </c>
      <c r="F229" s="24" t="n">
        <v>4857</v>
      </c>
      <c r="G229" s="24" t="n">
        <v>20904</v>
      </c>
      <c r="H229" s="24">
        <f>G229-F229</f>
        <v/>
      </c>
      <c r="I229" s="8">
        <f>IF(F229=0,0,G229/F229-1)</f>
        <v/>
      </c>
    </row>
    <row r="230">
      <c r="A230" s="6" t="inlineStr">
        <is>
          <t>1000.0000.2120.52310.300</t>
        </is>
      </c>
      <c r="B230" s="6" t="inlineStr">
        <is>
          <t>Retirement</t>
        </is>
      </c>
      <c r="C230" s="24" t="n">
        <v>9332</v>
      </c>
      <c r="D230" s="24" t="n">
        <v>9987</v>
      </c>
      <c r="E230" s="24" t="n">
        <v>2481</v>
      </c>
      <c r="F230" s="24" t="n">
        <v>10956</v>
      </c>
      <c r="G230" s="24" t="n">
        <v>12326</v>
      </c>
      <c r="H230" s="24">
        <f>G230-F230</f>
        <v/>
      </c>
      <c r="I230" s="8">
        <f>IF(F230=0,0,G230/F230-1)</f>
        <v/>
      </c>
    </row>
    <row r="231">
      <c r="A231" s="6" t="inlineStr">
        <is>
          <t>1000.0000.2120.53000.300</t>
        </is>
      </c>
      <c r="B231" s="6" t="inlineStr">
        <is>
          <t>Purchased Professional</t>
        </is>
      </c>
      <c r="C231" s="24" t="n">
        <v>3756</v>
      </c>
      <c r="D231" s="24" t="n">
        <v>11711</v>
      </c>
      <c r="E231" s="24" t="n">
        <v>13465</v>
      </c>
      <c r="F231" s="24" t="n">
        <v>19738</v>
      </c>
      <c r="G231" s="24" t="n">
        <v>13482</v>
      </c>
      <c r="H231" s="24">
        <f>G231-F231</f>
        <v/>
      </c>
      <c r="I231" s="8">
        <f>IF(F231=0,0,G231/F231-1)</f>
        <v/>
      </c>
    </row>
    <row r="232">
      <c r="A232" s="6" t="inlineStr">
        <is>
          <t>1000.0000.2120.54330.300</t>
        </is>
      </c>
      <c r="B232" s="6" t="inlineStr">
        <is>
          <t>Software</t>
        </is>
      </c>
      <c r="C232" s="24" t="n">
        <v>0</v>
      </c>
      <c r="D232" s="24" t="n">
        <v>0</v>
      </c>
      <c r="E232" s="24" t="n">
        <v>0</v>
      </c>
      <c r="F232" s="24" t="n">
        <v>334</v>
      </c>
      <c r="G232" s="24" t="n">
        <v>0</v>
      </c>
      <c r="H232" s="24">
        <f>G232-F232</f>
        <v/>
      </c>
      <c r="I232" s="8">
        <f>IF(F232=0,0,G232/F232-1)</f>
        <v/>
      </c>
    </row>
    <row r="233">
      <c r="A233" s="6" t="inlineStr">
        <is>
          <t>1000.0000.2120.55800.300</t>
        </is>
      </c>
      <c r="B233" s="6" t="inlineStr">
        <is>
          <t>Travel</t>
        </is>
      </c>
      <c r="C233" s="24" t="n">
        <v>0</v>
      </c>
      <c r="D233" s="24" t="n">
        <v>0</v>
      </c>
      <c r="E233" s="24" t="n">
        <v>0</v>
      </c>
      <c r="F233" s="24" t="n">
        <v>400</v>
      </c>
      <c r="G233" s="24" t="n">
        <v>200</v>
      </c>
      <c r="H233" s="24">
        <f>G233-F233</f>
        <v/>
      </c>
      <c r="I233" s="8">
        <f>IF(F233=0,0,G233/F233-1)</f>
        <v/>
      </c>
    </row>
    <row r="234">
      <c r="A234" s="6" t="inlineStr">
        <is>
          <t>1000.0000.2120.55810.300</t>
        </is>
      </c>
      <c r="B234" s="6" t="inlineStr">
        <is>
          <t>Travel</t>
        </is>
      </c>
      <c r="C234" s="24" t="n">
        <v>0</v>
      </c>
      <c r="D234" s="24" t="n">
        <v>0</v>
      </c>
      <c r="E234" s="24" t="n">
        <v>0</v>
      </c>
      <c r="F234" s="24" t="n">
        <v>400</v>
      </c>
      <c r="G234" s="24" t="n">
        <v>400</v>
      </c>
      <c r="H234" s="24">
        <f>G234-F234</f>
        <v/>
      </c>
      <c r="I234" s="8">
        <f>IF(F234=0,0,G234/F234-1)</f>
        <v/>
      </c>
    </row>
    <row r="235">
      <c r="A235" s="6" t="inlineStr">
        <is>
          <t>1000.0000.2120.56100.300</t>
        </is>
      </c>
      <c r="B235" s="6" t="inlineStr">
        <is>
          <t>Instructional Supplies</t>
        </is>
      </c>
      <c r="C235" s="24" t="n">
        <v>622</v>
      </c>
      <c r="D235" s="24" t="n">
        <v>471</v>
      </c>
      <c r="E235" s="24" t="n">
        <v>1056</v>
      </c>
      <c r="F235" s="24" t="n">
        <v>1000</v>
      </c>
      <c r="G235" s="24" t="n">
        <v>1000</v>
      </c>
      <c r="H235" s="24">
        <f>G235-F235</f>
        <v/>
      </c>
      <c r="I235" s="8">
        <f>IF(F235=0,0,G235/F235-1)</f>
        <v/>
      </c>
    </row>
    <row r="236">
      <c r="A236" s="6" t="inlineStr">
        <is>
          <t>1000.0000.2120.57300.300</t>
        </is>
      </c>
      <c r="B236" s="6" t="inlineStr">
        <is>
          <t>Equipment</t>
        </is>
      </c>
      <c r="C236" s="24" t="n">
        <v>0</v>
      </c>
      <c r="D236" s="24" t="n">
        <v>0</v>
      </c>
      <c r="E236" s="24" t="n">
        <v>0</v>
      </c>
      <c r="F236" s="24" t="n">
        <v>500</v>
      </c>
      <c r="G236" s="24" t="n">
        <v>500</v>
      </c>
      <c r="H236" s="24">
        <f>G236-F236</f>
        <v/>
      </c>
      <c r="I236" s="8">
        <f>IF(F236=0,0,G236/F236-1)</f>
        <v/>
      </c>
    </row>
    <row r="237">
      <c r="A237" s="14" t="n"/>
      <c r="B237" s="28" t="inlineStr">
        <is>
          <t>Program 0000 Total</t>
        </is>
      </c>
      <c r="C237" s="29">
        <f>SUM(C226:C236)</f>
        <v/>
      </c>
      <c r="D237" s="29">
        <f>SUM(D226:D236)</f>
        <v/>
      </c>
      <c r="E237" s="29">
        <f>SUM(E226:E236)</f>
        <v/>
      </c>
      <c r="F237" s="29">
        <f>SUM(F226:F236)</f>
        <v/>
      </c>
      <c r="G237" s="29">
        <f>SUM(G226:G236)</f>
        <v/>
      </c>
      <c r="H237" s="29">
        <f>SUM(H226:H236)</f>
        <v/>
      </c>
      <c r="I237" s="29">
        <f>SUM(I226:I236)</f>
        <v/>
      </c>
    </row>
    <row r="238">
      <c r="A238" s="6" t="inlineStr">
        <is>
          <t>1000.0000.2130.51010.300</t>
        </is>
      </c>
      <c r="B238" s="6" t="inlineStr">
        <is>
          <t>Nurse Salary</t>
        </is>
      </c>
      <c r="C238" s="24" t="n">
        <v>57818</v>
      </c>
      <c r="D238" s="24" t="n">
        <v>61709</v>
      </c>
      <c r="E238" s="24" t="n">
        <v>68846</v>
      </c>
      <c r="F238" s="24" t="n">
        <v>66701</v>
      </c>
      <c r="G238" s="24" t="n">
        <v>69892</v>
      </c>
      <c r="H238" s="24">
        <f>G238-F238</f>
        <v/>
      </c>
      <c r="I238" s="8">
        <f>IF(F238=0,0,G238/F238-1)</f>
        <v/>
      </c>
    </row>
    <row r="239">
      <c r="A239" s="6" t="inlineStr">
        <is>
          <t>1000.0000.2130.52010.300</t>
        </is>
      </c>
      <c r="B239" s="6" t="inlineStr">
        <is>
          <t>Nurses Benefits</t>
        </is>
      </c>
      <c r="C239" s="24" t="n">
        <v>20803</v>
      </c>
      <c r="D239" s="24" t="n">
        <v>21149</v>
      </c>
      <c r="E239" s="24" t="n">
        <v>4717</v>
      </c>
      <c r="F239" s="24" t="n">
        <v>21347</v>
      </c>
      <c r="G239" s="24" t="n">
        <v>21844</v>
      </c>
      <c r="H239" s="24">
        <f>G239-F239</f>
        <v/>
      </c>
      <c r="I239" s="8">
        <f>IF(F239=0,0,G239/F239-1)</f>
        <v/>
      </c>
    </row>
    <row r="240">
      <c r="A240" s="6" t="inlineStr">
        <is>
          <t>1000.0000.2130.52310.300</t>
        </is>
      </c>
      <c r="B240" s="6" t="inlineStr">
        <is>
          <t>Retirement</t>
        </is>
      </c>
      <c r="C240" s="24" t="n">
        <v>2312</v>
      </c>
      <c r="D240" s="24" t="n">
        <v>2567</v>
      </c>
      <c r="E240" s="24" t="n">
        <v>602</v>
      </c>
      <c r="F240" s="24" t="n">
        <v>2775</v>
      </c>
      <c r="G240" s="24" t="n">
        <v>2907</v>
      </c>
      <c r="H240" s="24">
        <f>G240-F240</f>
        <v/>
      </c>
      <c r="I240" s="8">
        <f>IF(F240=0,0,G240/F240-1)</f>
        <v/>
      </c>
    </row>
    <row r="241">
      <c r="A241" s="6" t="inlineStr">
        <is>
          <t>1000.0000.2130.53000.300</t>
        </is>
      </c>
      <c r="B241" s="6" t="inlineStr">
        <is>
          <t>Purchased Professional</t>
        </is>
      </c>
      <c r="C241" s="24" t="n">
        <v>0</v>
      </c>
      <c r="D241" s="24" t="n">
        <v>29</v>
      </c>
      <c r="E241" s="24" t="n">
        <v>0</v>
      </c>
      <c r="F241" s="24" t="n">
        <v>200</v>
      </c>
      <c r="G241" s="24" t="n">
        <v>300</v>
      </c>
      <c r="H241" s="24">
        <f>G241-F241</f>
        <v/>
      </c>
      <c r="I241" s="8">
        <f>IF(F241=0,0,G241/F241-1)</f>
        <v/>
      </c>
    </row>
    <row r="242">
      <c r="A242" s="6" t="inlineStr">
        <is>
          <t>1000.0000.2130.54310.300</t>
        </is>
      </c>
      <c r="B242" s="6" t="inlineStr">
        <is>
          <t>Repairs &amp; Maintenance</t>
        </is>
      </c>
      <c r="C242" s="24" t="n">
        <v>0</v>
      </c>
      <c r="D242" s="24" t="n">
        <v>0</v>
      </c>
      <c r="E242" s="24" t="n">
        <v>0</v>
      </c>
      <c r="F242" s="24" t="n">
        <v>135</v>
      </c>
      <c r="G242" s="24" t="n">
        <v>135</v>
      </c>
      <c r="H242" s="24">
        <f>G242-F242</f>
        <v/>
      </c>
      <c r="I242" s="8">
        <f>IF(F242=0,0,G242/F242-1)</f>
        <v/>
      </c>
    </row>
    <row r="243">
      <c r="A243" s="6" t="inlineStr">
        <is>
          <t>1000.0000.2130.56000.300</t>
        </is>
      </c>
      <c r="B243" s="6" t="inlineStr">
        <is>
          <t>Supplies</t>
        </is>
      </c>
      <c r="C243" s="24" t="n">
        <v>1245</v>
      </c>
      <c r="D243" s="24" t="n">
        <v>1181</v>
      </c>
      <c r="E243" s="24" t="n">
        <v>1205</v>
      </c>
      <c r="F243" s="24" t="n">
        <v>1611</v>
      </c>
      <c r="G243" s="24" t="n">
        <v>1538</v>
      </c>
      <c r="H243" s="24">
        <f>G243-F243</f>
        <v/>
      </c>
      <c r="I243" s="8">
        <f>IF(F243=0,0,G243/F243-1)</f>
        <v/>
      </c>
    </row>
    <row r="244">
      <c r="A244" s="14" t="n"/>
      <c r="B244" s="28" t="inlineStr">
        <is>
          <t>Program 0000 Total</t>
        </is>
      </c>
      <c r="C244" s="29">
        <f>SUM(C238:C243)</f>
        <v/>
      </c>
      <c r="D244" s="29">
        <f>SUM(D238:D243)</f>
        <v/>
      </c>
      <c r="E244" s="29">
        <f>SUM(E238:E243)</f>
        <v/>
      </c>
      <c r="F244" s="29">
        <f>SUM(F238:F243)</f>
        <v/>
      </c>
      <c r="G244" s="29">
        <f>SUM(G238:G243)</f>
        <v/>
      </c>
      <c r="H244" s="29">
        <f>SUM(H238:H243)</f>
        <v/>
      </c>
      <c r="I244" s="29">
        <f>SUM(I238:I243)</f>
        <v/>
      </c>
    </row>
    <row r="245">
      <c r="A245" s="6" t="inlineStr">
        <is>
          <t>1000.0000.2213.51010.300</t>
        </is>
      </c>
      <c r="B245" s="6" t="inlineStr">
        <is>
          <t>9-12 HONORARIUM</t>
        </is>
      </c>
      <c r="C245" s="24" t="n">
        <v>4823</v>
      </c>
      <c r="D245" s="24" t="n">
        <v>1633</v>
      </c>
      <c r="E245" s="24" t="n">
        <v>22</v>
      </c>
      <c r="F245" s="24" t="n">
        <v>3650</v>
      </c>
      <c r="G245" s="24" t="n">
        <v>1652</v>
      </c>
      <c r="H245" s="24">
        <f>G245-F245</f>
        <v/>
      </c>
      <c r="I245" s="8">
        <f>IF(F245=0,0,G245/F245-1)</f>
        <v/>
      </c>
    </row>
    <row r="246">
      <c r="A246" s="6" t="inlineStr">
        <is>
          <t>1000.0000.2213.51500.300</t>
        </is>
      </c>
      <c r="B246" s="6" t="inlineStr">
        <is>
          <t>Stipends</t>
        </is>
      </c>
      <c r="C246" s="24" t="n">
        <v>26075</v>
      </c>
      <c r="D246" s="24" t="n">
        <v>19717</v>
      </c>
      <c r="E246" s="24" t="n">
        <v>29305</v>
      </c>
      <c r="F246" s="24" t="n">
        <v>26289</v>
      </c>
      <c r="G246" s="24" t="n">
        <v>17880</v>
      </c>
      <c r="H246" s="24">
        <f>G246-F246</f>
        <v/>
      </c>
      <c r="I246" s="8">
        <f>IF(F246=0,0,G246/F246-1)</f>
        <v/>
      </c>
    </row>
    <row r="247">
      <c r="A247" s="6" t="inlineStr">
        <is>
          <t>1000.0000.2213.52000.300</t>
        </is>
      </c>
      <c r="B247" s="6" t="inlineStr">
        <is>
          <t>Stipend Benefits - FHS</t>
        </is>
      </c>
      <c r="C247" s="24" t="n">
        <v>733</v>
      </c>
      <c r="D247" s="24" t="n">
        <v>3179</v>
      </c>
      <c r="E247" s="24" t="n">
        <v>7</v>
      </c>
      <c r="F247" s="24" t="n">
        <v>434</v>
      </c>
      <c r="G247" s="24" t="n">
        <v>2872</v>
      </c>
      <c r="H247" s="24">
        <f>G247-F247</f>
        <v/>
      </c>
      <c r="I247" s="8">
        <f>IF(F247=0,0,G247/F247-1)</f>
        <v/>
      </c>
    </row>
    <row r="248">
      <c r="A248" s="6" t="inlineStr">
        <is>
          <t>1000.0000.2213.52010.300</t>
        </is>
      </c>
      <c r="B248" s="6" t="inlineStr">
        <is>
          <t>9-12 HONORARIUM BENEFITS</t>
        </is>
      </c>
      <c r="C248" s="24" t="n">
        <v>417</v>
      </c>
      <c r="D248" s="24" t="n">
        <v>170</v>
      </c>
      <c r="E248" s="24" t="n">
        <v>0</v>
      </c>
      <c r="F248" s="24" t="n">
        <v>183</v>
      </c>
      <c r="G248" s="24" t="n">
        <v>183</v>
      </c>
      <c r="H248" s="24">
        <f>G248-F248</f>
        <v/>
      </c>
      <c r="I248" s="8">
        <f>IF(F248=0,0,G248/F248-1)</f>
        <v/>
      </c>
    </row>
    <row r="249">
      <c r="A249" s="6" t="inlineStr">
        <is>
          <t>1000.0000.2213.52300.300</t>
        </is>
      </c>
      <c r="B249" s="6" t="inlineStr">
        <is>
          <t>Stipend Retirement - FHS</t>
        </is>
      </c>
      <c r="C249" s="24" t="n">
        <v>0</v>
      </c>
      <c r="D249" s="24" t="n">
        <v>650</v>
      </c>
      <c r="E249" s="24" t="n">
        <v>0</v>
      </c>
      <c r="F249" s="24" t="n">
        <v>1292</v>
      </c>
      <c r="G249" s="24" t="n">
        <v>2389</v>
      </c>
      <c r="H249" s="24">
        <f>G249-F249</f>
        <v/>
      </c>
      <c r="I249" s="8">
        <f>IF(F249=0,0,G249/F249-1)</f>
        <v/>
      </c>
    </row>
    <row r="250">
      <c r="A250" s="6" t="inlineStr">
        <is>
          <t>1000.0000.2213.52310.300</t>
        </is>
      </c>
      <c r="B250" s="6" t="inlineStr">
        <is>
          <t>9-12 HONORARIUM RETIREMENT</t>
        </is>
      </c>
      <c r="C250" s="24" t="n">
        <v>98</v>
      </c>
      <c r="D250" s="24" t="n">
        <v>74</v>
      </c>
      <c r="E250" s="24" t="n">
        <v>0</v>
      </c>
      <c r="F250" s="24" t="n">
        <v>152</v>
      </c>
      <c r="G250" s="24" t="n">
        <v>152</v>
      </c>
      <c r="H250" s="24">
        <f>G250-F250</f>
        <v/>
      </c>
      <c r="I250" s="8">
        <f>IF(F250=0,0,G250/F250-1)</f>
        <v/>
      </c>
    </row>
    <row r="251">
      <c r="A251" s="6" t="inlineStr">
        <is>
          <t>1000.0000.2213.52510.300</t>
        </is>
      </c>
      <c r="B251" s="6" t="inlineStr">
        <is>
          <t>Tuition Reimbursement-Teacher</t>
        </is>
      </c>
      <c r="C251" s="24" t="n">
        <v>27025</v>
      </c>
      <c r="D251" s="24" t="n">
        <v>16337</v>
      </c>
      <c r="E251" s="24" t="n">
        <v>11077</v>
      </c>
      <c r="F251" s="24" t="n">
        <v>20000</v>
      </c>
      <c r="G251" s="24" t="n">
        <v>20000</v>
      </c>
      <c r="H251" s="24">
        <f>G251-F251</f>
        <v/>
      </c>
      <c r="I251" s="8">
        <f>IF(F251=0,0,G251/F251-1)</f>
        <v/>
      </c>
    </row>
    <row r="252">
      <c r="A252" s="6" t="inlineStr">
        <is>
          <t>1000.0000.2213.52520.300</t>
        </is>
      </c>
      <c r="B252" s="6" t="inlineStr">
        <is>
          <t>Tuition Reimbursement-Support</t>
        </is>
      </c>
      <c r="C252" s="24" t="n">
        <v>0</v>
      </c>
      <c r="D252" s="24" t="n">
        <v>0</v>
      </c>
      <c r="E252" s="24" t="n">
        <v>0</v>
      </c>
      <c r="F252" s="24" t="n">
        <v>1300</v>
      </c>
      <c r="G252" s="24" t="n">
        <v>1300</v>
      </c>
      <c r="H252" s="24">
        <f>G252-F252</f>
        <v/>
      </c>
      <c r="I252" s="8">
        <f>IF(F252=0,0,G252/F252-1)</f>
        <v/>
      </c>
    </row>
    <row r="253">
      <c r="A253" s="6" t="inlineStr">
        <is>
          <t>1000.0000.2213.53000.300</t>
        </is>
      </c>
      <c r="B253" s="6" t="inlineStr">
        <is>
          <t>Purchased Professional Services</t>
        </is>
      </c>
      <c r="C253" s="24" t="n">
        <v>14454</v>
      </c>
      <c r="D253" s="24" t="n">
        <v>20299</v>
      </c>
      <c r="E253" s="24" t="n">
        <v>8195</v>
      </c>
      <c r="F253" s="24" t="n">
        <v>37000</v>
      </c>
      <c r="G253" s="24" t="n">
        <v>39536</v>
      </c>
      <c r="H253" s="24">
        <f>G253-F253</f>
        <v/>
      </c>
      <c r="I253" s="8">
        <f>IF(F253=0,0,G253/F253-1)</f>
        <v/>
      </c>
    </row>
    <row r="254">
      <c r="A254" s="6" t="inlineStr">
        <is>
          <t>1000.0000.2213.55000.300</t>
        </is>
      </c>
      <c r="B254" s="6" t="inlineStr">
        <is>
          <t>Other Purchased Services</t>
        </is>
      </c>
      <c r="C254" s="24" t="n">
        <v>0</v>
      </c>
      <c r="D254" s="24" t="n">
        <v>0</v>
      </c>
      <c r="E254" s="24" t="n">
        <v>0</v>
      </c>
      <c r="F254" s="24" t="n">
        <v>0</v>
      </c>
      <c r="G254" s="24" t="n">
        <v>1000</v>
      </c>
      <c r="H254" s="24">
        <f>G254-F254</f>
        <v/>
      </c>
      <c r="I254" s="8">
        <f>IF(F254=0,0,G254/F254-1)</f>
        <v/>
      </c>
    </row>
    <row r="255">
      <c r="A255" s="6" t="inlineStr">
        <is>
          <t>1000.0000.2213.55810.300</t>
        </is>
      </c>
      <c r="B255" s="6" t="inlineStr">
        <is>
          <t>Travel</t>
        </is>
      </c>
      <c r="C255" s="24" t="n">
        <v>592</v>
      </c>
      <c r="D255" s="24" t="n">
        <v>1186</v>
      </c>
      <c r="E255" s="24" t="n">
        <v>0</v>
      </c>
      <c r="F255" s="24" t="n">
        <v>1000</v>
      </c>
      <c r="G255" s="24" t="n">
        <v>1000</v>
      </c>
      <c r="H255" s="24">
        <f>G255-F255</f>
        <v/>
      </c>
      <c r="I255" s="8">
        <f>IF(F255=0,0,G255/F255-1)</f>
        <v/>
      </c>
    </row>
    <row r="256">
      <c r="A256" s="6" t="inlineStr">
        <is>
          <t>1000.0000.2213.56000.300</t>
        </is>
      </c>
      <c r="B256" s="6" t="inlineStr">
        <is>
          <t>Supplies</t>
        </is>
      </c>
      <c r="C256" s="24" t="n">
        <v>70</v>
      </c>
      <c r="D256" s="24" t="n">
        <v>0</v>
      </c>
      <c r="E256" s="24" t="n">
        <v>0</v>
      </c>
      <c r="F256" s="24" t="n">
        <v>0</v>
      </c>
      <c r="G256" s="24" t="n">
        <v>0</v>
      </c>
      <c r="H256" s="24">
        <f>G256-F256</f>
        <v/>
      </c>
      <c r="I256" s="8">
        <f>IF(F256=0,0,G256/F256-1)</f>
        <v/>
      </c>
    </row>
    <row r="257">
      <c r="A257" s="14" t="n"/>
      <c r="B257" s="28" t="inlineStr">
        <is>
          <t>Program 0000 Total</t>
        </is>
      </c>
      <c r="C257" s="29">
        <f>SUM(C245:C256)</f>
        <v/>
      </c>
      <c r="D257" s="29">
        <f>SUM(D245:D256)</f>
        <v/>
      </c>
      <c r="E257" s="29">
        <f>SUM(E245:E256)</f>
        <v/>
      </c>
      <c r="F257" s="29">
        <f>SUM(F245:F256)</f>
        <v/>
      </c>
      <c r="G257" s="29">
        <f>SUM(G245:G256)</f>
        <v/>
      </c>
      <c r="H257" s="29">
        <f>SUM(H245:H256)</f>
        <v/>
      </c>
      <c r="I257" s="29">
        <f>SUM(I245:I256)</f>
        <v/>
      </c>
    </row>
    <row r="258">
      <c r="A258" s="6" t="inlineStr">
        <is>
          <t>1000.0000.2220.51010.300</t>
        </is>
      </c>
      <c r="B258" s="6" t="inlineStr">
        <is>
          <t>Librarian Salary</t>
        </is>
      </c>
      <c r="C258" s="24" t="n">
        <v>80671</v>
      </c>
      <c r="D258" s="24" t="n">
        <v>77525</v>
      </c>
      <c r="E258" s="24" t="n">
        <v>74881</v>
      </c>
      <c r="F258" s="24" t="n">
        <v>77761</v>
      </c>
      <c r="G258" s="24" t="n">
        <v>81341</v>
      </c>
      <c r="H258" s="24">
        <f>G258-F258</f>
        <v/>
      </c>
      <c r="I258" s="8">
        <f>IF(F258=0,0,G258/F258-1)</f>
        <v/>
      </c>
    </row>
    <row r="259">
      <c r="A259" s="6" t="inlineStr">
        <is>
          <t>1000.0000.2220.51020.300</t>
        </is>
      </c>
      <c r="B259" s="6" t="inlineStr">
        <is>
          <t>Ed Tech Salaries</t>
        </is>
      </c>
      <c r="C259" s="24" t="n">
        <v>12791</v>
      </c>
      <c r="D259" s="24" t="n">
        <v>14837</v>
      </c>
      <c r="E259" s="24" t="n">
        <v>14712</v>
      </c>
      <c r="F259" s="24" t="n">
        <v>17242</v>
      </c>
      <c r="G259" s="24" t="n">
        <v>22899</v>
      </c>
      <c r="H259" s="24">
        <f>G259-F259</f>
        <v/>
      </c>
      <c r="I259" s="8">
        <f>IF(F259=0,0,G259/F259-1)</f>
        <v/>
      </c>
    </row>
    <row r="260">
      <c r="A260" s="6" t="inlineStr">
        <is>
          <t>1000.0000.2220.52010.300</t>
        </is>
      </c>
      <c r="B260" s="6" t="inlineStr">
        <is>
          <t>Librarian Benefits</t>
        </is>
      </c>
      <c r="C260" s="24" t="n">
        <v>15915</v>
      </c>
      <c r="D260" s="24" t="n">
        <v>15835</v>
      </c>
      <c r="E260" s="24" t="n">
        <v>3514</v>
      </c>
      <c r="F260" s="24" t="n">
        <v>15770</v>
      </c>
      <c r="G260" s="24" t="n">
        <v>16274</v>
      </c>
      <c r="H260" s="24">
        <f>G260-F260</f>
        <v/>
      </c>
      <c r="I260" s="8">
        <f>IF(F260=0,0,G260/F260-1)</f>
        <v/>
      </c>
    </row>
    <row r="261">
      <c r="A261" s="6" t="inlineStr">
        <is>
          <t>1000.0000.2220.52020.300</t>
        </is>
      </c>
      <c r="B261" s="6" t="inlineStr">
        <is>
          <t>Ed Tech Benefits</t>
        </is>
      </c>
      <c r="C261" s="24" t="n">
        <v>3617</v>
      </c>
      <c r="D261" s="24" t="n">
        <v>4174</v>
      </c>
      <c r="E261" s="24" t="n">
        <v>156</v>
      </c>
      <c r="F261" s="24" t="n">
        <v>1410</v>
      </c>
      <c r="G261" s="24" t="n">
        <v>10224</v>
      </c>
      <c r="H261" s="24">
        <f>G261-F261</f>
        <v/>
      </c>
      <c r="I261" s="8">
        <f>IF(F261=0,0,G261/F261-1)</f>
        <v/>
      </c>
    </row>
    <row r="262">
      <c r="A262" s="6" t="inlineStr">
        <is>
          <t>1000.0000.2220.52310.300</t>
        </is>
      </c>
      <c r="B262" s="6" t="inlineStr">
        <is>
          <t>Retirement</t>
        </is>
      </c>
      <c r="C262" s="24" t="n">
        <v>2741</v>
      </c>
      <c r="D262" s="24" t="n">
        <v>2973</v>
      </c>
      <c r="E262" s="24" t="n">
        <v>712</v>
      </c>
      <c r="F262" s="24" t="n">
        <v>3235</v>
      </c>
      <c r="G262" s="24" t="n">
        <v>3383</v>
      </c>
      <c r="H262" s="24">
        <f>G262-F262</f>
        <v/>
      </c>
      <c r="I262" s="8">
        <f>IF(F262=0,0,G262/F262-1)</f>
        <v/>
      </c>
    </row>
    <row r="263">
      <c r="A263" s="6" t="inlineStr">
        <is>
          <t>1000.0000.2220.52320.300</t>
        </is>
      </c>
      <c r="B263" s="6" t="inlineStr">
        <is>
          <t>Retirement</t>
        </is>
      </c>
      <c r="C263" s="24" t="n">
        <v>0</v>
      </c>
      <c r="D263" s="24" t="n">
        <v>0</v>
      </c>
      <c r="E263" s="24" t="n">
        <v>0</v>
      </c>
      <c r="F263" s="24" t="n">
        <v>909</v>
      </c>
      <c r="G263" s="24" t="n">
        <v>952</v>
      </c>
      <c r="H263" s="24">
        <f>G263-F263</f>
        <v/>
      </c>
      <c r="I263" s="8">
        <f>IF(F263=0,0,G263/F263-1)</f>
        <v/>
      </c>
    </row>
    <row r="264">
      <c r="A264" s="6" t="inlineStr">
        <is>
          <t>1000.0000.2220.54330.300</t>
        </is>
      </c>
      <c r="B264" s="6" t="inlineStr">
        <is>
          <t>Software</t>
        </is>
      </c>
      <c r="C264" s="24" t="n">
        <v>1042</v>
      </c>
      <c r="D264" s="24" t="n">
        <v>1043</v>
      </c>
      <c r="E264" s="24" t="n">
        <v>1043</v>
      </c>
      <c r="F264" s="24" t="n">
        <v>1043</v>
      </c>
      <c r="G264" s="24" t="n">
        <v>2843</v>
      </c>
      <c r="H264" s="24">
        <f>G264-F264</f>
        <v/>
      </c>
      <c r="I264" s="8">
        <f>IF(F264=0,0,G264/F264-1)</f>
        <v/>
      </c>
    </row>
    <row r="265">
      <c r="A265" s="6" t="inlineStr">
        <is>
          <t>1000.0000.2220.56000.300</t>
        </is>
      </c>
      <c r="B265" s="6" t="inlineStr">
        <is>
          <t>Supplies</t>
        </is>
      </c>
      <c r="C265" s="24" t="n">
        <v>2179</v>
      </c>
      <c r="D265" s="24" t="n">
        <v>536</v>
      </c>
      <c r="E265" s="24" t="n">
        <v>803</v>
      </c>
      <c r="F265" s="24" t="n">
        <v>1440</v>
      </c>
      <c r="G265" s="24" t="n">
        <v>1440</v>
      </c>
      <c r="H265" s="24">
        <f>G265-F265</f>
        <v/>
      </c>
      <c r="I265" s="8">
        <f>IF(F265=0,0,G265/F265-1)</f>
        <v/>
      </c>
    </row>
    <row r="266">
      <c r="A266" s="6" t="inlineStr">
        <is>
          <t>1000.0000.2220.56400.300</t>
        </is>
      </c>
      <c r="B266" s="6" t="inlineStr">
        <is>
          <t>Books</t>
        </is>
      </c>
      <c r="C266" s="24" t="n">
        <v>11861</v>
      </c>
      <c r="D266" s="24" t="n">
        <v>7489</v>
      </c>
      <c r="E266" s="24" t="n">
        <v>12652</v>
      </c>
      <c r="F266" s="24" t="n">
        <v>12341</v>
      </c>
      <c r="G266" s="24" t="n">
        <v>14141</v>
      </c>
      <c r="H266" s="24">
        <f>G266-F266</f>
        <v/>
      </c>
      <c r="I266" s="8">
        <f>IF(F266=0,0,G266/F266-1)</f>
        <v/>
      </c>
    </row>
    <row r="267">
      <c r="A267" s="6" t="inlineStr">
        <is>
          <t>1000.0000.2220.57300.300</t>
        </is>
      </c>
      <c r="B267" s="6" t="inlineStr">
        <is>
          <t>Equipment</t>
        </is>
      </c>
      <c r="C267" s="24" t="n">
        <v>0</v>
      </c>
      <c r="D267" s="24" t="n">
        <v>0</v>
      </c>
      <c r="E267" s="24" t="n">
        <v>0</v>
      </c>
      <c r="F267" s="24" t="n">
        <v>100</v>
      </c>
      <c r="G267" s="24" t="n">
        <v>100</v>
      </c>
      <c r="H267" s="24">
        <f>G267-F267</f>
        <v/>
      </c>
      <c r="I267" s="8">
        <f>IF(F267=0,0,G267/F267-1)</f>
        <v/>
      </c>
    </row>
    <row r="268">
      <c r="A268" s="14" t="n"/>
      <c r="B268" s="28" t="inlineStr">
        <is>
          <t>Program 0000 Total</t>
        </is>
      </c>
      <c r="C268" s="29">
        <f>SUM(C258:C267)</f>
        <v/>
      </c>
      <c r="D268" s="29">
        <f>SUM(D258:D267)</f>
        <v/>
      </c>
      <c r="E268" s="29">
        <f>SUM(E258:E267)</f>
        <v/>
      </c>
      <c r="F268" s="29">
        <f>SUM(F258:F267)</f>
        <v/>
      </c>
      <c r="G268" s="29">
        <f>SUM(G258:G267)</f>
        <v/>
      </c>
      <c r="H268" s="29">
        <f>SUM(H258:H267)</f>
        <v/>
      </c>
      <c r="I268" s="29">
        <f>SUM(I258:I267)</f>
        <v/>
      </c>
    </row>
    <row r="269">
      <c r="A269" s="6" t="inlineStr">
        <is>
          <t>1000.0000.2230.51010.300</t>
        </is>
      </c>
      <c r="B269" s="6" t="inlineStr">
        <is>
          <t>Teacher Salaries</t>
        </is>
      </c>
      <c r="C269" s="24" t="n">
        <v>74103</v>
      </c>
      <c r="D269" s="24" t="n">
        <v>76135</v>
      </c>
      <c r="E269" s="24" t="n">
        <v>16965</v>
      </c>
      <c r="F269" s="24" t="n">
        <v>0</v>
      </c>
      <c r="G269" s="24" t="n">
        <v>0</v>
      </c>
      <c r="H269" s="24">
        <f>G269-F269</f>
        <v/>
      </c>
      <c r="I269" s="8">
        <f>IF(F269=0,0,G269/F269-1)</f>
        <v/>
      </c>
    </row>
    <row r="270">
      <c r="A270" s="6" t="inlineStr">
        <is>
          <t>1000.0000.2230.51180.300</t>
        </is>
      </c>
      <c r="B270" s="6" t="inlineStr">
        <is>
          <t>Support Salaries</t>
        </is>
      </c>
      <c r="C270" s="24" t="n">
        <v>34006</v>
      </c>
      <c r="D270" s="24" t="n">
        <v>36248</v>
      </c>
      <c r="E270" s="24" t="n">
        <v>-1084</v>
      </c>
      <c r="F270" s="24" t="n">
        <v>0</v>
      </c>
      <c r="G270" s="24" t="n">
        <v>0</v>
      </c>
      <c r="H270" s="24">
        <f>G270-F270</f>
        <v/>
      </c>
      <c r="I270" s="8">
        <f>IF(F270=0,0,G270/F270-1)</f>
        <v/>
      </c>
    </row>
    <row r="271">
      <c r="A271" s="6" t="inlineStr">
        <is>
          <t>1000.0000.2230.52000.300</t>
        </is>
      </c>
      <c r="B271" s="6" t="inlineStr">
        <is>
          <t>Teacher Benefits</t>
        </is>
      </c>
      <c r="C271" s="24" t="n">
        <v>0</v>
      </c>
      <c r="D271" s="24" t="n">
        <v>0</v>
      </c>
      <c r="E271" s="24" t="n">
        <v>2340</v>
      </c>
      <c r="F271" s="24" t="n">
        <v>0</v>
      </c>
      <c r="G271" s="24" t="n">
        <v>0</v>
      </c>
      <c r="H271" s="24">
        <f>G271-F271</f>
        <v/>
      </c>
      <c r="I271" s="8">
        <f>IF(F271=0,0,G271/F271-1)</f>
        <v/>
      </c>
    </row>
    <row r="272">
      <c r="A272" s="6" t="inlineStr">
        <is>
          <t>1000.0000.2230.52010.300</t>
        </is>
      </c>
      <c r="B272" s="6" t="inlineStr">
        <is>
          <t>Teacher Benefits</t>
        </is>
      </c>
      <c r="C272" s="24" t="n">
        <v>19442</v>
      </c>
      <c r="D272" s="24" t="n">
        <v>19852</v>
      </c>
      <c r="E272" s="24" t="n">
        <v>0</v>
      </c>
      <c r="F272" s="24" t="n">
        <v>0</v>
      </c>
      <c r="G272" s="24" t="n">
        <v>0</v>
      </c>
      <c r="H272" s="24">
        <f>G272-F272</f>
        <v/>
      </c>
      <c r="I272" s="8">
        <f>IF(F272=0,0,G272/F272-1)</f>
        <v/>
      </c>
    </row>
    <row r="273">
      <c r="A273" s="6" t="inlineStr">
        <is>
          <t>1000.0000.2230.52080.300</t>
        </is>
      </c>
      <c r="B273" s="6" t="inlineStr">
        <is>
          <t>SUPPORT BENEFITS</t>
        </is>
      </c>
      <c r="C273" s="24" t="n">
        <v>8788</v>
      </c>
      <c r="D273" s="24" t="n">
        <v>12880</v>
      </c>
      <c r="E273" s="24" t="n">
        <v>-562</v>
      </c>
      <c r="F273" s="24" t="n">
        <v>0</v>
      </c>
      <c r="G273" s="24" t="n">
        <v>0</v>
      </c>
      <c r="H273" s="24">
        <f>G273-F273</f>
        <v/>
      </c>
      <c r="I273" s="8">
        <f>IF(F273=0,0,G273/F273-1)</f>
        <v/>
      </c>
    </row>
    <row r="274">
      <c r="A274" s="6" t="inlineStr">
        <is>
          <t>1000.0000.2230.52310.300</t>
        </is>
      </c>
      <c r="B274" s="6" t="inlineStr">
        <is>
          <t>Retirement</t>
        </is>
      </c>
      <c r="C274" s="24" t="n">
        <v>2942</v>
      </c>
      <c r="D274" s="24" t="n">
        <v>3285</v>
      </c>
      <c r="E274" s="24" t="n">
        <v>0</v>
      </c>
      <c r="F274" s="24" t="n">
        <v>0</v>
      </c>
      <c r="G274" s="24" t="n">
        <v>0</v>
      </c>
      <c r="H274" s="24">
        <f>G274-F274</f>
        <v/>
      </c>
      <c r="I274" s="8">
        <f>IF(F274=0,0,G274/F274-1)</f>
        <v/>
      </c>
    </row>
    <row r="275">
      <c r="A275" s="6" t="inlineStr">
        <is>
          <t>1000.0000.2230.54320.300</t>
        </is>
      </c>
      <c r="B275" s="6" t="inlineStr">
        <is>
          <t>Tech Repairs/Maint</t>
        </is>
      </c>
      <c r="C275" s="24" t="n">
        <v>1211</v>
      </c>
      <c r="D275" s="24" t="n">
        <v>0</v>
      </c>
      <c r="E275" s="24" t="n">
        <v>64</v>
      </c>
      <c r="F275" s="24" t="n">
        <v>0</v>
      </c>
      <c r="G275" s="24" t="n">
        <v>0</v>
      </c>
      <c r="H275" s="24">
        <f>G275-F275</f>
        <v/>
      </c>
      <c r="I275" s="8">
        <f>IF(F275=0,0,G275/F275-1)</f>
        <v/>
      </c>
    </row>
    <row r="276">
      <c r="A276" s="6" t="inlineStr">
        <is>
          <t>1000.0000.2230.54330.300</t>
        </is>
      </c>
      <c r="B276" s="6" t="inlineStr">
        <is>
          <t>Software</t>
        </is>
      </c>
      <c r="C276" s="24" t="n">
        <v>4875</v>
      </c>
      <c r="D276" s="24" t="n">
        <v>0</v>
      </c>
      <c r="E276" s="24" t="n">
        <v>0</v>
      </c>
      <c r="F276" s="24" t="n">
        <v>0</v>
      </c>
      <c r="G276" s="24" t="n">
        <v>0</v>
      </c>
      <c r="H276" s="24">
        <f>G276-F276</f>
        <v/>
      </c>
      <c r="I276" s="8">
        <f>IF(F276=0,0,G276/F276-1)</f>
        <v/>
      </c>
    </row>
    <row r="277">
      <c r="A277" s="6" t="inlineStr">
        <is>
          <t>1000.0000.2230.56500.300</t>
        </is>
      </c>
      <c r="B277" s="6" t="inlineStr">
        <is>
          <t>Supplies</t>
        </is>
      </c>
      <c r="C277" s="24" t="n">
        <v>129</v>
      </c>
      <c r="D277" s="24" t="n">
        <v>0</v>
      </c>
      <c r="E277" s="24" t="n">
        <v>0</v>
      </c>
      <c r="F277" s="24" t="n">
        <v>0</v>
      </c>
      <c r="G277" s="24" t="n">
        <v>0</v>
      </c>
      <c r="H277" s="24">
        <f>G277-F277</f>
        <v/>
      </c>
      <c r="I277" s="8">
        <f>IF(F277=0,0,G277/F277-1)</f>
        <v/>
      </c>
    </row>
    <row r="278">
      <c r="A278" s="6" t="inlineStr">
        <is>
          <t>1000.0000.2230.57340.300</t>
        </is>
      </c>
      <c r="B278" s="6" t="inlineStr">
        <is>
          <t>Equipment</t>
        </is>
      </c>
      <c r="C278" s="24" t="n">
        <v>138705</v>
      </c>
      <c r="D278" s="24" t="n">
        <v>174162</v>
      </c>
      <c r="E278" s="24" t="n">
        <v>40581</v>
      </c>
      <c r="F278" s="24" t="n">
        <v>0</v>
      </c>
      <c r="G278" s="24" t="n">
        <v>0</v>
      </c>
      <c r="H278" s="24">
        <f>G278-F278</f>
        <v/>
      </c>
      <c r="I278" s="8">
        <f>IF(F278=0,0,G278/F278-1)</f>
        <v/>
      </c>
    </row>
    <row r="279">
      <c r="A279" s="14" t="n"/>
      <c r="B279" s="28" t="inlineStr">
        <is>
          <t>Program 0000 Total</t>
        </is>
      </c>
      <c r="C279" s="29">
        <f>SUM(C269:C278)</f>
        <v/>
      </c>
      <c r="D279" s="29">
        <f>SUM(D269:D278)</f>
        <v/>
      </c>
      <c r="E279" s="29">
        <f>SUM(E269:E278)</f>
        <v/>
      </c>
      <c r="F279" s="29">
        <f>SUM(F269:F278)</f>
        <v/>
      </c>
      <c r="G279" s="29">
        <f>SUM(G269:G278)</f>
        <v/>
      </c>
      <c r="H279" s="29">
        <f>SUM(H269:H278)</f>
        <v/>
      </c>
      <c r="I279" s="29">
        <f>SUM(I269:I278)</f>
        <v/>
      </c>
    </row>
    <row r="280">
      <c r="A280" s="6" t="inlineStr">
        <is>
          <t>1000.0000.2290.51060.300</t>
        </is>
      </c>
      <c r="B280" s="6" t="inlineStr">
        <is>
          <t>Outreach Coordinator Salary</t>
        </is>
      </c>
      <c r="C280" s="24" t="n">
        <v>0</v>
      </c>
      <c r="D280" s="24" t="n">
        <v>0</v>
      </c>
      <c r="E280" s="24" t="n">
        <v>0</v>
      </c>
      <c r="F280" s="24" t="n">
        <v>58554</v>
      </c>
      <c r="G280" s="24" t="n">
        <v>87674</v>
      </c>
      <c r="H280" s="24">
        <f>G280-F280</f>
        <v/>
      </c>
      <c r="I280" s="8">
        <f>IF(F280=0,0,G280/F280-1)</f>
        <v/>
      </c>
    </row>
    <row r="281">
      <c r="A281" s="6" t="inlineStr">
        <is>
          <t>1000.0000.2290.52060.300</t>
        </is>
      </c>
      <c r="B281" s="6" t="inlineStr">
        <is>
          <t>Outreach Coordinator Benefits</t>
        </is>
      </c>
      <c r="C281" s="24" t="n">
        <v>0</v>
      </c>
      <c r="D281" s="24" t="n">
        <v>0</v>
      </c>
      <c r="E281" s="24" t="n">
        <v>0</v>
      </c>
      <c r="F281" s="24" t="n">
        <v>24603</v>
      </c>
      <c r="G281" s="24" t="n">
        <v>0</v>
      </c>
      <c r="H281" s="24">
        <f>G281-F281</f>
        <v/>
      </c>
      <c r="I281" s="8">
        <f>IF(F281=0,0,G281/F281-1)</f>
        <v/>
      </c>
    </row>
    <row r="282">
      <c r="A282" s="14" t="n"/>
      <c r="B282" s="28" t="inlineStr">
        <is>
          <t>Program 0000 Total</t>
        </is>
      </c>
      <c r="C282" s="29">
        <f>SUM(C280:C281)</f>
        <v/>
      </c>
      <c r="D282" s="29">
        <f>SUM(D280:D281)</f>
        <v/>
      </c>
      <c r="E282" s="29">
        <f>SUM(E280:E281)</f>
        <v/>
      </c>
      <c r="F282" s="29">
        <f>SUM(F280:F281)</f>
        <v/>
      </c>
      <c r="G282" s="29">
        <f>SUM(G280:G281)</f>
        <v/>
      </c>
      <c r="H282" s="29">
        <f>SUM(H280:H281)</f>
        <v/>
      </c>
      <c r="I282" s="29">
        <f>SUM(I280:I281)</f>
        <v/>
      </c>
    </row>
    <row r="283">
      <c r="A283" s="14" t="n"/>
      <c r="B283" s="17" t="inlineStr">
        <is>
          <t>Cost Center ('300',) Total</t>
        </is>
      </c>
      <c r="C283" s="32">
        <f>C225+C237+C244+C257+C268+C279+C282</f>
        <v/>
      </c>
      <c r="D283" s="32">
        <f>D225+D237+D244+D257+D268+D279+D282</f>
        <v/>
      </c>
      <c r="E283" s="32">
        <f>E225+E237+E244+E257+E268+E279+E282</f>
        <v/>
      </c>
      <c r="F283" s="32">
        <f>F225+F237+F244+F257+F268+F279+F282</f>
        <v/>
      </c>
      <c r="G283" s="32">
        <f>G225+G237+G244+G257+G268+G279+G282</f>
        <v/>
      </c>
      <c r="H283" s="32">
        <f>H225+H237+H244+H257+H268+H279+H282</f>
        <v/>
      </c>
      <c r="I283" s="32">
        <f>I225+I237+I244+I257+I268+I279+I282</f>
        <v/>
      </c>
    </row>
    <row r="285">
      <c r="A285" s="3" t="inlineStr">
        <is>
          <t>Cost Center: ('900',)</t>
        </is>
      </c>
    </row>
    <row r="286">
      <c r="A286" s="6" t="inlineStr">
        <is>
          <t>1000.0000.2210.51040.900</t>
        </is>
      </c>
      <c r="B286" s="6" t="inlineStr">
        <is>
          <t>Curriculum Director Salary</t>
        </is>
      </c>
      <c r="C286" s="24" t="n">
        <v>69414</v>
      </c>
      <c r="D286" s="24" t="n">
        <v>72191</v>
      </c>
      <c r="E286" s="24" t="n">
        <v>77950</v>
      </c>
      <c r="F286" s="24" t="n">
        <v>77331</v>
      </c>
      <c r="G286" s="24" t="n">
        <v>80135</v>
      </c>
      <c r="H286" s="24">
        <f>G286-F286</f>
        <v/>
      </c>
      <c r="I286" s="8">
        <f>IF(F286=0,0,G286/F286-1)</f>
        <v/>
      </c>
    </row>
    <row r="287">
      <c r="A287" s="6" t="inlineStr">
        <is>
          <t>1000.0000.2210.52040.900</t>
        </is>
      </c>
      <c r="B287" s="6" t="inlineStr">
        <is>
          <t>Curriculum Director Benefits</t>
        </is>
      </c>
      <c r="C287" s="24" t="n">
        <v>12607</v>
      </c>
      <c r="D287" s="24" t="n">
        <v>12381</v>
      </c>
      <c r="E287" s="24" t="n">
        <v>11635</v>
      </c>
      <c r="F287" s="24" t="n">
        <v>13270</v>
      </c>
      <c r="G287" s="24" t="n">
        <v>17739</v>
      </c>
      <c r="H287" s="24">
        <f>G287-F287</f>
        <v/>
      </c>
      <c r="I287" s="8">
        <f>IF(F287=0,0,G287/F287-1)</f>
        <v/>
      </c>
    </row>
    <row r="288">
      <c r="A288" s="6" t="inlineStr">
        <is>
          <t>1000.0000.2210.52340.900</t>
        </is>
      </c>
      <c r="B288" s="6" t="inlineStr">
        <is>
          <t>Retirement</t>
        </is>
      </c>
      <c r="C288" s="24" t="n">
        <v>2756</v>
      </c>
      <c r="D288" s="24" t="n">
        <v>3003</v>
      </c>
      <c r="E288" s="24" t="n">
        <v>1197</v>
      </c>
      <c r="F288" s="24" t="n">
        <v>3217</v>
      </c>
      <c r="G288" s="24" t="n">
        <v>3345</v>
      </c>
      <c r="H288" s="24">
        <f>G288-F288</f>
        <v/>
      </c>
      <c r="I288" s="8">
        <f>IF(F288=0,0,G288/F288-1)</f>
        <v/>
      </c>
    </row>
    <row r="289">
      <c r="A289" s="6" t="inlineStr">
        <is>
          <t>1000.0000.2210.53000.900</t>
        </is>
      </c>
      <c r="B289" s="6" t="inlineStr">
        <is>
          <t>Purchased Professional</t>
        </is>
      </c>
      <c r="C289" s="24" t="n">
        <v>124</v>
      </c>
      <c r="D289" s="24" t="n">
        <v>0</v>
      </c>
      <c r="E289" s="24" t="n">
        <v>150</v>
      </c>
      <c r="F289" s="24" t="n">
        <v>8000</v>
      </c>
      <c r="G289" s="24" t="n">
        <v>8000</v>
      </c>
      <c r="H289" s="24">
        <f>G289-F289</f>
        <v/>
      </c>
      <c r="I289" s="8">
        <f>IF(F289=0,0,G289/F289-1)</f>
        <v/>
      </c>
    </row>
    <row r="290">
      <c r="A290" s="6" t="inlineStr">
        <is>
          <t>1000.0000.2210.55810.900</t>
        </is>
      </c>
      <c r="B290" s="6" t="inlineStr">
        <is>
          <t>Travel</t>
        </is>
      </c>
      <c r="C290" s="24" t="n">
        <v>447</v>
      </c>
      <c r="D290" s="24" t="n">
        <v>0</v>
      </c>
      <c r="E290" s="24" t="n">
        <v>0</v>
      </c>
      <c r="F290" s="24" t="n">
        <v>700</v>
      </c>
      <c r="G290" s="24" t="n">
        <v>700</v>
      </c>
      <c r="H290" s="24">
        <f>G290-F290</f>
        <v/>
      </c>
      <c r="I290" s="8">
        <f>IF(F290=0,0,G290/F290-1)</f>
        <v/>
      </c>
    </row>
    <row r="291">
      <c r="A291" s="6" t="inlineStr">
        <is>
          <t>1000.0000.2210.56400.900</t>
        </is>
      </c>
      <c r="B291" s="6" t="inlineStr">
        <is>
          <t>Curriculum Materials</t>
        </is>
      </c>
      <c r="C291" s="24" t="n">
        <v>50940</v>
      </c>
      <c r="D291" s="24" t="n">
        <v>24573</v>
      </c>
      <c r="E291" s="24" t="n">
        <v>25445</v>
      </c>
      <c r="F291" s="24" t="n">
        <v>50000</v>
      </c>
      <c r="G291" s="24" t="n">
        <v>50000</v>
      </c>
      <c r="H291" s="24">
        <f>G291-F291</f>
        <v/>
      </c>
      <c r="I291" s="8">
        <f>IF(F291=0,0,G291/F291-1)</f>
        <v/>
      </c>
    </row>
    <row r="292">
      <c r="A292" s="6" t="inlineStr">
        <is>
          <t>1000.0000.2210.58100.900</t>
        </is>
      </c>
      <c r="B292" s="6" t="inlineStr">
        <is>
          <t>Dues &amp; Fees</t>
        </is>
      </c>
      <c r="C292" s="24" t="n">
        <v>1543</v>
      </c>
      <c r="D292" s="24" t="n">
        <v>1219</v>
      </c>
      <c r="E292" s="24" t="n">
        <v>524</v>
      </c>
      <c r="F292" s="24" t="n">
        <v>1000</v>
      </c>
      <c r="G292" s="24" t="n">
        <v>1000</v>
      </c>
      <c r="H292" s="24">
        <f>G292-F292</f>
        <v/>
      </c>
      <c r="I292" s="8">
        <f>IF(F292=0,0,G292/F292-1)</f>
        <v/>
      </c>
    </row>
    <row r="293">
      <c r="A293" s="14" t="n"/>
      <c r="B293" s="28" t="inlineStr">
        <is>
          <t>Program 0000 Total</t>
        </is>
      </c>
      <c r="C293" s="29">
        <f>SUM(C286:C292)</f>
        <v/>
      </c>
      <c r="D293" s="29">
        <f>SUM(D286:D292)</f>
        <v/>
      </c>
      <c r="E293" s="29">
        <f>SUM(E286:E292)</f>
        <v/>
      </c>
      <c r="F293" s="29">
        <f>SUM(F286:F292)</f>
        <v/>
      </c>
      <c r="G293" s="29">
        <f>SUM(G286:G292)</f>
        <v/>
      </c>
      <c r="H293" s="29">
        <f>SUM(H286:H292)</f>
        <v/>
      </c>
      <c r="I293" s="29">
        <f>SUM(I286:I292)</f>
        <v/>
      </c>
    </row>
    <row r="294">
      <c r="A294" s="6" t="inlineStr">
        <is>
          <t>1000.0000.2230.51040.900</t>
        </is>
      </c>
      <c r="B294" s="6" t="inlineStr">
        <is>
          <t>Technology Director Salary</t>
        </is>
      </c>
      <c r="C294" s="24" t="n">
        <v>95078</v>
      </c>
      <c r="D294" s="24" t="n">
        <v>88394</v>
      </c>
      <c r="E294" s="24" t="n">
        <v>124326</v>
      </c>
      <c r="F294" s="24" t="n">
        <v>94771</v>
      </c>
      <c r="G294" s="24" t="n">
        <v>98561</v>
      </c>
      <c r="H294" s="24">
        <f>G294-F294</f>
        <v/>
      </c>
      <c r="I294" s="8">
        <f>IF(F294=0,0,G294/F294-1)</f>
        <v/>
      </c>
    </row>
    <row r="295">
      <c r="A295" s="6" t="inlineStr">
        <is>
          <t>1000.0000.2230.51180.900</t>
        </is>
      </c>
      <c r="B295" s="6" t="inlineStr">
        <is>
          <t>Support Wages</t>
        </is>
      </c>
      <c r="C295" s="24" t="n">
        <v>98822</v>
      </c>
      <c r="D295" s="24" t="n">
        <v>107178</v>
      </c>
      <c r="E295" s="24" t="n">
        <v>222626</v>
      </c>
      <c r="F295" s="24" t="n">
        <v>250032</v>
      </c>
      <c r="G295" s="24" t="n">
        <v>289015</v>
      </c>
      <c r="H295" s="24">
        <f>G295-F295</f>
        <v/>
      </c>
      <c r="I295" s="8">
        <f>IF(F295=0,0,G295/F295-1)</f>
        <v/>
      </c>
    </row>
    <row r="296">
      <c r="A296" s="6" t="inlineStr">
        <is>
          <t>1000.0000.2230.52040.900</t>
        </is>
      </c>
      <c r="B296" s="6" t="inlineStr">
        <is>
          <t>Benefits</t>
        </is>
      </c>
      <c r="C296" s="24" t="n">
        <v>18461</v>
      </c>
      <c r="D296" s="24" t="n">
        <v>15881</v>
      </c>
      <c r="E296" s="24" t="n">
        <v>4259</v>
      </c>
      <c r="F296" s="24" t="n">
        <v>17131</v>
      </c>
      <c r="G296" s="24" t="n">
        <v>34412</v>
      </c>
      <c r="H296" s="24">
        <f>G296-F296</f>
        <v/>
      </c>
      <c r="I296" s="8">
        <f>IF(F296=0,0,G296/F296-1)</f>
        <v/>
      </c>
    </row>
    <row r="297">
      <c r="A297" s="6" t="inlineStr">
        <is>
          <t>1000.0000.2230.52080.900</t>
        </is>
      </c>
      <c r="B297" s="6" t="inlineStr">
        <is>
          <t>Benefits</t>
        </is>
      </c>
      <c r="C297" s="24" t="n">
        <v>23505</v>
      </c>
      <c r="D297" s="24" t="n">
        <v>33124</v>
      </c>
      <c r="E297" s="24" t="n">
        <v>56048</v>
      </c>
      <c r="F297" s="24" t="n">
        <v>106459</v>
      </c>
      <c r="G297" s="24" t="n">
        <v>129643</v>
      </c>
      <c r="H297" s="24">
        <f>G297-F297</f>
        <v/>
      </c>
      <c r="I297" s="8">
        <f>IF(F297=0,0,G297/F297-1)</f>
        <v/>
      </c>
    </row>
    <row r="298">
      <c r="A298" s="6" t="inlineStr">
        <is>
          <t>1000.0000.2230.52340.900</t>
        </is>
      </c>
      <c r="B298" s="6" t="inlineStr">
        <is>
          <t>Retirement</t>
        </is>
      </c>
      <c r="C298" s="24" t="n">
        <v>0</v>
      </c>
      <c r="D298" s="24" t="n">
        <v>0</v>
      </c>
      <c r="E298" s="24" t="n">
        <v>0</v>
      </c>
      <c r="F298" s="24" t="n">
        <v>9248</v>
      </c>
      <c r="G298" s="24" t="n">
        <v>4100</v>
      </c>
      <c r="H298" s="24">
        <f>G298-F298</f>
        <v/>
      </c>
      <c r="I298" s="8">
        <f>IF(F298=0,0,G298/F298-1)</f>
        <v/>
      </c>
    </row>
    <row r="299">
      <c r="A299" s="6" t="inlineStr">
        <is>
          <t>1000.0000.2230.53000.900</t>
        </is>
      </c>
      <c r="B299" s="6" t="inlineStr">
        <is>
          <t>Purchased Professional</t>
        </is>
      </c>
      <c r="C299" s="24" t="n">
        <v>4315</v>
      </c>
      <c r="D299" s="24" t="n">
        <v>4671</v>
      </c>
      <c r="E299" s="24" t="n">
        <v>1949</v>
      </c>
      <c r="F299" s="24" t="n">
        <v>3400</v>
      </c>
      <c r="G299" s="24" t="n">
        <v>7952</v>
      </c>
      <c r="H299" s="24">
        <f>G299-F299</f>
        <v/>
      </c>
      <c r="I299" s="8">
        <f>IF(F299=0,0,G299/F299-1)</f>
        <v/>
      </c>
    </row>
    <row r="300">
      <c r="A300" s="6" t="inlineStr">
        <is>
          <t>1000.0000.2230.54320.900</t>
        </is>
      </c>
      <c r="B300" s="6" t="inlineStr">
        <is>
          <t>Tech Repairs/Maintenance</t>
        </is>
      </c>
      <c r="C300" s="24" t="n">
        <v>0</v>
      </c>
      <c r="D300" s="24" t="n">
        <v>0</v>
      </c>
      <c r="E300" s="24" t="n">
        <v>5231</v>
      </c>
      <c r="F300" s="24" t="n">
        <v>0</v>
      </c>
      <c r="G300" s="24" t="n">
        <v>0</v>
      </c>
      <c r="H300" s="24">
        <f>G300-F300</f>
        <v/>
      </c>
      <c r="I300" s="8">
        <f>IF(F300=0,0,G300/F300-1)</f>
        <v/>
      </c>
    </row>
    <row r="301">
      <c r="A301" s="6" t="inlineStr">
        <is>
          <t>1000.0000.2230.54330.900</t>
        </is>
      </c>
      <c r="B301" s="6" t="inlineStr">
        <is>
          <t>Software</t>
        </is>
      </c>
      <c r="C301" s="24" t="n">
        <v>0</v>
      </c>
      <c r="D301" s="24" t="n">
        <v>0</v>
      </c>
      <c r="E301" s="24" t="n">
        <v>1169</v>
      </c>
      <c r="F301" s="24" t="n">
        <v>1200</v>
      </c>
      <c r="G301" s="24" t="n">
        <v>1200</v>
      </c>
      <c r="H301" s="24">
        <f>G301-F301</f>
        <v/>
      </c>
      <c r="I301" s="8">
        <f>IF(F301=0,0,G301/F301-1)</f>
        <v/>
      </c>
    </row>
    <row r="302">
      <c r="A302" s="6" t="inlineStr">
        <is>
          <t>1000.0000.2230.54432.900</t>
        </is>
      </c>
      <c r="B302" s="6" t="inlineStr">
        <is>
          <t>SOFTWARE LICENCE/RENTAL</t>
        </is>
      </c>
      <c r="C302" s="24" t="n">
        <v>0</v>
      </c>
      <c r="D302" s="24" t="n">
        <v>0</v>
      </c>
      <c r="E302" s="24" t="n">
        <v>2640</v>
      </c>
      <c r="F302" s="24" t="n">
        <v>0</v>
      </c>
      <c r="G302" s="24" t="n">
        <v>0</v>
      </c>
      <c r="H302" s="24">
        <f>G302-F302</f>
        <v/>
      </c>
      <c r="I302" s="8">
        <f>IF(F302=0,0,G302/F302-1)</f>
        <v/>
      </c>
    </row>
    <row r="303">
      <c r="A303" s="6" t="inlineStr">
        <is>
          <t>1000.0000.2230.55000.900</t>
        </is>
      </c>
      <c r="B303" s="6" t="inlineStr">
        <is>
          <t>Other Purchased Services</t>
        </is>
      </c>
      <c r="C303" s="24" t="n">
        <v>39398</v>
      </c>
      <c r="D303" s="24" t="n">
        <v>27652</v>
      </c>
      <c r="E303" s="24" t="n">
        <v>23788</v>
      </c>
      <c r="F303" s="24" t="n">
        <v>60432</v>
      </c>
      <c r="G303" s="24" t="n">
        <v>51593</v>
      </c>
      <c r="H303" s="24">
        <f>G303-F303</f>
        <v/>
      </c>
      <c r="I303" s="8">
        <f>IF(F303=0,0,G303/F303-1)</f>
        <v/>
      </c>
    </row>
    <row r="304">
      <c r="A304" s="6" t="inlineStr">
        <is>
          <t>1000.0000.2230.55200.900</t>
        </is>
      </c>
      <c r="B304" s="6" t="inlineStr">
        <is>
          <t>Insurance (P&amp;C)</t>
        </is>
      </c>
      <c r="C304" s="24" t="n">
        <v>0</v>
      </c>
      <c r="D304" s="24" t="n">
        <v>0</v>
      </c>
      <c r="E304" s="24" t="n">
        <v>0</v>
      </c>
      <c r="F304" s="24" t="n">
        <v>0</v>
      </c>
      <c r="G304" s="24" t="n">
        <v>9100</v>
      </c>
      <c r="H304" s="24">
        <f>G304-F304</f>
        <v/>
      </c>
      <c r="I304" s="8">
        <f>IF(F304=0,0,G304/F304-1)</f>
        <v/>
      </c>
    </row>
    <row r="305">
      <c r="A305" s="6" t="inlineStr">
        <is>
          <t>1000.0000.2230.55800.900</t>
        </is>
      </c>
      <c r="B305" s="6" t="inlineStr">
        <is>
          <t>Travel</t>
        </is>
      </c>
      <c r="C305" s="24" t="n">
        <v>3190</v>
      </c>
      <c r="D305" s="24" t="n">
        <v>1439</v>
      </c>
      <c r="E305" s="24" t="n">
        <v>0</v>
      </c>
      <c r="F305" s="24" t="n">
        <v>7530</v>
      </c>
      <c r="G305" s="24" t="n">
        <v>7530</v>
      </c>
      <c r="H305" s="24">
        <f>G305-F305</f>
        <v/>
      </c>
      <c r="I305" s="8">
        <f>IF(F305=0,0,G305/F305-1)</f>
        <v/>
      </c>
    </row>
    <row r="306">
      <c r="A306" s="6" t="inlineStr">
        <is>
          <t>1000.0000.2230.56500.900</t>
        </is>
      </c>
      <c r="B306" s="6" t="inlineStr">
        <is>
          <t>Computer Materials</t>
        </is>
      </c>
      <c r="C306" s="24" t="n">
        <v>0</v>
      </c>
      <c r="D306" s="24" t="n">
        <v>0</v>
      </c>
      <c r="E306" s="24" t="n">
        <v>4026</v>
      </c>
      <c r="F306" s="24" t="n">
        <v>4200</v>
      </c>
      <c r="G306" s="24" t="n">
        <v>6000</v>
      </c>
      <c r="H306" s="24">
        <f>G306-F306</f>
        <v/>
      </c>
      <c r="I306" s="8">
        <f>IF(F306=0,0,G306/F306-1)</f>
        <v/>
      </c>
    </row>
    <row r="307">
      <c r="A307" s="6" t="inlineStr">
        <is>
          <t>1000.0000.2230.57340.900</t>
        </is>
      </c>
      <c r="B307" s="6" t="inlineStr">
        <is>
          <t>EQUIPMENT</t>
        </is>
      </c>
      <c r="C307" s="24" t="n">
        <v>199962</v>
      </c>
      <c r="D307" s="24" t="n">
        <v>280132</v>
      </c>
      <c r="E307" s="24" t="n">
        <v>57736</v>
      </c>
      <c r="F307" s="24" t="n">
        <v>276525</v>
      </c>
      <c r="G307" s="24" t="n">
        <v>244641</v>
      </c>
      <c r="H307" s="24">
        <f>G307-F307</f>
        <v/>
      </c>
      <c r="I307" s="8">
        <f>IF(F307=0,0,G307/F307-1)</f>
        <v/>
      </c>
    </row>
    <row r="308">
      <c r="A308" s="6" t="inlineStr">
        <is>
          <t>1000.0000.2230.58100.900</t>
        </is>
      </c>
      <c r="B308" s="6" t="inlineStr">
        <is>
          <t>Dues and Fees</t>
        </is>
      </c>
      <c r="C308" s="24" t="n">
        <v>0</v>
      </c>
      <c r="D308" s="24" t="n">
        <v>0</v>
      </c>
      <c r="E308" s="24" t="n">
        <v>170</v>
      </c>
      <c r="F308" s="24" t="n">
        <v>150</v>
      </c>
      <c r="G308" s="24" t="n">
        <v>150</v>
      </c>
      <c r="H308" s="24">
        <f>G308-F308</f>
        <v/>
      </c>
      <c r="I308" s="8">
        <f>IF(F308=0,0,G308/F308-1)</f>
        <v/>
      </c>
    </row>
    <row r="309">
      <c r="A309" s="14" t="n"/>
      <c r="B309" s="28" t="inlineStr">
        <is>
          <t>Program 0000 Total</t>
        </is>
      </c>
      <c r="C309" s="29">
        <f>SUM(C294:C308)</f>
        <v/>
      </c>
      <c r="D309" s="29">
        <f>SUM(D294:D308)</f>
        <v/>
      </c>
      <c r="E309" s="29">
        <f>SUM(E294:E308)</f>
        <v/>
      </c>
      <c r="F309" s="29">
        <f>SUM(F294:F308)</f>
        <v/>
      </c>
      <c r="G309" s="29">
        <f>SUM(G294:G308)</f>
        <v/>
      </c>
      <c r="H309" s="29">
        <f>SUM(H294:H308)</f>
        <v/>
      </c>
      <c r="I309" s="29">
        <f>SUM(I294:I308)</f>
        <v/>
      </c>
    </row>
    <row r="310">
      <c r="A310" s="6" t="inlineStr">
        <is>
          <t>1000.0000.2240.53000.900</t>
        </is>
      </c>
      <c r="B310" s="6" t="inlineStr">
        <is>
          <t>Purchased Professional - Assessment</t>
        </is>
      </c>
      <c r="C310" s="24" t="n">
        <v>16900</v>
      </c>
      <c r="D310" s="24" t="n">
        <v>17100</v>
      </c>
      <c r="E310" s="24" t="n">
        <v>4763</v>
      </c>
      <c r="F310" s="24" t="n">
        <v>6331</v>
      </c>
      <c r="G310" s="24" t="n">
        <v>5616</v>
      </c>
      <c r="H310" s="24">
        <f>G310-F310</f>
        <v/>
      </c>
      <c r="I310" s="8">
        <f>IF(F310=0,0,G310/F310-1)</f>
        <v/>
      </c>
    </row>
    <row r="311">
      <c r="A311" s="14" t="n"/>
      <c r="B311" s="17" t="inlineStr">
        <is>
          <t>Cost Center ('900',) Total</t>
        </is>
      </c>
      <c r="C311" s="32">
        <f>C293+C309</f>
        <v/>
      </c>
      <c r="D311" s="32">
        <f>D293+D309</f>
        <v/>
      </c>
      <c r="E311" s="32">
        <f>E293+E309</f>
        <v/>
      </c>
      <c r="F311" s="32">
        <f>F293+F309</f>
        <v/>
      </c>
      <c r="G311" s="32">
        <f>G293+G309</f>
        <v/>
      </c>
      <c r="H311" s="32">
        <f>H293+H309</f>
        <v/>
      </c>
      <c r="I311" s="32">
        <f>I293+I309</f>
        <v/>
      </c>
    </row>
    <row r="313">
      <c r="A313" s="3" t="inlineStr">
        <is>
          <t>Cost Center: ('950',)</t>
        </is>
      </c>
    </row>
    <row r="314">
      <c r="A314" s="6" t="inlineStr">
        <is>
          <t>1000.0000.2213.51010.950</t>
        </is>
      </c>
      <c r="B314" s="6" t="inlineStr">
        <is>
          <t>K-8 HONORARIUM</t>
        </is>
      </c>
      <c r="C314" s="24" t="n">
        <v>19116</v>
      </c>
      <c r="D314" s="24" t="n">
        <v>5050</v>
      </c>
      <c r="E314" s="24" t="n">
        <v>60</v>
      </c>
      <c r="F314" s="24" t="n">
        <v>15000</v>
      </c>
      <c r="G314" s="24" t="n">
        <v>15000</v>
      </c>
      <c r="H314" s="24">
        <f>G314-F314</f>
        <v/>
      </c>
      <c r="I314" s="8">
        <f>IF(F314=0,0,G314/F314-1)</f>
        <v/>
      </c>
    </row>
    <row r="315">
      <c r="A315" s="6" t="inlineStr">
        <is>
          <t>1000.0000.2213.51230.950</t>
        </is>
      </c>
      <c r="B315" s="6" t="inlineStr">
        <is>
          <t>Substitutes</t>
        </is>
      </c>
      <c r="C315" s="24" t="n">
        <v>0</v>
      </c>
      <c r="D315" s="24" t="n">
        <v>0</v>
      </c>
      <c r="E315" s="24" t="n">
        <v>0</v>
      </c>
      <c r="F315" s="24" t="n">
        <v>5000</v>
      </c>
      <c r="G315" s="24" t="n">
        <v>5000</v>
      </c>
      <c r="H315" s="24">
        <f>G315-F315</f>
        <v/>
      </c>
      <c r="I315" s="8">
        <f>IF(F315=0,0,G315/F315-1)</f>
        <v/>
      </c>
    </row>
    <row r="316">
      <c r="A316" s="6" t="inlineStr">
        <is>
          <t>1000.0000.2213.51500.950</t>
        </is>
      </c>
      <c r="B316" s="6" t="inlineStr">
        <is>
          <t>Stipends</t>
        </is>
      </c>
      <c r="C316" s="24" t="n">
        <v>76957</v>
      </c>
      <c r="D316" s="24" t="n">
        <v>103090</v>
      </c>
      <c r="E316" s="24" t="n">
        <v>127810</v>
      </c>
      <c r="F316" s="24" t="n">
        <v>70781</v>
      </c>
      <c r="G316" s="24" t="n">
        <v>38384</v>
      </c>
      <c r="H316" s="24">
        <f>G316-F316</f>
        <v/>
      </c>
      <c r="I316" s="8">
        <f>IF(F316=0,0,G316/F316-1)</f>
        <v/>
      </c>
    </row>
    <row r="317">
      <c r="A317" s="6" t="inlineStr">
        <is>
          <t>1000.0000.2213.52000.950</t>
        </is>
      </c>
      <c r="B317" s="6" t="inlineStr">
        <is>
          <t>Stipend Benefits - K-8</t>
        </is>
      </c>
      <c r="C317" s="24" t="n">
        <v>455</v>
      </c>
      <c r="D317" s="24" t="n">
        <v>565</v>
      </c>
      <c r="E317" s="24" t="n">
        <v>79</v>
      </c>
      <c r="F317" s="24" t="n">
        <v>1168</v>
      </c>
      <c r="G317" s="24" t="n">
        <v>1919</v>
      </c>
      <c r="H317" s="24">
        <f>G317-F317</f>
        <v/>
      </c>
      <c r="I317" s="8">
        <f>IF(F317=0,0,G317/F317-1)</f>
        <v/>
      </c>
    </row>
    <row r="318">
      <c r="A318" s="6" t="inlineStr">
        <is>
          <t>1000.0000.2213.52010.950</t>
        </is>
      </c>
      <c r="B318" s="6" t="inlineStr">
        <is>
          <t>K-8 HONORARIUM BENEFITS</t>
        </is>
      </c>
      <c r="C318" s="24" t="n">
        <v>2229</v>
      </c>
      <c r="D318" s="24" t="n">
        <v>1864</v>
      </c>
      <c r="E318" s="24" t="n">
        <v>0</v>
      </c>
      <c r="F318" s="24" t="n">
        <v>750</v>
      </c>
      <c r="G318" s="24" t="n">
        <v>750</v>
      </c>
      <c r="H318" s="24">
        <f>G318-F318</f>
        <v/>
      </c>
      <c r="I318" s="8">
        <f>IF(F318=0,0,G318/F318-1)</f>
        <v/>
      </c>
    </row>
    <row r="319">
      <c r="A319" s="6" t="inlineStr">
        <is>
          <t>1000.0000.2213.52030.950</t>
        </is>
      </c>
      <c r="B319" s="6" t="inlineStr">
        <is>
          <t>Sub Benefits</t>
        </is>
      </c>
      <c r="C319" s="24" t="n">
        <v>0</v>
      </c>
      <c r="D319" s="24" t="n">
        <v>0</v>
      </c>
      <c r="E319" s="24" t="n">
        <v>0</v>
      </c>
      <c r="F319" s="24" t="n">
        <v>250</v>
      </c>
      <c r="G319" s="24" t="n">
        <v>250</v>
      </c>
      <c r="H319" s="24">
        <f>G319-F319</f>
        <v/>
      </c>
      <c r="I319" s="8">
        <f>IF(F319=0,0,G319/F319-1)</f>
        <v/>
      </c>
    </row>
    <row r="320">
      <c r="A320" s="6" t="inlineStr">
        <is>
          <t>1000.0000.2213.52300.950</t>
        </is>
      </c>
      <c r="B320" s="6" t="inlineStr">
        <is>
          <t>Stipend Retirement - K-8</t>
        </is>
      </c>
      <c r="C320" s="24" t="n">
        <v>13</v>
      </c>
      <c r="D320" s="24" t="n">
        <v>20</v>
      </c>
      <c r="E320" s="24" t="n">
        <v>5</v>
      </c>
      <c r="F320" s="24" t="n">
        <v>2746</v>
      </c>
      <c r="G320" s="24" t="n">
        <v>1597</v>
      </c>
      <c r="H320" s="24">
        <f>G320-F320</f>
        <v/>
      </c>
      <c r="I320" s="8">
        <f>IF(F320=0,0,G320/F320-1)</f>
        <v/>
      </c>
    </row>
    <row r="321">
      <c r="A321" s="6" t="inlineStr">
        <is>
          <t>1000.0000.2213.52310.950</t>
        </is>
      </c>
      <c r="B321" s="6" t="inlineStr">
        <is>
          <t>K-8 HONORARIUM RETIREMENT</t>
        </is>
      </c>
      <c r="C321" s="24" t="n">
        <v>399</v>
      </c>
      <c r="D321" s="24" t="n">
        <v>205</v>
      </c>
      <c r="E321" s="24" t="n">
        <v>0</v>
      </c>
      <c r="F321" s="24" t="n">
        <v>624</v>
      </c>
      <c r="G321" s="24" t="n">
        <v>624</v>
      </c>
      <c r="H321" s="24">
        <f>G321-F321</f>
        <v/>
      </c>
      <c r="I321" s="8">
        <f>IF(F321=0,0,G321/F321-1)</f>
        <v/>
      </c>
    </row>
    <row r="322">
      <c r="A322" s="6" t="inlineStr">
        <is>
          <t>1000.0000.2213.52330.950</t>
        </is>
      </c>
      <c r="B322" s="6" t="inlineStr">
        <is>
          <t>Retirement</t>
        </is>
      </c>
      <c r="C322" s="24" t="n">
        <v>0</v>
      </c>
      <c r="D322" s="24" t="n">
        <v>0</v>
      </c>
      <c r="E322" s="24" t="n">
        <v>0</v>
      </c>
      <c r="F322" s="24" t="n">
        <v>208</v>
      </c>
      <c r="G322" s="24" t="n">
        <v>208</v>
      </c>
      <c r="H322" s="24">
        <f>G322-F322</f>
        <v/>
      </c>
      <c r="I322" s="8">
        <f>IF(F322=0,0,G322/F322-1)</f>
        <v/>
      </c>
    </row>
    <row r="323">
      <c r="A323" s="6" t="inlineStr">
        <is>
          <t>1000.0000.2213.52510.950</t>
        </is>
      </c>
      <c r="B323" s="6" t="inlineStr">
        <is>
          <t>Tuition Reimbursement-Prof</t>
        </is>
      </c>
      <c r="C323" s="24" t="n">
        <v>58655</v>
      </c>
      <c r="D323" s="24" t="n">
        <v>54274</v>
      </c>
      <c r="E323" s="24" t="n">
        <v>53435</v>
      </c>
      <c r="F323" s="24" t="n">
        <v>47500</v>
      </c>
      <c r="G323" s="24" t="n">
        <v>47000</v>
      </c>
      <c r="H323" s="24">
        <f>G323-F323</f>
        <v/>
      </c>
      <c r="I323" s="8">
        <f>IF(F323=0,0,G323/F323-1)</f>
        <v/>
      </c>
    </row>
    <row r="324">
      <c r="A324" s="6" t="inlineStr">
        <is>
          <t>1000.0000.2213.52520.950</t>
        </is>
      </c>
      <c r="B324" s="6" t="inlineStr">
        <is>
          <t>Tuition Reimbursement-Support</t>
        </is>
      </c>
      <c r="C324" s="24" t="n">
        <v>2316</v>
      </c>
      <c r="D324" s="24" t="n">
        <v>2388</v>
      </c>
      <c r="E324" s="24" t="n">
        <v>2290</v>
      </c>
      <c r="F324" s="24" t="n">
        <v>2700</v>
      </c>
      <c r="G324" s="24" t="n">
        <v>2700</v>
      </c>
      <c r="H324" s="24">
        <f>G324-F324</f>
        <v/>
      </c>
      <c r="I324" s="8">
        <f>IF(F324=0,0,G324/F324-1)</f>
        <v/>
      </c>
    </row>
    <row r="325">
      <c r="A325" s="6" t="inlineStr">
        <is>
          <t>1000.0000.2213.53000.950</t>
        </is>
      </c>
      <c r="B325" s="6" t="inlineStr">
        <is>
          <t>K-8 Purchased Professional</t>
        </is>
      </c>
      <c r="C325" s="24" t="n">
        <v>46970</v>
      </c>
      <c r="D325" s="24" t="n">
        <v>12433</v>
      </c>
      <c r="E325" s="24" t="n">
        <v>51816</v>
      </c>
      <c r="F325" s="24" t="n">
        <v>61340</v>
      </c>
      <c r="G325" s="24" t="n">
        <v>46072</v>
      </c>
      <c r="H325" s="24">
        <f>G325-F325</f>
        <v/>
      </c>
      <c r="I325" s="8">
        <f>IF(F325=0,0,G325/F325-1)</f>
        <v/>
      </c>
    </row>
    <row r="326">
      <c r="A326" s="6" t="inlineStr">
        <is>
          <t>1000.0000.2213.55810.950</t>
        </is>
      </c>
      <c r="B326" s="6" t="inlineStr">
        <is>
          <t>Travel</t>
        </is>
      </c>
      <c r="C326" s="24" t="n">
        <v>0</v>
      </c>
      <c r="D326" s="24" t="n">
        <v>168</v>
      </c>
      <c r="E326" s="24" t="n">
        <v>-168</v>
      </c>
      <c r="F326" s="24" t="n">
        <v>250</v>
      </c>
      <c r="G326" s="24" t="n">
        <v>250</v>
      </c>
      <c r="H326" s="24">
        <f>G326-F326</f>
        <v/>
      </c>
      <c r="I326" s="8">
        <f>IF(F326=0,0,G326/F326-1)</f>
        <v/>
      </c>
    </row>
    <row r="327">
      <c r="A327" s="6" t="inlineStr">
        <is>
          <t>1000.0000.2213.56000.950</t>
        </is>
      </c>
      <c r="B327" s="6" t="inlineStr">
        <is>
          <t>Supplies</t>
        </is>
      </c>
      <c r="C327" s="24" t="n">
        <v>0</v>
      </c>
      <c r="D327" s="24" t="n">
        <v>0</v>
      </c>
      <c r="E327" s="24" t="n">
        <v>0</v>
      </c>
      <c r="F327" s="24" t="n">
        <v>1800</v>
      </c>
      <c r="G327" s="24" t="n">
        <v>1000</v>
      </c>
      <c r="H327" s="24">
        <f>G327-F327</f>
        <v/>
      </c>
      <c r="I327" s="8">
        <f>IF(F327=0,0,G327/F327-1)</f>
        <v/>
      </c>
    </row>
    <row r="328">
      <c r="A328" s="6" t="inlineStr">
        <is>
          <t>1000.0000.2213.56400.950</t>
        </is>
      </c>
      <c r="B328" s="6" t="inlineStr">
        <is>
          <t>Books</t>
        </is>
      </c>
      <c r="C328" s="24" t="n">
        <v>790</v>
      </c>
      <c r="D328" s="24" t="n">
        <v>0</v>
      </c>
      <c r="E328" s="24" t="n">
        <v>28</v>
      </c>
      <c r="F328" s="24" t="n">
        <v>1400</v>
      </c>
      <c r="G328" s="24" t="n">
        <v>1400</v>
      </c>
      <c r="H328" s="24">
        <f>G328-F328</f>
        <v/>
      </c>
      <c r="I328" s="8">
        <f>IF(F328=0,0,G328/F328-1)</f>
        <v/>
      </c>
    </row>
    <row r="329">
      <c r="A329" s="14" t="n"/>
      <c r="B329" s="28" t="inlineStr">
        <is>
          <t>Program 0000 Total</t>
        </is>
      </c>
      <c r="C329" s="29">
        <f>SUM(C314:C328)</f>
        <v/>
      </c>
      <c r="D329" s="29">
        <f>SUM(D314:D328)</f>
        <v/>
      </c>
      <c r="E329" s="29">
        <f>SUM(E314:E328)</f>
        <v/>
      </c>
      <c r="F329" s="29">
        <f>SUM(F314:F328)</f>
        <v/>
      </c>
      <c r="G329" s="29">
        <f>SUM(G314:G328)</f>
        <v/>
      </c>
      <c r="H329" s="29">
        <f>SUM(H314:H328)</f>
        <v/>
      </c>
      <c r="I329" s="29">
        <f>SUM(I314:I328)</f>
        <v/>
      </c>
    </row>
    <row r="330">
      <c r="A330" s="14" t="n"/>
      <c r="B330" s="17" t="inlineStr">
        <is>
          <t>Cost Center ('950',) Total</t>
        </is>
      </c>
      <c r="C330" s="32">
        <f>C329</f>
        <v/>
      </c>
      <c r="D330" s="32">
        <f>D329</f>
        <v/>
      </c>
      <c r="E330" s="32">
        <f>E329</f>
        <v/>
      </c>
      <c r="F330" s="32">
        <f>F329</f>
        <v/>
      </c>
      <c r="G330" s="32">
        <f>G329</f>
        <v/>
      </c>
      <c r="H330" s="32">
        <f>H329</f>
        <v/>
      </c>
      <c r="I330" s="32">
        <f>I329</f>
        <v/>
      </c>
    </row>
    <row r="332">
      <c r="A332" s="14" t="n"/>
      <c r="B332" s="33" t="inlineStr">
        <is>
          <t>ARTICLE 5 TOTAL</t>
        </is>
      </c>
      <c r="C332" s="34">
        <f>C53+C94+C138+C177+C219+C283+C311+C330</f>
        <v/>
      </c>
      <c r="D332" s="34">
        <f>D53+D94+D138+D177+D219+D283+D311+D330</f>
        <v/>
      </c>
      <c r="E332" s="34">
        <f>E53+E94+E138+E177+E219+E283+E311+E330</f>
        <v/>
      </c>
      <c r="F332" s="34">
        <f>F53+F94+F138+F177+F219+F283+F311+F330</f>
        <v/>
      </c>
      <c r="G332" s="34">
        <f>G53+G94+G138+G177+G219+G283+G311+G330</f>
        <v/>
      </c>
      <c r="H332" s="34">
        <f>H53+H94+H138+H177+H219+H283+H311+H330</f>
        <v/>
      </c>
      <c r="I332" s="34">
        <f>I53+I94+I138+I177+I219+I283+I311+I330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1000.0000.2310.51500.900</t>
        </is>
      </c>
      <c r="B7" s="6" t="inlineStr">
        <is>
          <t>Stipends</t>
        </is>
      </c>
      <c r="C7" s="24" t="n">
        <v>6500</v>
      </c>
      <c r="D7" s="24" t="n">
        <v>5450</v>
      </c>
      <c r="E7" s="24" t="n">
        <v>6598</v>
      </c>
      <c r="F7" s="24" t="n">
        <v>8000</v>
      </c>
      <c r="G7" s="24" t="n">
        <v>11000</v>
      </c>
      <c r="H7" s="24">
        <f>G7-F7</f>
        <v/>
      </c>
      <c r="I7" s="8">
        <f>IF(F7=0,0,G7/F7-1)</f>
        <v/>
      </c>
    </row>
    <row r="8">
      <c r="A8" s="6" t="inlineStr">
        <is>
          <t>1000.0000.2310.52000.900</t>
        </is>
      </c>
      <c r="B8" s="6" t="inlineStr">
        <is>
          <t>Board Stipend Benefits</t>
        </is>
      </c>
      <c r="C8" s="24" t="n">
        <v>524</v>
      </c>
      <c r="D8" s="24" t="n">
        <v>445</v>
      </c>
      <c r="E8" s="24" t="n">
        <v>101</v>
      </c>
      <c r="F8" s="24" t="n">
        <v>700</v>
      </c>
      <c r="G8" s="24" t="n">
        <v>700</v>
      </c>
      <c r="H8" s="24">
        <f>G8-F8</f>
        <v/>
      </c>
      <c r="I8" s="8">
        <f>IF(F8=0,0,G8/F8-1)</f>
        <v/>
      </c>
    </row>
    <row r="9">
      <c r="A9" s="6" t="inlineStr">
        <is>
          <t>1000.0000.2310.53400.900</t>
        </is>
      </c>
      <c r="B9" s="6" t="inlineStr">
        <is>
          <t>Professional Services</t>
        </is>
      </c>
      <c r="C9" s="24" t="n">
        <v>9522</v>
      </c>
      <c r="D9" s="24" t="n">
        <v>22239</v>
      </c>
      <c r="E9" s="24" t="n">
        <v>5505</v>
      </c>
      <c r="F9" s="24" t="n">
        <v>57000</v>
      </c>
      <c r="G9" s="24" t="n">
        <v>57000</v>
      </c>
      <c r="H9" s="24">
        <f>G9-F9</f>
        <v/>
      </c>
      <c r="I9" s="8">
        <f>IF(F9=0,0,G9/F9-1)</f>
        <v/>
      </c>
    </row>
    <row r="10">
      <c r="A10" s="6" t="inlineStr">
        <is>
          <t>1000.0000.2310.55200.900</t>
        </is>
      </c>
      <c r="B10" s="6" t="inlineStr">
        <is>
          <t>Insurance</t>
        </is>
      </c>
      <c r="C10" s="24" t="n">
        <v>16651</v>
      </c>
      <c r="D10" s="24" t="n">
        <v>16688</v>
      </c>
      <c r="E10" s="24" t="n">
        <v>24611</v>
      </c>
      <c r="F10" s="24" t="n">
        <v>29533</v>
      </c>
      <c r="G10" s="24" t="n">
        <v>35000</v>
      </c>
      <c r="H10" s="24">
        <f>G10-F10</f>
        <v/>
      </c>
      <c r="I10" s="8">
        <f>IF(F10=0,0,G10/F10-1)</f>
        <v/>
      </c>
    </row>
    <row r="11">
      <c r="A11" s="6" t="inlineStr">
        <is>
          <t>1000.0000.2310.55800.900</t>
        </is>
      </c>
      <c r="B11" s="6" t="inlineStr">
        <is>
          <t>Committee Travel</t>
        </is>
      </c>
      <c r="C11" s="24" t="n">
        <v>0</v>
      </c>
      <c r="D11" s="24" t="n">
        <v>0</v>
      </c>
      <c r="E11" s="24" t="n">
        <v>0</v>
      </c>
      <c r="F11" s="24" t="n">
        <v>300</v>
      </c>
      <c r="G11" s="24" t="n">
        <v>300</v>
      </c>
      <c r="H11" s="24">
        <f>G11-F11</f>
        <v/>
      </c>
      <c r="I11" s="8">
        <f>IF(F11=0,0,G11/F11-1)</f>
        <v/>
      </c>
    </row>
    <row r="12">
      <c r="A12" s="6" t="inlineStr">
        <is>
          <t>1000.0000.2310.56000.900</t>
        </is>
      </c>
      <c r="B12" s="6" t="inlineStr">
        <is>
          <t>Supplies</t>
        </is>
      </c>
      <c r="C12" s="24" t="n">
        <v>2952</v>
      </c>
      <c r="D12" s="24" t="n">
        <v>478</v>
      </c>
      <c r="E12" s="24" t="n">
        <v>360</v>
      </c>
      <c r="F12" s="24" t="n">
        <v>300</v>
      </c>
      <c r="G12" s="24" t="n">
        <v>300</v>
      </c>
      <c r="H12" s="24">
        <f>G12-F12</f>
        <v/>
      </c>
      <c r="I12" s="8">
        <f>IF(F12=0,0,G12/F12-1)</f>
        <v/>
      </c>
    </row>
    <row r="13">
      <c r="A13" s="6" t="inlineStr">
        <is>
          <t>1000.0000.2310.58100.900</t>
        </is>
      </c>
      <c r="B13" s="6" t="inlineStr">
        <is>
          <t>Dues &amp; Fees</t>
        </is>
      </c>
      <c r="C13" s="24" t="n">
        <v>582</v>
      </c>
      <c r="D13" s="24" t="n">
        <v>5443</v>
      </c>
      <c r="E13" s="24" t="n">
        <v>5186</v>
      </c>
      <c r="F13" s="24" t="n">
        <v>6670</v>
      </c>
      <c r="G13" s="24" t="n">
        <v>6670</v>
      </c>
      <c r="H13" s="24">
        <f>G13-F13</f>
        <v/>
      </c>
      <c r="I13" s="8">
        <f>IF(F13=0,0,G13/F13-1)</f>
        <v/>
      </c>
    </row>
    <row r="14">
      <c r="A14" s="14" t="n"/>
      <c r="B14" s="28" t="inlineStr">
        <is>
          <t>Program 0000 Total</t>
        </is>
      </c>
      <c r="C14" s="29">
        <f>SUM(C7:C13)</f>
        <v/>
      </c>
      <c r="D14" s="29">
        <f>SUM(D7:D13)</f>
        <v/>
      </c>
      <c r="E14" s="29">
        <f>SUM(E7:E13)</f>
        <v/>
      </c>
      <c r="F14" s="29">
        <f>SUM(F7:F13)</f>
        <v/>
      </c>
      <c r="G14" s="29">
        <f>SUM(G7:G13)</f>
        <v/>
      </c>
      <c r="H14" s="29">
        <f>SUM(H7:H13)</f>
        <v/>
      </c>
      <c r="I14" s="29">
        <f>SUM(I7:I13)</f>
        <v/>
      </c>
    </row>
    <row r="15">
      <c r="A15" s="6" t="inlineStr">
        <is>
          <t>1000.0000.2320.51040.900</t>
        </is>
      </c>
      <c r="B15" s="6" t="inlineStr">
        <is>
          <t>Superintendent's Salary</t>
        </is>
      </c>
      <c r="C15" s="24" t="n">
        <v>184721</v>
      </c>
      <c r="D15" s="24" t="n">
        <v>190725</v>
      </c>
      <c r="E15" s="24" t="n">
        <v>204344</v>
      </c>
      <c r="F15" s="24" t="n">
        <v>202837</v>
      </c>
      <c r="G15" s="24" t="n">
        <v>210950</v>
      </c>
      <c r="H15" s="24">
        <f>G15-F15</f>
        <v/>
      </c>
      <c r="I15" s="8">
        <f>IF(F15=0,0,G15/F15-1)</f>
        <v/>
      </c>
    </row>
    <row r="16">
      <c r="A16" s="6" t="inlineStr">
        <is>
          <t>1000.0000.2320.51180.900</t>
        </is>
      </c>
      <c r="B16" s="6" t="inlineStr">
        <is>
          <t>Support Wages</t>
        </is>
      </c>
      <c r="C16" s="24" t="n">
        <v>68983</v>
      </c>
      <c r="D16" s="24" t="n">
        <v>70363</v>
      </c>
      <c r="E16" s="24" t="n">
        <v>80376</v>
      </c>
      <c r="F16" s="24" t="n">
        <v>74286</v>
      </c>
      <c r="G16" s="24" t="n">
        <v>76506</v>
      </c>
      <c r="H16" s="24">
        <f>G16-F16</f>
        <v/>
      </c>
      <c r="I16" s="8">
        <f>IF(F16=0,0,G16/F16-1)</f>
        <v/>
      </c>
    </row>
    <row r="17">
      <c r="A17" s="6" t="inlineStr">
        <is>
          <t>1000.0000.2320.52000.900</t>
        </is>
      </c>
      <c r="B17" s="6" t="inlineStr">
        <is>
          <t>Benefits</t>
        </is>
      </c>
      <c r="C17" s="24" t="n">
        <v>0</v>
      </c>
      <c r="D17" s="24" t="n">
        <v>1</v>
      </c>
      <c r="E17" s="24" t="n">
        <v>0</v>
      </c>
      <c r="F17" s="24" t="n">
        <v>0</v>
      </c>
      <c r="G17" s="24" t="n">
        <v>0</v>
      </c>
      <c r="H17" s="24">
        <f>G17-F17</f>
        <v/>
      </c>
      <c r="I17" s="8">
        <f>IF(F17=0,0,G17/F17-1)</f>
        <v/>
      </c>
    </row>
    <row r="18">
      <c r="A18" s="6" t="inlineStr">
        <is>
          <t>1000.0000.2320.52040.900</t>
        </is>
      </c>
      <c r="B18" s="6" t="inlineStr">
        <is>
          <t>Superintendent Benefits</t>
        </is>
      </c>
      <c r="C18" s="24" t="n">
        <v>31005</v>
      </c>
      <c r="D18" s="24" t="n">
        <v>32225</v>
      </c>
      <c r="E18" s="24" t="n">
        <v>28768</v>
      </c>
      <c r="F18" s="24" t="n">
        <v>38912</v>
      </c>
      <c r="G18" s="24" t="n">
        <v>47228</v>
      </c>
      <c r="H18" s="24">
        <f>G18-F18</f>
        <v/>
      </c>
      <c r="I18" s="8">
        <f>IF(F18=0,0,G18/F18-1)</f>
        <v/>
      </c>
    </row>
    <row r="19">
      <c r="A19" s="6" t="inlineStr">
        <is>
          <t>1000.0000.2320.52080.900</t>
        </is>
      </c>
      <c r="B19" s="6" t="inlineStr">
        <is>
          <t>Support Benefits</t>
        </is>
      </c>
      <c r="C19" s="24" t="n">
        <v>21460</v>
      </c>
      <c r="D19" s="24" t="n">
        <v>21454</v>
      </c>
      <c r="E19" s="24" t="n">
        <v>13412</v>
      </c>
      <c r="F19" s="24" t="n">
        <v>22230</v>
      </c>
      <c r="G19" s="24" t="n">
        <v>22996</v>
      </c>
      <c r="H19" s="24">
        <f>G19-F19</f>
        <v/>
      </c>
      <c r="I19" s="8">
        <f>IF(F19=0,0,G19/F19-1)</f>
        <v/>
      </c>
    </row>
    <row r="20">
      <c r="A20" s="6" t="inlineStr">
        <is>
          <t>1000.0000.2320.52340.900</t>
        </is>
      </c>
      <c r="B20" s="6" t="inlineStr">
        <is>
          <t>Retirement</t>
        </is>
      </c>
      <c r="C20" s="24" t="n">
        <v>7333</v>
      </c>
      <c r="D20" s="24" t="n">
        <v>7953</v>
      </c>
      <c r="E20" s="24" t="n">
        <v>3145</v>
      </c>
      <c r="F20" s="24" t="n">
        <v>8794</v>
      </c>
      <c r="G20" s="24" t="n">
        <v>8775</v>
      </c>
      <c r="H20" s="24">
        <f>G20-F20</f>
        <v/>
      </c>
      <c r="I20" s="8">
        <f>IF(F20=0,0,G20/F20-1)</f>
        <v/>
      </c>
    </row>
    <row r="21">
      <c r="A21" s="6" t="inlineStr">
        <is>
          <t>1000.0000.2320.53400.900</t>
        </is>
      </c>
      <c r="B21" s="6" t="inlineStr">
        <is>
          <t>Professional Services</t>
        </is>
      </c>
      <c r="C21" s="24" t="n">
        <v>88041</v>
      </c>
      <c r="D21" s="24" t="n">
        <v>111196</v>
      </c>
      <c r="E21" s="24" t="n">
        <v>100904</v>
      </c>
      <c r="F21" s="24" t="n">
        <v>117550</v>
      </c>
      <c r="G21" s="24" t="n">
        <v>125363</v>
      </c>
      <c r="H21" s="24">
        <f>G21-F21</f>
        <v/>
      </c>
      <c r="I21" s="8">
        <f>IF(F21=0,0,G21/F21-1)</f>
        <v/>
      </c>
    </row>
    <row r="22">
      <c r="A22" s="6" t="inlineStr">
        <is>
          <t>1000.0000.2320.54330.900</t>
        </is>
      </c>
      <c r="B22" s="6" t="inlineStr">
        <is>
          <t>Software Repairs &amp; Maintenance $82,138</t>
        </is>
      </c>
      <c r="C22" s="24" t="n">
        <v>21535</v>
      </c>
      <c r="D22" s="24" t="n">
        <v>79789</v>
      </c>
      <c r="E22" s="24" t="n">
        <v>92635</v>
      </c>
      <c r="F22" s="24" t="n">
        <v>50710</v>
      </c>
      <c r="G22" s="24" t="n">
        <v>-41925</v>
      </c>
      <c r="H22" s="24">
        <f>G22-F22</f>
        <v/>
      </c>
      <c r="I22" s="8">
        <f>IF(F22=0,0,G22/F22-1)</f>
        <v/>
      </c>
    </row>
    <row r="23">
      <c r="A23" s="6" t="inlineStr">
        <is>
          <t>1000.0000.2320.54430.900</t>
        </is>
      </c>
      <c r="B23" s="6" t="inlineStr">
        <is>
          <t>Rental/Leases</t>
        </is>
      </c>
      <c r="C23" s="24" t="n">
        <v>0</v>
      </c>
      <c r="D23" s="24" t="n">
        <v>3031</v>
      </c>
      <c r="E23" s="24" t="n">
        <v>-528</v>
      </c>
      <c r="F23" s="24" t="n">
        <v>0</v>
      </c>
      <c r="G23" s="24" t="n">
        <v>0</v>
      </c>
      <c r="H23" s="24">
        <f>G23-F23</f>
        <v/>
      </c>
      <c r="I23" s="8">
        <f>IF(F23=0,0,G23/F23-1)</f>
        <v/>
      </c>
    </row>
    <row r="24">
      <c r="A24" s="6" t="inlineStr">
        <is>
          <t>1000.0000.2320.55310.900</t>
        </is>
      </c>
      <c r="B24" s="6" t="inlineStr">
        <is>
          <t>Postage</t>
        </is>
      </c>
      <c r="C24" s="24" t="n">
        <v>6804</v>
      </c>
      <c r="D24" s="24" t="n">
        <v>6952</v>
      </c>
      <c r="E24" s="24" t="n">
        <v>6332</v>
      </c>
      <c r="F24" s="24" t="n">
        <v>7370</v>
      </c>
      <c r="G24" s="24" t="n">
        <v>7370</v>
      </c>
      <c r="H24" s="24">
        <f>G24-F24</f>
        <v/>
      </c>
      <c r="I24" s="8">
        <f>IF(F24=0,0,G24/F24-1)</f>
        <v/>
      </c>
    </row>
    <row r="25">
      <c r="A25" s="6" t="inlineStr">
        <is>
          <t>1000.0000.2320.55320.900</t>
        </is>
      </c>
      <c r="B25" s="6" t="inlineStr">
        <is>
          <t>Telephone</t>
        </is>
      </c>
      <c r="C25" s="24" t="n">
        <v>0</v>
      </c>
      <c r="D25" s="24" t="n">
        <v>351</v>
      </c>
      <c r="E25" s="24" t="n">
        <v>0</v>
      </c>
      <c r="F25" s="24" t="n">
        <v>0</v>
      </c>
      <c r="G25" s="24" t="n">
        <v>0</v>
      </c>
      <c r="H25" s="24">
        <f>G25-F25</f>
        <v/>
      </c>
      <c r="I25" s="8">
        <f>IF(F25=0,0,G25/F25-1)</f>
        <v/>
      </c>
    </row>
    <row r="26">
      <c r="A26" s="6" t="inlineStr">
        <is>
          <t>1000.0000.2320.55400.900</t>
        </is>
      </c>
      <c r="B26" s="6" t="inlineStr">
        <is>
          <t>Advertising</t>
        </is>
      </c>
      <c r="C26" s="24" t="n">
        <v>2127</v>
      </c>
      <c r="D26" s="24" t="n">
        <v>198</v>
      </c>
      <c r="E26" s="24" t="n">
        <v>1939</v>
      </c>
      <c r="F26" s="24" t="n">
        <v>6000</v>
      </c>
      <c r="G26" s="24" t="n">
        <v>6000</v>
      </c>
      <c r="H26" s="24">
        <f>G26-F26</f>
        <v/>
      </c>
      <c r="I26" s="8">
        <f>IF(F26=0,0,G26/F26-1)</f>
        <v/>
      </c>
    </row>
    <row r="27">
      <c r="A27" s="6" t="inlineStr">
        <is>
          <t>1000.0000.2320.55800.900</t>
        </is>
      </c>
      <c r="B27" s="6" t="inlineStr">
        <is>
          <t>Travel</t>
        </is>
      </c>
      <c r="C27" s="24" t="n">
        <v>1328</v>
      </c>
      <c r="D27" s="24" t="n">
        <v>2548</v>
      </c>
      <c r="E27" s="24" t="n">
        <v>126</v>
      </c>
      <c r="F27" s="24" t="n">
        <v>1500</v>
      </c>
      <c r="G27" s="24" t="n">
        <v>0</v>
      </c>
      <c r="H27" s="24">
        <f>G27-F27</f>
        <v/>
      </c>
      <c r="I27" s="8">
        <f>IF(F27=0,0,G27/F27-1)</f>
        <v/>
      </c>
    </row>
    <row r="28">
      <c r="A28" s="6" t="inlineStr">
        <is>
          <t>1000.0000.2320.56000.900</t>
        </is>
      </c>
      <c r="B28" s="6" t="inlineStr">
        <is>
          <t>Supplies</t>
        </is>
      </c>
      <c r="C28" s="24" t="n">
        <v>10011</v>
      </c>
      <c r="D28" s="24" t="n">
        <v>7830</v>
      </c>
      <c r="E28" s="24" t="n">
        <v>14042</v>
      </c>
      <c r="F28" s="24" t="n">
        <v>14000</v>
      </c>
      <c r="G28" s="24" t="n">
        <v>14000</v>
      </c>
      <c r="H28" s="24">
        <f>G28-F28</f>
        <v/>
      </c>
      <c r="I28" s="8">
        <f>IF(F28=0,0,G28/F28-1)</f>
        <v/>
      </c>
    </row>
    <row r="29">
      <c r="A29" s="6" t="inlineStr">
        <is>
          <t>1000.0000.2320.56400.900</t>
        </is>
      </c>
      <c r="B29" s="6" t="inlineStr">
        <is>
          <t>Books</t>
        </is>
      </c>
      <c r="C29" s="24" t="n">
        <v>339</v>
      </c>
      <c r="D29" s="24" t="n">
        <v>40</v>
      </c>
      <c r="E29" s="24" t="n">
        <v>506</v>
      </c>
      <c r="F29" s="24" t="n">
        <v>300</v>
      </c>
      <c r="G29" s="24" t="n">
        <v>300</v>
      </c>
      <c r="H29" s="24">
        <f>G29-F29</f>
        <v/>
      </c>
      <c r="I29" s="8">
        <f>IF(F29=0,0,G29/F29-1)</f>
        <v/>
      </c>
    </row>
    <row r="30">
      <c r="A30" s="6" t="inlineStr">
        <is>
          <t>1000.0000.2320.57340.900</t>
        </is>
      </c>
      <c r="B30" s="6" t="inlineStr">
        <is>
          <t>Technology Equipment</t>
        </is>
      </c>
      <c r="C30" s="24" t="n">
        <v>5964</v>
      </c>
      <c r="D30" s="24" t="n">
        <v>-8136</v>
      </c>
      <c r="E30" s="24" t="n">
        <v>558</v>
      </c>
      <c r="F30" s="24" t="n">
        <v>2000</v>
      </c>
      <c r="G30" s="24" t="n">
        <v>2000</v>
      </c>
      <c r="H30" s="24">
        <f>G30-F30</f>
        <v/>
      </c>
      <c r="I30" s="8">
        <f>IF(F30=0,0,G30/F30-1)</f>
        <v/>
      </c>
    </row>
    <row r="31">
      <c r="A31" s="6" t="inlineStr">
        <is>
          <t>1000.0000.2320.58100.900</t>
        </is>
      </c>
      <c r="B31" s="6" t="inlineStr">
        <is>
          <t>Dues and Fees</t>
        </is>
      </c>
      <c r="C31" s="24" t="n">
        <v>26786</v>
      </c>
      <c r="D31" s="24" t="n">
        <v>9055</v>
      </c>
      <c r="E31" s="24" t="n">
        <v>12388</v>
      </c>
      <c r="F31" s="24" t="n">
        <v>11500</v>
      </c>
      <c r="G31" s="24" t="n">
        <v>11000</v>
      </c>
      <c r="H31" s="24">
        <f>G31-F31</f>
        <v/>
      </c>
      <c r="I31" s="8">
        <f>IF(F31=0,0,G31/F31-1)</f>
        <v/>
      </c>
    </row>
    <row r="32">
      <c r="A32" s="6" t="inlineStr">
        <is>
          <t>1000.0000.2320.59000.900</t>
        </is>
      </c>
      <c r="B32" s="6" t="inlineStr">
        <is>
          <t>Aspirations / Miscellaneous</t>
        </is>
      </c>
      <c r="C32" s="24" t="n">
        <v>6119</v>
      </c>
      <c r="D32" s="24" t="n">
        <v>5000</v>
      </c>
      <c r="E32" s="24" t="n">
        <v>0</v>
      </c>
      <c r="F32" s="24" t="n">
        <v>12172</v>
      </c>
      <c r="G32" s="24" t="n">
        <v>12172</v>
      </c>
      <c r="H32" s="24">
        <f>G32-F32</f>
        <v/>
      </c>
      <c r="I32" s="8">
        <f>IF(F32=0,0,G32/F32-1)</f>
        <v/>
      </c>
    </row>
    <row r="33">
      <c r="A33" s="14" t="n"/>
      <c r="B33" s="28" t="inlineStr">
        <is>
          <t>Program 0000 Total</t>
        </is>
      </c>
      <c r="C33" s="29">
        <f>SUM(C15:C32)</f>
        <v/>
      </c>
      <c r="D33" s="29">
        <f>SUM(D15:D32)</f>
        <v/>
      </c>
      <c r="E33" s="29">
        <f>SUM(E15:E32)</f>
        <v/>
      </c>
      <c r="F33" s="29">
        <f>SUM(F15:F32)</f>
        <v/>
      </c>
      <c r="G33" s="29">
        <f>SUM(G15:G32)</f>
        <v/>
      </c>
      <c r="H33" s="29">
        <f>SUM(H15:H32)</f>
        <v/>
      </c>
      <c r="I33" s="29">
        <f>SUM(I15:I32)</f>
        <v/>
      </c>
    </row>
    <row r="34">
      <c r="A34" s="6" t="inlineStr">
        <is>
          <t>1000.0000.2500.51040.900</t>
        </is>
      </c>
      <c r="B34" s="6" t="inlineStr">
        <is>
          <t>Administrator Salary</t>
        </is>
      </c>
      <c r="C34" s="24" t="n">
        <v>97344</v>
      </c>
      <c r="D34" s="24" t="n">
        <v>99948</v>
      </c>
      <c r="E34" s="24" t="n">
        <v>116395</v>
      </c>
      <c r="F34" s="24" t="n">
        <v>117350</v>
      </c>
      <c r="G34" s="24" t="n">
        <v>107120</v>
      </c>
      <c r="H34" s="24">
        <f>G34-F34</f>
        <v/>
      </c>
      <c r="I34" s="8">
        <f>IF(F34=0,0,G34/F34-1)</f>
        <v/>
      </c>
    </row>
    <row r="35">
      <c r="A35" s="6" t="inlineStr">
        <is>
          <t>1000.0000.2500.51180.900</t>
        </is>
      </c>
      <c r="B35" s="6" t="inlineStr">
        <is>
          <t>Salaries</t>
        </is>
      </c>
      <c r="C35" s="24" t="n">
        <v>122868</v>
      </c>
      <c r="D35" s="24" t="n">
        <v>157762</v>
      </c>
      <c r="E35" s="24" t="n">
        <v>151962</v>
      </c>
      <c r="F35" s="24" t="n">
        <v>163079</v>
      </c>
      <c r="G35" s="24" t="n">
        <v>176005</v>
      </c>
      <c r="H35" s="24">
        <f>G35-F35</f>
        <v/>
      </c>
      <c r="I35" s="8">
        <f>IF(F35=0,0,G35/F35-1)</f>
        <v/>
      </c>
    </row>
    <row r="36">
      <c r="A36" s="6" t="inlineStr">
        <is>
          <t>1000.0000.2500.52040.900</t>
        </is>
      </c>
      <c r="B36" s="6" t="inlineStr">
        <is>
          <t>Admin Benefits</t>
        </is>
      </c>
      <c r="C36" s="24" t="n">
        <v>30731</v>
      </c>
      <c r="D36" s="24" t="n">
        <v>20441</v>
      </c>
      <c r="E36" s="24" t="n">
        <v>7460</v>
      </c>
      <c r="F36" s="24" t="n">
        <v>11052</v>
      </c>
      <c r="G36" s="24" t="n">
        <v>20506</v>
      </c>
      <c r="H36" s="24">
        <f>G36-F36</f>
        <v/>
      </c>
      <c r="I36" s="8">
        <f>IF(F36=0,0,G36/F36-1)</f>
        <v/>
      </c>
    </row>
    <row r="37">
      <c r="A37" s="6" t="inlineStr">
        <is>
          <t>1000.0000.2500.52080.900</t>
        </is>
      </c>
      <c r="B37" s="6" t="inlineStr">
        <is>
          <t>Benefits</t>
        </is>
      </c>
      <c r="C37" s="24" t="n">
        <v>58503</v>
      </c>
      <c r="D37" s="24" t="n">
        <v>43718</v>
      </c>
      <c r="E37" s="24" t="n">
        <v>34474</v>
      </c>
      <c r="F37" s="24" t="n">
        <v>46429</v>
      </c>
      <c r="G37" s="24" t="n">
        <v>56348</v>
      </c>
      <c r="H37" s="24">
        <f>G37-F37</f>
        <v/>
      </c>
      <c r="I37" s="8">
        <f>IF(F37=0,0,G37/F37-1)</f>
        <v/>
      </c>
    </row>
    <row r="38">
      <c r="A38" s="6" t="inlineStr">
        <is>
          <t>1000.0000.2500.52340.900</t>
        </is>
      </c>
      <c r="B38" s="6" t="inlineStr">
        <is>
          <t>Retirement</t>
        </is>
      </c>
      <c r="C38" s="24" t="n">
        <v>0</v>
      </c>
      <c r="D38" s="24" t="n">
        <v>0</v>
      </c>
      <c r="E38" s="24" t="n">
        <v>0</v>
      </c>
      <c r="F38" s="24" t="n">
        <v>10819</v>
      </c>
      <c r="G38" s="24" t="n">
        <v>10819</v>
      </c>
      <c r="H38" s="24">
        <f>G38-F38</f>
        <v/>
      </c>
      <c r="I38" s="8">
        <f>IF(F38=0,0,G38/F38-1)</f>
        <v/>
      </c>
    </row>
    <row r="39">
      <c r="A39" s="6" t="inlineStr">
        <is>
          <t>1000.0000.2500.53300.900</t>
        </is>
      </c>
      <c r="B39" s="6" t="inlineStr">
        <is>
          <t>Training &amp; Development Services $0</t>
        </is>
      </c>
      <c r="C39" s="24" t="n">
        <v>0</v>
      </c>
      <c r="D39" s="24" t="n">
        <v>0</v>
      </c>
      <c r="E39" s="24" t="n">
        <v>0</v>
      </c>
      <c r="F39" s="24" t="n">
        <v>2100</v>
      </c>
      <c r="G39" s="24" t="n">
        <v>2100</v>
      </c>
      <c r="H39" s="24">
        <f>G39-F39</f>
        <v/>
      </c>
      <c r="I39" s="8">
        <f>IF(F39=0,0,G39/F39-1)</f>
        <v/>
      </c>
    </row>
    <row r="40">
      <c r="A40" s="6" t="inlineStr">
        <is>
          <t>1000.0000.2500.55800.900</t>
        </is>
      </c>
      <c r="B40" s="6" t="inlineStr">
        <is>
          <t>Travel</t>
        </is>
      </c>
      <c r="C40" s="24" t="n">
        <v>0</v>
      </c>
      <c r="D40" s="24" t="n">
        <v>0</v>
      </c>
      <c r="E40" s="24" t="n">
        <v>0</v>
      </c>
      <c r="F40" s="24" t="n">
        <v>1000</v>
      </c>
      <c r="G40" s="24" t="n">
        <v>250</v>
      </c>
      <c r="H40" s="24">
        <f>G40-F40</f>
        <v/>
      </c>
      <c r="I40" s="8">
        <f>IF(F40=0,0,G40/F40-1)</f>
        <v/>
      </c>
    </row>
    <row r="41">
      <c r="A41" s="6" t="inlineStr">
        <is>
          <t>1000.0000.2500.55810.900</t>
        </is>
      </c>
      <c r="B41" s="6" t="inlineStr">
        <is>
          <t>Travel</t>
        </is>
      </c>
      <c r="C41" s="24" t="n">
        <v>223</v>
      </c>
      <c r="D41" s="24" t="n">
        <v>380</v>
      </c>
      <c r="E41" s="24" t="n">
        <v>0</v>
      </c>
      <c r="F41" s="24" t="n">
        <v>0</v>
      </c>
      <c r="G41" s="24" t="n">
        <v>0</v>
      </c>
      <c r="H41" s="24">
        <f>G41-F41</f>
        <v/>
      </c>
      <c r="I41" s="8">
        <f>IF(F41=0,0,G41/F41-1)</f>
        <v/>
      </c>
    </row>
    <row r="42">
      <c r="A42" s="6" t="inlineStr">
        <is>
          <t>1000.0000.2500.58100.900</t>
        </is>
      </c>
      <c r="B42" s="6" t="inlineStr">
        <is>
          <t>Dues and Fees</t>
        </is>
      </c>
      <c r="C42" s="24" t="n">
        <v>3839</v>
      </c>
      <c r="D42" s="24" t="n">
        <v>4255</v>
      </c>
      <c r="E42" s="24" t="n">
        <v>0</v>
      </c>
      <c r="F42" s="24" t="n">
        <v>3500</v>
      </c>
      <c r="G42" s="24" t="n">
        <v>3500</v>
      </c>
      <c r="H42" s="24">
        <f>G42-F42</f>
        <v/>
      </c>
      <c r="I42" s="8">
        <f>IF(F42=0,0,G42/F42-1)</f>
        <v/>
      </c>
    </row>
    <row r="43">
      <c r="A43" s="6" t="inlineStr">
        <is>
          <t>1000.0000.2500.59000.900</t>
        </is>
      </c>
      <c r="B43" s="6" t="inlineStr">
        <is>
          <t>Outstanding Checks Clearing Acct $233</t>
        </is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H43" s="24">
        <f>G43-F43</f>
        <v/>
      </c>
      <c r="I43" s="8">
        <f>IF(F43=0,0,G43/F43-1)</f>
        <v/>
      </c>
    </row>
    <row r="44">
      <c r="A44" s="14" t="n"/>
      <c r="B44" s="28" t="inlineStr">
        <is>
          <t>Program 0000 Total</t>
        </is>
      </c>
      <c r="C44" s="29">
        <f>SUM(C34:C43)</f>
        <v/>
      </c>
      <c r="D44" s="29">
        <f>SUM(D34:D43)</f>
        <v/>
      </c>
      <c r="E44" s="29">
        <f>SUM(E34:E43)</f>
        <v/>
      </c>
      <c r="F44" s="29">
        <f>SUM(F34:F43)</f>
        <v/>
      </c>
      <c r="G44" s="29">
        <f>SUM(G34:G43)</f>
        <v/>
      </c>
      <c r="H44" s="29">
        <f>SUM(H34:H43)</f>
        <v/>
      </c>
      <c r="I44" s="29">
        <f>SUM(I34:I43)</f>
        <v/>
      </c>
    </row>
    <row r="45">
      <c r="A45" s="14" t="n"/>
      <c r="B45" s="17" t="inlineStr">
        <is>
          <t>Cost Center ('900',) Total</t>
        </is>
      </c>
      <c r="C45" s="32">
        <f>C14+C33+C44</f>
        <v/>
      </c>
      <c r="D45" s="32">
        <f>D14+D33+D44</f>
        <v/>
      </c>
      <c r="E45" s="32">
        <f>E14+E33+E44</f>
        <v/>
      </c>
      <c r="F45" s="32">
        <f>F14+F33+F44</f>
        <v/>
      </c>
      <c r="G45" s="32">
        <f>G14+G33+G44</f>
        <v/>
      </c>
      <c r="H45" s="32">
        <f>H14+H33+H44</f>
        <v/>
      </c>
      <c r="I45" s="32">
        <f>I14+I33+I44</f>
        <v/>
      </c>
    </row>
    <row r="47">
      <c r="A47" s="14" t="n"/>
      <c r="B47" s="33" t="inlineStr">
        <is>
          <t>ARTICLE 6 TOTAL</t>
        </is>
      </c>
      <c r="C47" s="34">
        <f>C45</f>
        <v/>
      </c>
      <c r="D47" s="34">
        <f>D45</f>
        <v/>
      </c>
      <c r="E47" s="34">
        <f>E45</f>
        <v/>
      </c>
      <c r="F47" s="34">
        <f>F45</f>
        <v/>
      </c>
      <c r="G47" s="34">
        <f>G45</f>
        <v/>
      </c>
      <c r="H47" s="34">
        <f>H45</f>
        <v/>
      </c>
      <c r="I47" s="34">
        <f>I45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1000.0000.2400.51040.010</t>
        </is>
      </c>
      <c r="B7" s="6" t="inlineStr">
        <is>
          <t>Admin Salary</t>
        </is>
      </c>
      <c r="C7" s="24" t="n">
        <v>197836</v>
      </c>
      <c r="D7" s="24" t="n">
        <v>206449</v>
      </c>
      <c r="E7" s="24" t="n">
        <v>221072</v>
      </c>
      <c r="F7" s="24" t="n">
        <v>220296</v>
      </c>
      <c r="G7" s="24" t="n">
        <v>232372</v>
      </c>
      <c r="H7" s="24">
        <f>G7-F7</f>
        <v/>
      </c>
      <c r="I7" s="8">
        <f>IF(F7=0,0,G7/F7-1)</f>
        <v/>
      </c>
    </row>
    <row r="8">
      <c r="A8" s="6" t="inlineStr">
        <is>
          <t>1000.0000.2400.51180.010</t>
        </is>
      </c>
      <c r="B8" s="6" t="inlineStr">
        <is>
          <t>Support Wages</t>
        </is>
      </c>
      <c r="C8" s="24" t="n">
        <v>69273</v>
      </c>
      <c r="D8" s="24" t="n">
        <v>70847</v>
      </c>
      <c r="E8" s="24" t="n">
        <v>79948</v>
      </c>
      <c r="F8" s="24" t="n">
        <v>81602</v>
      </c>
      <c r="G8" s="24" t="n">
        <v>81013</v>
      </c>
      <c r="H8" s="24">
        <f>G8-F8</f>
        <v/>
      </c>
      <c r="I8" s="8">
        <f>IF(F8=0,0,G8/F8-1)</f>
        <v/>
      </c>
    </row>
    <row r="9">
      <c r="A9" s="6" t="inlineStr">
        <is>
          <t>1000.0000.2400.52040.010</t>
        </is>
      </c>
      <c r="B9" s="6" t="inlineStr">
        <is>
          <t>Admin Benefits</t>
        </is>
      </c>
      <c r="C9" s="24" t="n">
        <v>49668</v>
      </c>
      <c r="D9" s="24" t="n">
        <v>51003</v>
      </c>
      <c r="E9" s="24" t="n">
        <v>46526</v>
      </c>
      <c r="F9" s="24" t="n">
        <v>50599</v>
      </c>
      <c r="G9" s="24" t="n">
        <v>59256</v>
      </c>
      <c r="H9" s="24">
        <f>G9-F9</f>
        <v/>
      </c>
      <c r="I9" s="8">
        <f>IF(F9=0,0,G9/F9-1)</f>
        <v/>
      </c>
    </row>
    <row r="10">
      <c r="A10" s="6" t="inlineStr">
        <is>
          <t>1000.0000.2400.52080.010</t>
        </is>
      </c>
      <c r="B10" s="6" t="inlineStr">
        <is>
          <t>Support Benefits</t>
        </is>
      </c>
      <c r="C10" s="24" t="n">
        <v>15211</v>
      </c>
      <c r="D10" s="24" t="n">
        <v>16166</v>
      </c>
      <c r="E10" s="24" t="n">
        <v>16320</v>
      </c>
      <c r="F10" s="24" t="n">
        <v>20672</v>
      </c>
      <c r="G10" s="24" t="n">
        <v>38103</v>
      </c>
      <c r="H10" s="24">
        <f>G10-F10</f>
        <v/>
      </c>
      <c r="I10" s="8">
        <f>IF(F10=0,0,G10/F10-1)</f>
        <v/>
      </c>
    </row>
    <row r="11">
      <c r="A11" s="6" t="inlineStr">
        <is>
          <t>1000.0000.2400.52340.010</t>
        </is>
      </c>
      <c r="B11" s="6" t="inlineStr">
        <is>
          <t>Retirement</t>
        </is>
      </c>
      <c r="C11" s="24" t="n">
        <v>7854</v>
      </c>
      <c r="D11" s="24" t="n">
        <v>8559</v>
      </c>
      <c r="E11" s="24" t="n">
        <v>3392</v>
      </c>
      <c r="F11" s="24" t="n">
        <v>9164</v>
      </c>
      <c r="G11" s="24" t="n">
        <v>9666</v>
      </c>
      <c r="H11" s="24">
        <f>G11-F11</f>
        <v/>
      </c>
      <c r="I11" s="8">
        <f>IF(F11=0,0,G11/F11-1)</f>
        <v/>
      </c>
    </row>
    <row r="12">
      <c r="A12" s="6" t="inlineStr">
        <is>
          <t>1000.0000.2400.52380.010</t>
        </is>
      </c>
      <c r="B12" s="6" t="inlineStr">
        <is>
          <t>Retirement</t>
        </is>
      </c>
      <c r="C12" s="24" t="n">
        <v>1375</v>
      </c>
      <c r="D12" s="24" t="n">
        <v>1620</v>
      </c>
      <c r="E12" s="24" t="n">
        <v>339</v>
      </c>
      <c r="F12" s="24" t="n">
        <v>1484</v>
      </c>
      <c r="G12" s="24" t="n">
        <v>0</v>
      </c>
      <c r="H12" s="24">
        <f>G12-F12</f>
        <v/>
      </c>
      <c r="I12" s="8">
        <f>IF(F12=0,0,G12/F12-1)</f>
        <v/>
      </c>
    </row>
    <row r="13">
      <c r="A13" s="6" t="inlineStr">
        <is>
          <t>1000.0000.2400.55310.010</t>
        </is>
      </c>
      <c r="B13" s="6" t="inlineStr">
        <is>
          <t>Postage</t>
        </is>
      </c>
      <c r="C13" s="24" t="n">
        <v>1430</v>
      </c>
      <c r="D13" s="24" t="n">
        <v>2180</v>
      </c>
      <c r="E13" s="24" t="n">
        <v>1739</v>
      </c>
      <c r="F13" s="24" t="n">
        <v>2020</v>
      </c>
      <c r="G13" s="24" t="n">
        <v>3040</v>
      </c>
      <c r="H13" s="24">
        <f>G13-F13</f>
        <v/>
      </c>
      <c r="I13" s="8">
        <f>IF(F13=0,0,G13/F13-1)</f>
        <v/>
      </c>
    </row>
    <row r="14">
      <c r="A14" s="6" t="inlineStr">
        <is>
          <t>1000.0000.2400.55800.010</t>
        </is>
      </c>
      <c r="B14" s="6" t="inlineStr">
        <is>
          <t>Travel</t>
        </is>
      </c>
      <c r="C14" s="24" t="n">
        <v>519</v>
      </c>
      <c r="D14" s="24" t="n">
        <v>624</v>
      </c>
      <c r="E14" s="24" t="n">
        <v>16</v>
      </c>
      <c r="F14" s="24" t="n">
        <v>520</v>
      </c>
      <c r="G14" s="24" t="n">
        <v>520</v>
      </c>
      <c r="H14" s="24">
        <f>G14-F14</f>
        <v/>
      </c>
      <c r="I14" s="8">
        <f>IF(F14=0,0,G14/F14-1)</f>
        <v/>
      </c>
    </row>
    <row r="15">
      <c r="A15" s="6" t="inlineStr">
        <is>
          <t>1000.0000.2400.56000.010</t>
        </is>
      </c>
      <c r="B15" s="6" t="inlineStr">
        <is>
          <t>Supplies</t>
        </is>
      </c>
      <c r="C15" s="24" t="n">
        <v>0</v>
      </c>
      <c r="D15" s="24" t="n">
        <v>0</v>
      </c>
      <c r="E15" s="24" t="n">
        <v>1150</v>
      </c>
      <c r="F15" s="24" t="n">
        <v>1030</v>
      </c>
      <c r="G15" s="24" t="n">
        <v>1030</v>
      </c>
      <c r="H15" s="24">
        <f>G15-F15</f>
        <v/>
      </c>
      <c r="I15" s="8">
        <f>IF(F15=0,0,G15/F15-1)</f>
        <v/>
      </c>
    </row>
    <row r="16">
      <c r="A16" s="6" t="inlineStr">
        <is>
          <t>1000.0000.2400.56100.010</t>
        </is>
      </c>
      <c r="B16" s="6" t="inlineStr">
        <is>
          <t>Supplies</t>
        </is>
      </c>
      <c r="C16" s="24" t="n">
        <v>984</v>
      </c>
      <c r="D16" s="24" t="n">
        <v>836</v>
      </c>
      <c r="E16" s="24" t="n">
        <v>76</v>
      </c>
      <c r="F16" s="24" t="n">
        <v>0</v>
      </c>
      <c r="G16" s="24" t="n">
        <v>0</v>
      </c>
      <c r="H16" s="24">
        <f>G16-F16</f>
        <v/>
      </c>
      <c r="I16" s="8">
        <f>IF(F16=0,0,G16/F16-1)</f>
        <v/>
      </c>
    </row>
    <row r="17">
      <c r="A17" s="6" t="inlineStr">
        <is>
          <t>1000.0000.2400.56400.010</t>
        </is>
      </c>
      <c r="B17" s="6" t="inlineStr">
        <is>
          <t>Books</t>
        </is>
      </c>
      <c r="C17" s="24" t="n">
        <v>132</v>
      </c>
      <c r="D17" s="24" t="n">
        <v>63</v>
      </c>
      <c r="E17" s="24" t="n">
        <v>161</v>
      </c>
      <c r="F17" s="24" t="n">
        <v>150</v>
      </c>
      <c r="G17" s="24" t="n">
        <v>150</v>
      </c>
      <c r="H17" s="24">
        <f>G17-F17</f>
        <v/>
      </c>
      <c r="I17" s="8">
        <f>IF(F17=0,0,G17/F17-1)</f>
        <v/>
      </c>
    </row>
    <row r="18">
      <c r="A18" s="6" t="inlineStr">
        <is>
          <t>1000.0000.2400.58100.010</t>
        </is>
      </c>
      <c r="B18" s="6" t="inlineStr">
        <is>
          <t>Dues &amp; Fees</t>
        </is>
      </c>
      <c r="C18" s="24" t="n">
        <v>799</v>
      </c>
      <c r="D18" s="24" t="n">
        <v>630</v>
      </c>
      <c r="E18" s="24" t="n">
        <v>730</v>
      </c>
      <c r="F18" s="24" t="n">
        <v>1150</v>
      </c>
      <c r="G18" s="24" t="n">
        <v>1150</v>
      </c>
      <c r="H18" s="24">
        <f>G18-F18</f>
        <v/>
      </c>
      <c r="I18" s="8">
        <f>IF(F18=0,0,G18/F18-1)</f>
        <v/>
      </c>
    </row>
    <row r="19">
      <c r="A19" s="14" t="n"/>
      <c r="B19" s="28" t="inlineStr">
        <is>
          <t>Program 0000 Total</t>
        </is>
      </c>
      <c r="C19" s="29">
        <f>SUM(C7:C18)</f>
        <v/>
      </c>
      <c r="D19" s="29">
        <f>SUM(D7:D18)</f>
        <v/>
      </c>
      <c r="E19" s="29">
        <f>SUM(E7:E18)</f>
        <v/>
      </c>
      <c r="F19" s="29">
        <f>SUM(F7:F18)</f>
        <v/>
      </c>
      <c r="G19" s="29">
        <f>SUM(G7:G18)</f>
        <v/>
      </c>
      <c r="H19" s="29">
        <f>SUM(H7:H18)</f>
        <v/>
      </c>
      <c r="I19" s="29">
        <f>SUM(I7:I18)</f>
        <v/>
      </c>
    </row>
    <row r="20">
      <c r="A20" s="14" t="n"/>
      <c r="B20" s="17" t="inlineStr">
        <is>
          <t>Cost Center ('010',) Total</t>
        </is>
      </c>
      <c r="C20" s="32">
        <f>C19</f>
        <v/>
      </c>
      <c r="D20" s="32">
        <f>D19</f>
        <v/>
      </c>
      <c r="E20" s="32">
        <f>E19</f>
        <v/>
      </c>
      <c r="F20" s="32">
        <f>F19</f>
        <v/>
      </c>
      <c r="G20" s="32">
        <f>G19</f>
        <v/>
      </c>
      <c r="H20" s="32">
        <f>H19</f>
        <v/>
      </c>
      <c r="I20" s="32">
        <f>I19</f>
        <v/>
      </c>
    </row>
    <row r="22">
      <c r="A22" s="3" t="inlineStr">
        <is>
          <t>Cost Center: ('020',)</t>
        </is>
      </c>
    </row>
    <row r="23">
      <c r="A23" s="6" t="inlineStr">
        <is>
          <t>1000.0000.2400.51040.020</t>
        </is>
      </c>
      <c r="B23" s="6" t="inlineStr">
        <is>
          <t>Admin Salary</t>
        </is>
      </c>
      <c r="C23" s="24" t="n">
        <v>99129</v>
      </c>
      <c r="D23" s="24" t="n">
        <v>103444</v>
      </c>
      <c r="E23" s="24" t="n">
        <v>111372</v>
      </c>
      <c r="F23" s="24" t="n">
        <v>114470</v>
      </c>
      <c r="G23" s="24" t="n">
        <v>115408</v>
      </c>
      <c r="H23" s="24">
        <f>G23-F23</f>
        <v/>
      </c>
      <c r="I23" s="8">
        <f>IF(F23=0,0,G23/F23-1)</f>
        <v/>
      </c>
    </row>
    <row r="24">
      <c r="A24" s="6" t="inlineStr">
        <is>
          <t>1000.0000.2400.51180.020</t>
        </is>
      </c>
      <c r="B24" s="6" t="inlineStr">
        <is>
          <t>Support Wages</t>
        </is>
      </c>
      <c r="C24" s="24" t="n">
        <v>42388</v>
      </c>
      <c r="D24" s="24" t="n">
        <v>42915</v>
      </c>
      <c r="E24" s="24" t="n">
        <v>56966</v>
      </c>
      <c r="F24" s="24" t="n">
        <v>55013</v>
      </c>
      <c r="G24" s="24" t="n">
        <v>57783</v>
      </c>
      <c r="H24" s="24">
        <f>G24-F24</f>
        <v/>
      </c>
      <c r="I24" s="8">
        <f>IF(F24=0,0,G24/F24-1)</f>
        <v/>
      </c>
    </row>
    <row r="25">
      <c r="A25" s="6" t="inlineStr">
        <is>
          <t>1000.0000.2400.52040.020</t>
        </is>
      </c>
      <c r="B25" s="6" t="inlineStr">
        <is>
          <t>Admin Benefits</t>
        </is>
      </c>
      <c r="C25" s="24" t="n">
        <v>9760</v>
      </c>
      <c r="D25" s="24" t="n">
        <v>8421</v>
      </c>
      <c r="E25" s="24" t="n">
        <v>5725</v>
      </c>
      <c r="F25" s="24" t="n">
        <v>3724</v>
      </c>
      <c r="G25" s="24" t="n">
        <v>12266</v>
      </c>
      <c r="H25" s="24">
        <f>G25-F25</f>
        <v/>
      </c>
      <c r="I25" s="8">
        <f>IF(F25=0,0,G25/F25-1)</f>
        <v/>
      </c>
    </row>
    <row r="26">
      <c r="A26" s="6" t="inlineStr">
        <is>
          <t>1000.0000.2400.52080.020</t>
        </is>
      </c>
      <c r="B26" s="6" t="inlineStr">
        <is>
          <t>Support Benefits</t>
        </is>
      </c>
      <c r="C26" s="24" t="n">
        <v>9246</v>
      </c>
      <c r="D26" s="24" t="n">
        <v>9504</v>
      </c>
      <c r="E26" s="24" t="n">
        <v>5521</v>
      </c>
      <c r="F26" s="24" t="n">
        <v>16514</v>
      </c>
      <c r="G26" s="24" t="n">
        <v>18827</v>
      </c>
      <c r="H26" s="24">
        <f>G26-F26</f>
        <v/>
      </c>
      <c r="I26" s="8">
        <f>IF(F26=0,0,G26/F26-1)</f>
        <v/>
      </c>
    </row>
    <row r="27">
      <c r="A27" s="6" t="inlineStr">
        <is>
          <t>1000.0000.2400.52340.020</t>
        </is>
      </c>
      <c r="B27" s="6" t="inlineStr">
        <is>
          <t>Retirement</t>
        </is>
      </c>
      <c r="C27" s="24" t="n">
        <v>3935</v>
      </c>
      <c r="D27" s="24" t="n">
        <v>4289</v>
      </c>
      <c r="E27" s="24" t="n">
        <v>1709</v>
      </c>
      <c r="F27" s="24" t="n">
        <v>4762</v>
      </c>
      <c r="G27" s="24" t="n">
        <v>4801</v>
      </c>
      <c r="H27" s="24">
        <f>G27-F27</f>
        <v/>
      </c>
      <c r="I27" s="8">
        <f>IF(F27=0,0,G27/F27-1)</f>
        <v/>
      </c>
    </row>
    <row r="28">
      <c r="A28" s="6" t="inlineStr">
        <is>
          <t>1000.0000.2400.55310.020</t>
        </is>
      </c>
      <c r="B28" s="6" t="inlineStr">
        <is>
          <t>Postage</t>
        </is>
      </c>
      <c r="C28" s="24" t="n">
        <v>406</v>
      </c>
      <c r="D28" s="24" t="n">
        <v>545</v>
      </c>
      <c r="E28" s="24" t="n">
        <v>570</v>
      </c>
      <c r="F28" s="24" t="n">
        <v>750</v>
      </c>
      <c r="G28" s="24" t="n">
        <v>1770</v>
      </c>
      <c r="H28" s="24">
        <f>G28-F28</f>
        <v/>
      </c>
      <c r="I28" s="8">
        <f>IF(F28=0,0,G28/F28-1)</f>
        <v/>
      </c>
    </row>
    <row r="29">
      <c r="A29" s="6" t="inlineStr">
        <is>
          <t>1000.0000.2400.55800.020</t>
        </is>
      </c>
      <c r="B29" s="6" t="inlineStr">
        <is>
          <t>Travel</t>
        </is>
      </c>
      <c r="C29" s="24" t="n">
        <v>19</v>
      </c>
      <c r="D29" s="24" t="n">
        <v>52</v>
      </c>
      <c r="E29" s="24" t="n">
        <v>16</v>
      </c>
      <c r="F29" s="24" t="n">
        <v>300</v>
      </c>
      <c r="G29" s="24" t="n">
        <v>300</v>
      </c>
      <c r="H29" s="24">
        <f>G29-F29</f>
        <v/>
      </c>
      <c r="I29" s="8">
        <f>IF(F29=0,0,G29/F29-1)</f>
        <v/>
      </c>
    </row>
    <row r="30">
      <c r="A30" s="6" t="inlineStr">
        <is>
          <t>1000.0000.2400.56000.020</t>
        </is>
      </c>
      <c r="B30" s="6" t="inlineStr">
        <is>
          <t>Supplies</t>
        </is>
      </c>
      <c r="C30" s="24" t="n">
        <v>500</v>
      </c>
      <c r="D30" s="24" t="n">
        <v>737</v>
      </c>
      <c r="E30" s="24" t="n">
        <v>141</v>
      </c>
      <c r="F30" s="24" t="n">
        <v>500</v>
      </c>
      <c r="G30" s="24" t="n">
        <v>500</v>
      </c>
      <c r="H30" s="24">
        <f>G30-F30</f>
        <v/>
      </c>
      <c r="I30" s="8">
        <f>IF(F30=0,0,G30/F30-1)</f>
        <v/>
      </c>
    </row>
    <row r="31">
      <c r="A31" s="6" t="inlineStr">
        <is>
          <t>1000.0000.2400.58100.020</t>
        </is>
      </c>
      <c r="B31" s="6" t="inlineStr">
        <is>
          <t>Dues &amp; Fees</t>
        </is>
      </c>
      <c r="C31" s="24" t="n">
        <v>290</v>
      </c>
      <c r="D31" s="24" t="n">
        <v>290</v>
      </c>
      <c r="E31" s="24" t="n">
        <v>340</v>
      </c>
      <c r="F31" s="24" t="n">
        <v>575</v>
      </c>
      <c r="G31" s="24" t="n">
        <v>575</v>
      </c>
      <c r="H31" s="24">
        <f>G31-F31</f>
        <v/>
      </c>
      <c r="I31" s="8">
        <f>IF(F31=0,0,G31/F31-1)</f>
        <v/>
      </c>
    </row>
    <row r="32">
      <c r="A32" s="14" t="n"/>
      <c r="B32" s="28" t="inlineStr">
        <is>
          <t>Program 0000 Total</t>
        </is>
      </c>
      <c r="C32" s="29">
        <f>SUM(C23:C31)</f>
        <v/>
      </c>
      <c r="D32" s="29">
        <f>SUM(D23:D31)</f>
        <v/>
      </c>
      <c r="E32" s="29">
        <f>SUM(E23:E31)</f>
        <v/>
      </c>
      <c r="F32" s="29">
        <f>SUM(F23:F31)</f>
        <v/>
      </c>
      <c r="G32" s="29">
        <f>SUM(G23:G31)</f>
        <v/>
      </c>
      <c r="H32" s="29">
        <f>SUM(H23:H31)</f>
        <v/>
      </c>
      <c r="I32" s="29">
        <f>SUM(I23:I31)</f>
        <v/>
      </c>
    </row>
    <row r="33">
      <c r="A33" s="14" t="n"/>
      <c r="B33" s="17" t="inlineStr">
        <is>
          <t>Cost Center ('020',) Total</t>
        </is>
      </c>
      <c r="C33" s="32">
        <f>C32</f>
        <v/>
      </c>
      <c r="D33" s="32">
        <f>D32</f>
        <v/>
      </c>
      <c r="E33" s="32">
        <f>E32</f>
        <v/>
      </c>
      <c r="F33" s="32">
        <f>F32</f>
        <v/>
      </c>
      <c r="G33" s="32">
        <f>G32</f>
        <v/>
      </c>
      <c r="H33" s="32">
        <f>H32</f>
        <v/>
      </c>
      <c r="I33" s="32">
        <f>I32</f>
        <v/>
      </c>
    </row>
    <row r="35">
      <c r="A35" s="3" t="inlineStr">
        <is>
          <t>Cost Center: ('030',)</t>
        </is>
      </c>
    </row>
    <row r="36">
      <c r="A36" s="6" t="inlineStr">
        <is>
          <t>1000.0000.2400.51040.030</t>
        </is>
      </c>
      <c r="B36" s="6" t="inlineStr">
        <is>
          <t>Admin Salary</t>
        </is>
      </c>
      <c r="C36" s="24" t="n">
        <v>99129</v>
      </c>
      <c r="D36" s="24" t="n">
        <v>103384</v>
      </c>
      <c r="E36" s="24" t="n">
        <v>111353</v>
      </c>
      <c r="F36" s="24" t="n">
        <v>110970</v>
      </c>
      <c r="G36" s="24" t="n">
        <v>115408</v>
      </c>
      <c r="H36" s="24">
        <f>G36-F36</f>
        <v/>
      </c>
      <c r="I36" s="8">
        <f>IF(F36=0,0,G36/F36-1)</f>
        <v/>
      </c>
    </row>
    <row r="37">
      <c r="A37" s="6" t="inlineStr">
        <is>
          <t>1000.0000.2400.51180.030</t>
        </is>
      </c>
      <c r="B37" s="6" t="inlineStr">
        <is>
          <t>Support Wages</t>
        </is>
      </c>
      <c r="C37" s="24" t="n">
        <v>30240</v>
      </c>
      <c r="D37" s="24" t="n">
        <v>34566</v>
      </c>
      <c r="E37" s="24" t="n">
        <v>37426</v>
      </c>
      <c r="F37" s="24" t="n">
        <v>41494</v>
      </c>
      <c r="G37" s="24" t="n">
        <v>37149</v>
      </c>
      <c r="H37" s="24">
        <f>G37-F37</f>
        <v/>
      </c>
      <c r="I37" s="8">
        <f>IF(F37=0,0,G37/F37-1)</f>
        <v/>
      </c>
    </row>
    <row r="38">
      <c r="A38" s="6" t="inlineStr">
        <is>
          <t>1000.0000.2400.52040.030</t>
        </is>
      </c>
      <c r="B38" s="6" t="inlineStr">
        <is>
          <t>Admin Benefits</t>
        </is>
      </c>
      <c r="C38" s="24" t="n">
        <v>18341</v>
      </c>
      <c r="D38" s="24" t="n">
        <v>14046</v>
      </c>
      <c r="E38" s="24" t="n">
        <v>9922</v>
      </c>
      <c r="F38" s="24" t="n">
        <v>11553</v>
      </c>
      <c r="G38" s="24" t="n">
        <v>29524</v>
      </c>
      <c r="H38" s="24">
        <f>G38-F38</f>
        <v/>
      </c>
      <c r="I38" s="8">
        <f>IF(F38=0,0,G38/F38-1)</f>
        <v/>
      </c>
    </row>
    <row r="39">
      <c r="A39" s="6" t="inlineStr">
        <is>
          <t>1000.0000.2400.52080.030</t>
        </is>
      </c>
      <c r="B39" s="6" t="inlineStr">
        <is>
          <t>Support Benefits</t>
        </is>
      </c>
      <c r="C39" s="24" t="n">
        <v>6769</v>
      </c>
      <c r="D39" s="24" t="n">
        <v>6686</v>
      </c>
      <c r="E39" s="24" t="n">
        <v>4967</v>
      </c>
      <c r="F39" s="24" t="n">
        <v>3974</v>
      </c>
      <c r="G39" s="24" t="n">
        <v>6938</v>
      </c>
      <c r="H39" s="24">
        <f>G39-F39</f>
        <v/>
      </c>
      <c r="I39" s="8">
        <f>IF(F39=0,0,G39/F39-1)</f>
        <v/>
      </c>
    </row>
    <row r="40">
      <c r="A40" s="6" t="inlineStr">
        <is>
          <t>1000.0000.2400.52340.030</t>
        </is>
      </c>
      <c r="B40" s="6" t="inlineStr">
        <is>
          <t>Retirement</t>
        </is>
      </c>
      <c r="C40" s="24" t="n">
        <v>3935</v>
      </c>
      <c r="D40" s="24" t="n">
        <v>4289</v>
      </c>
      <c r="E40" s="24" t="n">
        <v>1709</v>
      </c>
      <c r="F40" s="24" t="n">
        <v>4616</v>
      </c>
      <c r="G40" s="24" t="n">
        <v>4801</v>
      </c>
      <c r="H40" s="24">
        <f>G40-F40</f>
        <v/>
      </c>
      <c r="I40" s="8">
        <f>IF(F40=0,0,G40/F40-1)</f>
        <v/>
      </c>
    </row>
    <row r="41">
      <c r="A41" s="6" t="inlineStr">
        <is>
          <t>1000.0000.2400.55310.030</t>
        </is>
      </c>
      <c r="B41" s="6" t="inlineStr">
        <is>
          <t>Postage</t>
        </is>
      </c>
      <c r="C41" s="24" t="n">
        <v>520</v>
      </c>
      <c r="D41" s="24" t="n">
        <v>501</v>
      </c>
      <c r="E41" s="24" t="n">
        <v>280</v>
      </c>
      <c r="F41" s="24" t="n">
        <v>550</v>
      </c>
      <c r="G41" s="24" t="n">
        <v>550</v>
      </c>
      <c r="H41" s="24">
        <f>G41-F41</f>
        <v/>
      </c>
      <c r="I41" s="8">
        <f>IF(F41=0,0,G41/F41-1)</f>
        <v/>
      </c>
    </row>
    <row r="42">
      <c r="A42" s="6" t="inlineStr">
        <is>
          <t>1000.0000.2400.55800.030</t>
        </is>
      </c>
      <c r="B42" s="6" t="inlineStr">
        <is>
          <t>Travel</t>
        </is>
      </c>
      <c r="C42" s="24" t="n">
        <v>473</v>
      </c>
      <c r="D42" s="24" t="n">
        <v>24</v>
      </c>
      <c r="E42" s="24" t="n">
        <v>16</v>
      </c>
      <c r="F42" s="24" t="n">
        <v>470</v>
      </c>
      <c r="G42" s="24" t="n">
        <v>470</v>
      </c>
      <c r="H42" s="24">
        <f>G42-F42</f>
        <v/>
      </c>
      <c r="I42" s="8">
        <f>IF(F42=0,0,G42/F42-1)</f>
        <v/>
      </c>
    </row>
    <row r="43">
      <c r="A43" s="6" t="inlineStr">
        <is>
          <t>1000.0000.2400.56000.030</t>
        </is>
      </c>
      <c r="B43" s="6" t="inlineStr">
        <is>
          <t>Supplies</t>
        </is>
      </c>
      <c r="C43" s="24" t="n">
        <v>267</v>
      </c>
      <c r="D43" s="24" t="n">
        <v>504</v>
      </c>
      <c r="E43" s="24" t="n">
        <v>185</v>
      </c>
      <c r="F43" s="24" t="n">
        <v>300</v>
      </c>
      <c r="G43" s="24" t="n">
        <v>300</v>
      </c>
      <c r="H43" s="24">
        <f>G43-F43</f>
        <v/>
      </c>
      <c r="I43" s="8">
        <f>IF(F43=0,0,G43/F43-1)</f>
        <v/>
      </c>
    </row>
    <row r="44">
      <c r="A44" s="6" t="inlineStr">
        <is>
          <t>1000.0000.2400.58100.030</t>
        </is>
      </c>
      <c r="B44" s="6" t="inlineStr">
        <is>
          <t>Dues &amp; Fees</t>
        </is>
      </c>
      <c r="C44" s="24" t="n">
        <v>482</v>
      </c>
      <c r="D44" s="24" t="n">
        <v>290</v>
      </c>
      <c r="E44" s="24" t="n">
        <v>429</v>
      </c>
      <c r="F44" s="24" t="n">
        <v>575</v>
      </c>
      <c r="G44" s="24" t="n">
        <v>575</v>
      </c>
      <c r="H44" s="24">
        <f>G44-F44</f>
        <v/>
      </c>
      <c r="I44" s="8">
        <f>IF(F44=0,0,G44/F44-1)</f>
        <v/>
      </c>
    </row>
    <row r="45">
      <c r="A45" s="14" t="n"/>
      <c r="B45" s="28" t="inlineStr">
        <is>
          <t>Program 0000 Total</t>
        </is>
      </c>
      <c r="C45" s="29">
        <f>SUM(C36:C44)</f>
        <v/>
      </c>
      <c r="D45" s="29">
        <f>SUM(D36:D44)</f>
        <v/>
      </c>
      <c r="E45" s="29">
        <f>SUM(E36:E44)</f>
        <v/>
      </c>
      <c r="F45" s="29">
        <f>SUM(F36:F44)</f>
        <v/>
      </c>
      <c r="G45" s="29">
        <f>SUM(G36:G44)</f>
        <v/>
      </c>
      <c r="H45" s="29">
        <f>SUM(H36:H44)</f>
        <v/>
      </c>
      <c r="I45" s="29">
        <f>SUM(I36:I44)</f>
        <v/>
      </c>
    </row>
    <row r="46">
      <c r="A46" s="14" t="n"/>
      <c r="B46" s="17" t="inlineStr">
        <is>
          <t>Cost Center ('030',) Total</t>
        </is>
      </c>
      <c r="C46" s="32">
        <f>C45</f>
        <v/>
      </c>
      <c r="D46" s="32">
        <f>D45</f>
        <v/>
      </c>
      <c r="E46" s="32">
        <f>E45</f>
        <v/>
      </c>
      <c r="F46" s="32">
        <f>F45</f>
        <v/>
      </c>
      <c r="G46" s="32">
        <f>G45</f>
        <v/>
      </c>
      <c r="H46" s="32">
        <f>H45</f>
        <v/>
      </c>
      <c r="I46" s="32">
        <f>I45</f>
        <v/>
      </c>
    </row>
    <row r="48">
      <c r="A48" s="3" t="inlineStr">
        <is>
          <t>Cost Center: ('040',)</t>
        </is>
      </c>
    </row>
    <row r="49">
      <c r="A49" s="6" t="inlineStr">
        <is>
          <t>1000.0000.2400.51040.040</t>
        </is>
      </c>
      <c r="B49" s="6" t="inlineStr">
        <is>
          <t>Admin Salaries</t>
        </is>
      </c>
      <c r="C49" s="24" t="n">
        <v>99129</v>
      </c>
      <c r="D49" s="24" t="n">
        <v>103444</v>
      </c>
      <c r="E49" s="24" t="n">
        <v>110949</v>
      </c>
      <c r="F49" s="24" t="n">
        <v>110970</v>
      </c>
      <c r="G49" s="24" t="n">
        <v>115408</v>
      </c>
      <c r="H49" s="24">
        <f>G49-F49</f>
        <v/>
      </c>
      <c r="I49" s="8">
        <f>IF(F49=0,0,G49/F49-1)</f>
        <v/>
      </c>
    </row>
    <row r="50">
      <c r="A50" s="6" t="inlineStr">
        <is>
          <t>1000.0000.2400.51180.040</t>
        </is>
      </c>
      <c r="B50" s="6" t="inlineStr">
        <is>
          <t>Support Wages</t>
        </is>
      </c>
      <c r="C50" s="24" t="n">
        <v>36919</v>
      </c>
      <c r="D50" s="24" t="n">
        <v>44824</v>
      </c>
      <c r="E50" s="24" t="n">
        <v>49989</v>
      </c>
      <c r="F50" s="24" t="n">
        <v>58316</v>
      </c>
      <c r="G50" s="24" t="n">
        <v>46634</v>
      </c>
      <c r="H50" s="24">
        <f>G50-F50</f>
        <v/>
      </c>
      <c r="I50" s="8">
        <f>IF(F50=0,0,G50/F50-1)</f>
        <v/>
      </c>
    </row>
    <row r="51">
      <c r="A51" s="6" t="inlineStr">
        <is>
          <t>1000.0000.2400.52040.040</t>
        </is>
      </c>
      <c r="B51" s="6" t="inlineStr">
        <is>
          <t>Admin Benefits</t>
        </is>
      </c>
      <c r="C51" s="24" t="n">
        <v>24629</v>
      </c>
      <c r="D51" s="24" t="n">
        <v>24954</v>
      </c>
      <c r="E51" s="24" t="n">
        <v>22776</v>
      </c>
      <c r="F51" s="24" t="n">
        <v>24819</v>
      </c>
      <c r="G51" s="24" t="n">
        <v>28039</v>
      </c>
      <c r="H51" s="24">
        <f>G51-F51</f>
        <v/>
      </c>
      <c r="I51" s="8">
        <f>IF(F51=0,0,G51/F51-1)</f>
        <v/>
      </c>
    </row>
    <row r="52">
      <c r="A52" s="6" t="inlineStr">
        <is>
          <t>1000.0000.2400.52080.040</t>
        </is>
      </c>
      <c r="B52" s="6" t="inlineStr">
        <is>
          <t>Support Benefits</t>
        </is>
      </c>
      <c r="C52" s="24" t="n">
        <v>7371</v>
      </c>
      <c r="D52" s="24" t="n">
        <v>14976</v>
      </c>
      <c r="E52" s="24" t="n">
        <v>9608</v>
      </c>
      <c r="F52" s="24" t="n">
        <v>12821</v>
      </c>
      <c r="G52" s="24" t="n">
        <v>24065</v>
      </c>
      <c r="H52" s="24">
        <f>G52-F52</f>
        <v/>
      </c>
      <c r="I52" s="8">
        <f>IF(F52=0,0,G52/F52-1)</f>
        <v/>
      </c>
    </row>
    <row r="53">
      <c r="A53" s="6" t="inlineStr">
        <is>
          <t>1000.0000.2400.52340.040</t>
        </is>
      </c>
      <c r="B53" s="6" t="inlineStr">
        <is>
          <t>Retirement</t>
        </is>
      </c>
      <c r="C53" s="24" t="n">
        <v>3935</v>
      </c>
      <c r="D53" s="24" t="n">
        <v>4289</v>
      </c>
      <c r="E53" s="24" t="n">
        <v>1709</v>
      </c>
      <c r="F53" s="24" t="n">
        <v>4616</v>
      </c>
      <c r="G53" s="24" t="n">
        <v>4801</v>
      </c>
      <c r="H53" s="24">
        <f>G53-F53</f>
        <v/>
      </c>
      <c r="I53" s="8">
        <f>IF(F53=0,0,G53/F53-1)</f>
        <v/>
      </c>
    </row>
    <row r="54">
      <c r="A54" s="6" t="inlineStr">
        <is>
          <t>1000.0000.2400.55310.040</t>
        </is>
      </c>
      <c r="B54" s="6" t="inlineStr">
        <is>
          <t>Postage</t>
        </is>
      </c>
      <c r="C54" s="24" t="n">
        <v>988</v>
      </c>
      <c r="D54" s="24" t="n">
        <v>950</v>
      </c>
      <c r="E54" s="24" t="n">
        <v>529</v>
      </c>
      <c r="F54" s="24" t="n">
        <v>1000</v>
      </c>
      <c r="G54" s="24" t="n">
        <v>2020</v>
      </c>
      <c r="H54" s="24">
        <f>G54-F54</f>
        <v/>
      </c>
      <c r="I54" s="8">
        <f>IF(F54=0,0,G54/F54-1)</f>
        <v/>
      </c>
    </row>
    <row r="55">
      <c r="A55" s="6" t="inlineStr">
        <is>
          <t>1000.0000.2400.55800.040</t>
        </is>
      </c>
      <c r="B55" s="6" t="inlineStr">
        <is>
          <t>Travel</t>
        </is>
      </c>
      <c r="C55" s="24" t="n">
        <v>103</v>
      </c>
      <c r="D55" s="24" t="n">
        <v>67</v>
      </c>
      <c r="E55" s="24" t="n">
        <v>16</v>
      </c>
      <c r="F55" s="24" t="n">
        <v>300</v>
      </c>
      <c r="G55" s="24" t="n">
        <v>300</v>
      </c>
      <c r="H55" s="24">
        <f>G55-F55</f>
        <v/>
      </c>
      <c r="I55" s="8">
        <f>IF(F55=0,0,G55/F55-1)</f>
        <v/>
      </c>
    </row>
    <row r="56">
      <c r="A56" s="6" t="inlineStr">
        <is>
          <t>1000.0000.2400.56000.040</t>
        </is>
      </c>
      <c r="B56" s="6" t="inlineStr">
        <is>
          <t>Supplies</t>
        </is>
      </c>
      <c r="C56" s="24" t="n">
        <v>112</v>
      </c>
      <c r="D56" s="24" t="n">
        <v>968</v>
      </c>
      <c r="E56" s="24" t="n">
        <v>0</v>
      </c>
      <c r="F56" s="24" t="n">
        <v>500</v>
      </c>
      <c r="G56" s="24" t="n">
        <v>500</v>
      </c>
      <c r="H56" s="24">
        <f>G56-F56</f>
        <v/>
      </c>
      <c r="I56" s="8">
        <f>IF(F56=0,0,G56/F56-1)</f>
        <v/>
      </c>
    </row>
    <row r="57">
      <c r="A57" s="6" t="inlineStr">
        <is>
          <t>1000.0000.2400.58100.040</t>
        </is>
      </c>
      <c r="B57" s="6" t="inlineStr">
        <is>
          <t>Dues &amp; Fees</t>
        </is>
      </c>
      <c r="C57" s="24" t="n">
        <v>290</v>
      </c>
      <c r="D57" s="24" t="n">
        <v>290</v>
      </c>
      <c r="E57" s="24" t="n">
        <v>0</v>
      </c>
      <c r="F57" s="24" t="n">
        <v>110</v>
      </c>
      <c r="G57" s="24" t="n">
        <v>450</v>
      </c>
      <c r="H57" s="24">
        <f>G57-F57</f>
        <v/>
      </c>
      <c r="I57" s="8">
        <f>IF(F57=0,0,G57/F57-1)</f>
        <v/>
      </c>
    </row>
    <row r="58">
      <c r="A58" s="14" t="n"/>
      <c r="B58" s="28" t="inlineStr">
        <is>
          <t>Program 0000 Total</t>
        </is>
      </c>
      <c r="C58" s="29">
        <f>SUM(C49:C57)</f>
        <v/>
      </c>
      <c r="D58" s="29">
        <f>SUM(D49:D57)</f>
        <v/>
      </c>
      <c r="E58" s="29">
        <f>SUM(E49:E57)</f>
        <v/>
      </c>
      <c r="F58" s="29">
        <f>SUM(F49:F57)</f>
        <v/>
      </c>
      <c r="G58" s="29">
        <f>SUM(G49:G57)</f>
        <v/>
      </c>
      <c r="H58" s="29">
        <f>SUM(H49:H57)</f>
        <v/>
      </c>
      <c r="I58" s="29">
        <f>SUM(I49:I57)</f>
        <v/>
      </c>
    </row>
    <row r="59">
      <c r="A59" s="14" t="n"/>
      <c r="B59" s="17" t="inlineStr">
        <is>
          <t>Cost Center ('040',) Total</t>
        </is>
      </c>
      <c r="C59" s="32">
        <f>C58</f>
        <v/>
      </c>
      <c r="D59" s="32">
        <f>D58</f>
        <v/>
      </c>
      <c r="E59" s="32">
        <f>E58</f>
        <v/>
      </c>
      <c r="F59" s="32">
        <f>F58</f>
        <v/>
      </c>
      <c r="G59" s="32">
        <f>G58</f>
        <v/>
      </c>
      <c r="H59" s="32">
        <f>H58</f>
        <v/>
      </c>
      <c r="I59" s="32">
        <f>I58</f>
        <v/>
      </c>
    </row>
    <row r="61">
      <c r="A61" s="3" t="inlineStr">
        <is>
          <t>Cost Center: ('050',)</t>
        </is>
      </c>
    </row>
    <row r="62">
      <c r="A62" s="6" t="inlineStr">
        <is>
          <t>1000.0000.2400.51040.050</t>
        </is>
      </c>
      <c r="B62" s="6" t="inlineStr">
        <is>
          <t>Admin Salaries</t>
        </is>
      </c>
      <c r="C62" s="24" t="n">
        <v>180050</v>
      </c>
      <c r="D62" s="24" t="n">
        <v>187602</v>
      </c>
      <c r="E62" s="24" t="n">
        <v>201025</v>
      </c>
      <c r="F62" s="24" t="n">
        <v>200385</v>
      </c>
      <c r="G62" s="24" t="n">
        <v>208416</v>
      </c>
      <c r="H62" s="24">
        <f>G62-F62</f>
        <v/>
      </c>
      <c r="I62" s="8">
        <f>IF(F62=0,0,G62/F62-1)</f>
        <v/>
      </c>
    </row>
    <row r="63">
      <c r="A63" s="6" t="inlineStr">
        <is>
          <t>1000.0000.2400.51180.050</t>
        </is>
      </c>
      <c r="B63" s="6" t="inlineStr">
        <is>
          <t>Support Wages</t>
        </is>
      </c>
      <c r="C63" s="24" t="n">
        <v>63707</v>
      </c>
      <c r="D63" s="24" t="n">
        <v>63821</v>
      </c>
      <c r="E63" s="24" t="n">
        <v>85005</v>
      </c>
      <c r="F63" s="24" t="n">
        <v>99430</v>
      </c>
      <c r="G63" s="24" t="n">
        <v>87841</v>
      </c>
      <c r="H63" s="24">
        <f>G63-F63</f>
        <v/>
      </c>
      <c r="I63" s="8">
        <f>IF(F63=0,0,G63/F63-1)</f>
        <v/>
      </c>
    </row>
    <row r="64">
      <c r="A64" s="6" t="inlineStr">
        <is>
          <t>1000.0000.2400.52040.050</t>
        </is>
      </c>
      <c r="B64" s="6" t="inlineStr">
        <is>
          <t>Admin Benefits</t>
        </is>
      </c>
      <c r="C64" s="24" t="n">
        <v>27641</v>
      </c>
      <c r="D64" s="24" t="n">
        <v>29710</v>
      </c>
      <c r="E64" s="24" t="n">
        <v>33759</v>
      </c>
      <c r="F64" s="24" t="n">
        <v>42547</v>
      </c>
      <c r="G64" s="24" t="n">
        <v>51997</v>
      </c>
      <c r="H64" s="24">
        <f>G64-F64</f>
        <v/>
      </c>
      <c r="I64" s="8">
        <f>IF(F64=0,0,G64/F64-1)</f>
        <v/>
      </c>
    </row>
    <row r="65">
      <c r="A65" s="6" t="inlineStr">
        <is>
          <t>1000.0000.2400.52080.050</t>
        </is>
      </c>
      <c r="B65" s="6" t="inlineStr">
        <is>
          <t>Support Benefits</t>
        </is>
      </c>
      <c r="C65" s="24" t="n">
        <v>31149</v>
      </c>
      <c r="D65" s="24" t="n">
        <v>34235</v>
      </c>
      <c r="E65" s="24" t="n">
        <v>13187</v>
      </c>
      <c r="F65" s="24" t="n">
        <v>17890</v>
      </c>
      <c r="G65" s="24" t="n">
        <v>61418</v>
      </c>
      <c r="H65" s="24">
        <f>G65-F65</f>
        <v/>
      </c>
      <c r="I65" s="8">
        <f>IF(F65=0,0,G65/F65-1)</f>
        <v/>
      </c>
    </row>
    <row r="66">
      <c r="A66" s="6" t="inlineStr">
        <is>
          <t>1000.0000.2400.52340.050</t>
        </is>
      </c>
      <c r="B66" s="6" t="inlineStr">
        <is>
          <t>Retirement</t>
        </is>
      </c>
      <c r="C66" s="24" t="n">
        <v>7352</v>
      </c>
      <c r="D66" s="24" t="n">
        <v>7790</v>
      </c>
      <c r="E66" s="24" t="n">
        <v>3084</v>
      </c>
      <c r="F66" s="24" t="n">
        <v>8336</v>
      </c>
      <c r="G66" s="24" t="n">
        <v>8670</v>
      </c>
      <c r="H66" s="24">
        <f>G66-F66</f>
        <v/>
      </c>
      <c r="I66" s="8">
        <f>IF(F66=0,0,G66/F66-1)</f>
        <v/>
      </c>
    </row>
    <row r="67">
      <c r="A67" s="6" t="inlineStr">
        <is>
          <t>1000.0000.2400.55310.050</t>
        </is>
      </c>
      <c r="B67" s="6" t="inlineStr">
        <is>
          <t>Postage</t>
        </is>
      </c>
      <c r="C67" s="24" t="n">
        <v>1005</v>
      </c>
      <c r="D67" s="24" t="n">
        <v>1187</v>
      </c>
      <c r="E67" s="24" t="n">
        <v>707</v>
      </c>
      <c r="F67" s="24" t="n">
        <v>1000</v>
      </c>
      <c r="G67" s="24" t="n">
        <v>2020</v>
      </c>
      <c r="H67" s="24">
        <f>G67-F67</f>
        <v/>
      </c>
      <c r="I67" s="8">
        <f>IF(F67=0,0,G67/F67-1)</f>
        <v/>
      </c>
    </row>
    <row r="68">
      <c r="A68" s="6" t="inlineStr">
        <is>
          <t>1000.0000.2400.55800.050</t>
        </is>
      </c>
      <c r="B68" s="6" t="inlineStr">
        <is>
          <t>Travel</t>
        </is>
      </c>
      <c r="C68" s="24" t="n">
        <v>224</v>
      </c>
      <c r="D68" s="24" t="n">
        <v>594</v>
      </c>
      <c r="E68" s="24" t="n">
        <v>189</v>
      </c>
      <c r="F68" s="24" t="n">
        <v>810</v>
      </c>
      <c r="G68" s="24" t="n">
        <v>810</v>
      </c>
      <c r="H68" s="24">
        <f>G68-F68</f>
        <v/>
      </c>
      <c r="I68" s="8">
        <f>IF(F68=0,0,G68/F68-1)</f>
        <v/>
      </c>
    </row>
    <row r="69">
      <c r="A69" s="6" t="inlineStr">
        <is>
          <t>1000.0000.2400.56000.050</t>
        </is>
      </c>
      <c r="B69" s="6" t="inlineStr">
        <is>
          <t>Supplies</t>
        </is>
      </c>
      <c r="C69" s="24" t="n">
        <v>610</v>
      </c>
      <c r="D69" s="24" t="n">
        <v>567</v>
      </c>
      <c r="E69" s="24" t="n">
        <v>502</v>
      </c>
      <c r="F69" s="24" t="n">
        <v>500</v>
      </c>
      <c r="G69" s="24" t="n">
        <v>500</v>
      </c>
      <c r="H69" s="24">
        <f>G69-F69</f>
        <v/>
      </c>
      <c r="I69" s="8">
        <f>IF(F69=0,0,G69/F69-1)</f>
        <v/>
      </c>
    </row>
    <row r="70">
      <c r="A70" s="6" t="inlineStr">
        <is>
          <t>1000.0000.2400.58100.050</t>
        </is>
      </c>
      <c r="B70" s="6" t="inlineStr">
        <is>
          <t>Dues &amp; Fees</t>
        </is>
      </c>
      <c r="C70" s="24" t="n">
        <v>0</v>
      </c>
      <c r="D70" s="24" t="n">
        <v>565</v>
      </c>
      <c r="E70" s="24" t="n">
        <v>0</v>
      </c>
      <c r="F70" s="24" t="n">
        <v>810</v>
      </c>
      <c r="G70" s="24" t="n">
        <v>900</v>
      </c>
      <c r="H70" s="24">
        <f>G70-F70</f>
        <v/>
      </c>
      <c r="I70" s="8">
        <f>IF(F70=0,0,G70/F70-1)</f>
        <v/>
      </c>
    </row>
    <row r="71">
      <c r="A71" s="14" t="n"/>
      <c r="B71" s="28" t="inlineStr">
        <is>
          <t>Program 0000 Total</t>
        </is>
      </c>
      <c r="C71" s="29">
        <f>SUM(C62:C70)</f>
        <v/>
      </c>
      <c r="D71" s="29">
        <f>SUM(D62:D70)</f>
        <v/>
      </c>
      <c r="E71" s="29">
        <f>SUM(E62:E70)</f>
        <v/>
      </c>
      <c r="F71" s="29">
        <f>SUM(F62:F70)</f>
        <v/>
      </c>
      <c r="G71" s="29">
        <f>SUM(G62:G70)</f>
        <v/>
      </c>
      <c r="H71" s="29">
        <f>SUM(H62:H70)</f>
        <v/>
      </c>
      <c r="I71" s="29">
        <f>SUM(I62:I70)</f>
        <v/>
      </c>
    </row>
    <row r="72">
      <c r="A72" s="14" t="n"/>
      <c r="B72" s="17" t="inlineStr">
        <is>
          <t>Cost Center ('050',) Total</t>
        </is>
      </c>
      <c r="C72" s="32">
        <f>C71</f>
        <v/>
      </c>
      <c r="D72" s="32">
        <f>D71</f>
        <v/>
      </c>
      <c r="E72" s="32">
        <f>E71</f>
        <v/>
      </c>
      <c r="F72" s="32">
        <f>F71</f>
        <v/>
      </c>
      <c r="G72" s="32">
        <f>G71</f>
        <v/>
      </c>
      <c r="H72" s="32">
        <f>H71</f>
        <v/>
      </c>
      <c r="I72" s="32">
        <f>I71</f>
        <v/>
      </c>
    </row>
    <row r="74">
      <c r="A74" s="3" t="inlineStr">
        <is>
          <t>Cost Center: ('300',)</t>
        </is>
      </c>
    </row>
    <row r="75">
      <c r="A75" s="6" t="inlineStr">
        <is>
          <t>1000.0000.2400.51040.300</t>
        </is>
      </c>
      <c r="B75" s="6" t="inlineStr">
        <is>
          <t>Admin Salaries</t>
        </is>
      </c>
      <c r="C75" s="24" t="n">
        <v>203306</v>
      </c>
      <c r="D75" s="24" t="n">
        <v>212138</v>
      </c>
      <c r="E75" s="24" t="n">
        <v>229412</v>
      </c>
      <c r="F75" s="24" t="n">
        <v>229180</v>
      </c>
      <c r="G75" s="24" t="n">
        <v>238347</v>
      </c>
      <c r="H75" s="24">
        <f>G75-F75</f>
        <v/>
      </c>
      <c r="I75" s="8">
        <f>IF(F75=0,0,G75/F75-1)</f>
        <v/>
      </c>
    </row>
    <row r="76">
      <c r="A76" s="6" t="inlineStr">
        <is>
          <t>1000.0000.2400.51180.300</t>
        </is>
      </c>
      <c r="B76" s="6" t="inlineStr">
        <is>
          <t>Support Wages</t>
        </is>
      </c>
      <c r="C76" s="24" t="n">
        <v>82269</v>
      </c>
      <c r="D76" s="24" t="n">
        <v>98815</v>
      </c>
      <c r="E76" s="24" t="n">
        <v>113072</v>
      </c>
      <c r="F76" s="24" t="n">
        <v>109022</v>
      </c>
      <c r="G76" s="24" t="n">
        <v>93747</v>
      </c>
      <c r="H76" s="24">
        <f>G76-F76</f>
        <v/>
      </c>
      <c r="I76" s="8">
        <f>IF(F76=0,0,G76/F76-1)</f>
        <v/>
      </c>
    </row>
    <row r="77">
      <c r="A77" s="6" t="inlineStr">
        <is>
          <t>1000.0000.2400.52040.300</t>
        </is>
      </c>
      <c r="B77" s="6" t="inlineStr">
        <is>
          <t>Admin Benefits</t>
        </is>
      </c>
      <c r="C77" s="24" t="n">
        <v>48834</v>
      </c>
      <c r="D77" s="24" t="n">
        <v>48869</v>
      </c>
      <c r="E77" s="24" t="n">
        <v>46548</v>
      </c>
      <c r="F77" s="24" t="n">
        <v>50761</v>
      </c>
      <c r="G77" s="24" t="n">
        <v>56798</v>
      </c>
      <c r="H77" s="24">
        <f>G77-F77</f>
        <v/>
      </c>
      <c r="I77" s="8">
        <f>IF(F77=0,0,G77/F77-1)</f>
        <v/>
      </c>
    </row>
    <row r="78">
      <c r="A78" s="6" t="inlineStr">
        <is>
          <t>1000.0000.2400.52080.300</t>
        </is>
      </c>
      <c r="B78" s="6" t="inlineStr">
        <is>
          <t>Support Benefits</t>
        </is>
      </c>
      <c r="C78" s="24" t="n">
        <v>25002</v>
      </c>
      <c r="D78" s="24" t="n">
        <v>42943</v>
      </c>
      <c r="E78" s="24" t="n">
        <v>15001</v>
      </c>
      <c r="F78" s="24" t="n">
        <v>10750</v>
      </c>
      <c r="G78" s="24" t="n">
        <v>50398</v>
      </c>
      <c r="H78" s="24">
        <f>G78-F78</f>
        <v/>
      </c>
      <c r="I78" s="8">
        <f>IF(F78=0,0,G78/F78-1)</f>
        <v/>
      </c>
    </row>
    <row r="79">
      <c r="A79" s="6" t="inlineStr">
        <is>
          <t>1000.0000.2400.52340.300</t>
        </is>
      </c>
      <c r="B79" s="6" t="inlineStr">
        <is>
          <t>Retirement</t>
        </is>
      </c>
      <c r="C79" s="24" t="n">
        <v>8071</v>
      </c>
      <c r="D79" s="24" t="n">
        <v>8796</v>
      </c>
      <c r="E79" s="24" t="n">
        <v>3522</v>
      </c>
      <c r="F79" s="24" t="n">
        <v>9534</v>
      </c>
      <c r="G79" s="24" t="n">
        <v>9915</v>
      </c>
      <c r="H79" s="24">
        <f>G79-F79</f>
        <v/>
      </c>
      <c r="I79" s="8">
        <f>IF(F79=0,0,G79/F79-1)</f>
        <v/>
      </c>
    </row>
    <row r="80">
      <c r="A80" s="6" t="inlineStr">
        <is>
          <t>1000.0000.2400.55310.300</t>
        </is>
      </c>
      <c r="B80" s="6" t="inlineStr">
        <is>
          <t>Postage</t>
        </is>
      </c>
      <c r="C80" s="24" t="n">
        <v>1856</v>
      </c>
      <c r="D80" s="24" t="n">
        <v>2494</v>
      </c>
      <c r="E80" s="24" t="n">
        <v>2347</v>
      </c>
      <c r="F80" s="24" t="n">
        <v>3285</v>
      </c>
      <c r="G80" s="24" t="n">
        <v>4304</v>
      </c>
      <c r="H80" s="24">
        <f>G80-F80</f>
        <v/>
      </c>
      <c r="I80" s="8">
        <f>IF(F80=0,0,G80/F80-1)</f>
        <v/>
      </c>
    </row>
    <row r="81">
      <c r="A81" s="6" t="inlineStr">
        <is>
          <t>1000.0000.2400.55800.300</t>
        </is>
      </c>
      <c r="B81" s="6" t="inlineStr">
        <is>
          <t>Travel</t>
        </is>
      </c>
      <c r="C81" s="24" t="n">
        <v>1260</v>
      </c>
      <c r="D81" s="24" t="n">
        <v>693</v>
      </c>
      <c r="E81" s="24" t="n">
        <v>0</v>
      </c>
      <c r="F81" s="24" t="n">
        <v>1250</v>
      </c>
      <c r="G81" s="24" t="n">
        <v>1250</v>
      </c>
      <c r="H81" s="24">
        <f>G81-F81</f>
        <v/>
      </c>
      <c r="I81" s="8">
        <f>IF(F81=0,0,G81/F81-1)</f>
        <v/>
      </c>
    </row>
    <row r="82">
      <c r="A82" s="6" t="inlineStr">
        <is>
          <t>1000.0000.2400.56000.300</t>
        </is>
      </c>
      <c r="B82" s="6" t="inlineStr">
        <is>
          <t>Supplies</t>
        </is>
      </c>
      <c r="C82" s="24" t="n">
        <v>1502</v>
      </c>
      <c r="D82" s="24" t="n">
        <v>1307</v>
      </c>
      <c r="E82" s="24" t="n">
        <v>2000</v>
      </c>
      <c r="F82" s="24" t="n">
        <v>2000</v>
      </c>
      <c r="G82" s="24" t="n">
        <v>2000</v>
      </c>
      <c r="H82" s="24">
        <f>G82-F82</f>
        <v/>
      </c>
      <c r="I82" s="8">
        <f>IF(F82=0,0,G82/F82-1)</f>
        <v/>
      </c>
    </row>
    <row r="83">
      <c r="A83" s="6" t="inlineStr">
        <is>
          <t>1000.0000.2400.58100.300</t>
        </is>
      </c>
      <c r="B83" s="6" t="inlineStr">
        <is>
          <t>Dues and Fees</t>
        </is>
      </c>
      <c r="C83" s="24" t="n">
        <v>6695</v>
      </c>
      <c r="D83" s="24" t="n">
        <v>5751</v>
      </c>
      <c r="E83" s="24" t="n">
        <v>5278</v>
      </c>
      <c r="F83" s="24" t="n">
        <v>6523</v>
      </c>
      <c r="G83" s="24" t="n">
        <v>6823</v>
      </c>
      <c r="H83" s="24">
        <f>G83-F83</f>
        <v/>
      </c>
      <c r="I83" s="8">
        <f>IF(F83=0,0,G83/F83-1)</f>
        <v/>
      </c>
    </row>
    <row r="84">
      <c r="A84" s="14" t="n"/>
      <c r="B84" s="28" t="inlineStr">
        <is>
          <t>Program 0000 Total</t>
        </is>
      </c>
      <c r="C84" s="29">
        <f>SUM(C75:C83)</f>
        <v/>
      </c>
      <c r="D84" s="29">
        <f>SUM(D75:D83)</f>
        <v/>
      </c>
      <c r="E84" s="29">
        <f>SUM(E75:E83)</f>
        <v/>
      </c>
      <c r="F84" s="29">
        <f>SUM(F75:F83)</f>
        <v/>
      </c>
      <c r="G84" s="29">
        <f>SUM(G75:G83)</f>
        <v/>
      </c>
      <c r="H84" s="29">
        <f>SUM(H75:H83)</f>
        <v/>
      </c>
      <c r="I84" s="29">
        <f>SUM(I75:I83)</f>
        <v/>
      </c>
    </row>
    <row r="85">
      <c r="A85" s="14" t="n"/>
      <c r="B85" s="17" t="inlineStr">
        <is>
          <t>Cost Center ('300',) Total</t>
        </is>
      </c>
      <c r="C85" s="32">
        <f>C84</f>
        <v/>
      </c>
      <c r="D85" s="32">
        <f>D84</f>
        <v/>
      </c>
      <c r="E85" s="32">
        <f>E84</f>
        <v/>
      </c>
      <c r="F85" s="32">
        <f>F84</f>
        <v/>
      </c>
      <c r="G85" s="32">
        <f>G84</f>
        <v/>
      </c>
      <c r="H85" s="32">
        <f>H84</f>
        <v/>
      </c>
      <c r="I85" s="32">
        <f>I84</f>
        <v/>
      </c>
    </row>
    <row r="87">
      <c r="A87" s="14" t="n"/>
      <c r="B87" s="33" t="inlineStr">
        <is>
          <t>ARTICLE 7 TOTAL</t>
        </is>
      </c>
      <c r="C87" s="34">
        <f>C20+C33+C46+C59+C72+C85</f>
        <v/>
      </c>
      <c r="D87" s="34">
        <f>D20+D33+D46+D59+D72+D85</f>
        <v/>
      </c>
      <c r="E87" s="34">
        <f>E20+E33+E46+E59+E72+E85</f>
        <v/>
      </c>
      <c r="F87" s="34">
        <f>F20+F33+F46+F59+F72+F85</f>
        <v/>
      </c>
      <c r="G87" s="34">
        <f>G20+G33+G46+G59+G72+G85</f>
        <v/>
      </c>
      <c r="H87" s="34">
        <f>H20+H33+H46+H59+H72+H85</f>
        <v/>
      </c>
      <c r="I87" s="34">
        <f>I20+I33+I46+I59+I72+I85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1000.0000.2700.51020.900</t>
        </is>
      </c>
      <c r="B7" s="6" t="inlineStr">
        <is>
          <t>Ed Tech Salaries</t>
        </is>
      </c>
      <c r="C7" s="24" t="n">
        <v>19134</v>
      </c>
      <c r="D7" s="24" t="n">
        <v>5883</v>
      </c>
      <c r="E7" s="24" t="n">
        <v>0</v>
      </c>
      <c r="F7" s="24" t="n">
        <v>6000</v>
      </c>
      <c r="G7" s="24" t="n">
        <v>10377</v>
      </c>
      <c r="H7" s="24">
        <f>G7-F7</f>
        <v/>
      </c>
      <c r="I7" s="8">
        <f>IF(F7=0,0,G7/F7-1)</f>
        <v/>
      </c>
    </row>
    <row r="8">
      <c r="A8" s="6" t="inlineStr">
        <is>
          <t>1000.0000.2700.51040.900</t>
        </is>
      </c>
      <c r="B8" s="6" t="inlineStr">
        <is>
          <t>Administrator Salary</t>
        </is>
      </c>
      <c r="C8" s="24" t="n">
        <v>84729</v>
      </c>
      <c r="D8" s="24" t="n">
        <v>101153</v>
      </c>
      <c r="E8" s="24" t="n">
        <v>85714</v>
      </c>
      <c r="F8" s="24" t="n">
        <v>93934</v>
      </c>
      <c r="G8" s="24" t="n">
        <v>97691</v>
      </c>
      <c r="H8" s="24">
        <f>G8-F8</f>
        <v/>
      </c>
      <c r="I8" s="8">
        <f>IF(F8=0,0,G8/F8-1)</f>
        <v/>
      </c>
    </row>
    <row r="9">
      <c r="A9" s="6" t="inlineStr">
        <is>
          <t>1000.0000.2700.51180.900</t>
        </is>
      </c>
      <c r="B9" s="6" t="inlineStr">
        <is>
          <t>Bus Drivers Salaries</t>
        </is>
      </c>
      <c r="C9" s="24" t="n">
        <v>499469</v>
      </c>
      <c r="D9" s="24" t="n">
        <v>365568</v>
      </c>
      <c r="E9" s="24" t="n">
        <v>570067</v>
      </c>
      <c r="F9" s="24" t="n">
        <v>469503</v>
      </c>
      <c r="G9" s="24" t="n">
        <v>584250</v>
      </c>
      <c r="H9" s="24">
        <f>G9-F9</f>
        <v/>
      </c>
      <c r="I9" s="8">
        <f>IF(F9=0,0,G9/F9-1)</f>
        <v/>
      </c>
    </row>
    <row r="10">
      <c r="A10" s="6" t="inlineStr">
        <is>
          <t>1000.0000.2700.51200.900</t>
        </is>
      </c>
      <c r="B10" s="6" t="inlineStr">
        <is>
          <t>Substitute Salaries</t>
        </is>
      </c>
      <c r="C10" s="24" t="n">
        <v>33978</v>
      </c>
      <c r="D10" s="24" t="n">
        <v>31218</v>
      </c>
      <c r="E10" s="24" t="n">
        <v>34104</v>
      </c>
      <c r="F10" s="24" t="n">
        <v>30000</v>
      </c>
      <c r="G10" s="24" t="n">
        <v>33000</v>
      </c>
      <c r="H10" s="24">
        <f>G10-F10</f>
        <v/>
      </c>
      <c r="I10" s="8">
        <f>IF(F10=0,0,G10/F10-1)</f>
        <v/>
      </c>
    </row>
    <row r="11">
      <c r="A11" s="6" t="inlineStr">
        <is>
          <t>1000.0000.2700.52000.900</t>
        </is>
      </c>
      <c r="B11" s="6" t="inlineStr">
        <is>
          <t>Sub Bus Driver Benefits</t>
        </is>
      </c>
      <c r="C11" s="24" t="n">
        <v>5743</v>
      </c>
      <c r="D11" s="24" t="n">
        <v>6666</v>
      </c>
      <c r="E11" s="24" t="n">
        <v>3828</v>
      </c>
      <c r="F11" s="24" t="n">
        <v>2319</v>
      </c>
      <c r="G11" s="24" t="n">
        <v>1650</v>
      </c>
      <c r="H11" s="24">
        <f>G11-F11</f>
        <v/>
      </c>
      <c r="I11" s="8">
        <f>IF(F11=0,0,G11/F11-1)</f>
        <v/>
      </c>
    </row>
    <row r="12">
      <c r="A12" s="6" t="inlineStr">
        <is>
          <t>1000.0000.2700.52020.900</t>
        </is>
      </c>
      <c r="B12" s="6" t="inlineStr">
        <is>
          <t>Ed Tech Benefits</t>
        </is>
      </c>
      <c r="C12" s="24" t="n">
        <v>6056</v>
      </c>
      <c r="D12" s="24" t="n">
        <v>1861</v>
      </c>
      <c r="E12" s="24" t="n">
        <v>0</v>
      </c>
      <c r="F12" s="24" t="n">
        <v>2000</v>
      </c>
      <c r="G12" s="24" t="n">
        <v>17002</v>
      </c>
      <c r="H12" s="24">
        <f>G12-F12</f>
        <v/>
      </c>
      <c r="I12" s="8">
        <f>IF(F12=0,0,G12/F12-1)</f>
        <v/>
      </c>
    </row>
    <row r="13">
      <c r="A13" s="6" t="inlineStr">
        <is>
          <t>1000.0000.2700.52040.900</t>
        </is>
      </c>
      <c r="B13" s="6" t="inlineStr">
        <is>
          <t>Administrator Benefits</t>
        </is>
      </c>
      <c r="C13" s="24" t="n">
        <v>32628</v>
      </c>
      <c r="D13" s="24" t="n">
        <v>34164</v>
      </c>
      <c r="E13" s="24" t="n">
        <v>17767</v>
      </c>
      <c r="F13" s="24" t="n">
        <v>36207</v>
      </c>
      <c r="G13" s="24" t="n">
        <v>32679</v>
      </c>
      <c r="H13" s="24">
        <f>G13-F13</f>
        <v/>
      </c>
      <c r="I13" s="8">
        <f>IF(F13=0,0,G13/F13-1)</f>
        <v/>
      </c>
    </row>
    <row r="14">
      <c r="A14" s="6" t="inlineStr">
        <is>
          <t>1000.0000.2700.52080.900</t>
        </is>
      </c>
      <c r="B14" s="6" t="inlineStr">
        <is>
          <t>Bus Driver Benefits</t>
        </is>
      </c>
      <c r="C14" s="24" t="n">
        <v>194575</v>
      </c>
      <c r="D14" s="24" t="n">
        <v>163247</v>
      </c>
      <c r="E14" s="24" t="n">
        <v>99781</v>
      </c>
      <c r="F14" s="24" t="n">
        <v>156324</v>
      </c>
      <c r="G14" s="24" t="n">
        <v>266747</v>
      </c>
      <c r="H14" s="24">
        <f>G14-F14</f>
        <v/>
      </c>
      <c r="I14" s="8">
        <f>IF(F14=0,0,G14/F14-1)</f>
        <v/>
      </c>
    </row>
    <row r="15">
      <c r="A15" s="6" t="inlineStr">
        <is>
          <t>1000.0000.2700.52180.900</t>
        </is>
      </c>
      <c r="B15" s="6" t="inlineStr">
        <is>
          <t>Retirement</t>
        </is>
      </c>
      <c r="C15" s="24" t="n">
        <v>423</v>
      </c>
      <c r="D15" s="24" t="n">
        <v>8</v>
      </c>
      <c r="E15" s="24" t="n">
        <v>0</v>
      </c>
      <c r="F15" s="24" t="n">
        <v>0</v>
      </c>
      <c r="G15" s="24" t="n">
        <v>0</v>
      </c>
      <c r="H15" s="24">
        <f>G15-F15</f>
        <v/>
      </c>
      <c r="I15" s="8">
        <f>IF(F15=0,0,G15/F15-1)</f>
        <v/>
      </c>
    </row>
    <row r="16">
      <c r="A16" s="6" t="inlineStr">
        <is>
          <t>1000.0000.2700.52320.900</t>
        </is>
      </c>
      <c r="B16" s="6" t="inlineStr">
        <is>
          <t>Retirement</t>
        </is>
      </c>
      <c r="C16" s="24" t="n">
        <v>601</v>
      </c>
      <c r="D16" s="24" t="n">
        <v>126</v>
      </c>
      <c r="E16" s="24" t="n">
        <v>0</v>
      </c>
      <c r="F16" s="24" t="n">
        <v>1680</v>
      </c>
      <c r="G16" s="24" t="n">
        <v>1679</v>
      </c>
      <c r="H16" s="24">
        <f>G16-F16</f>
        <v/>
      </c>
      <c r="I16" s="8">
        <f>IF(F16=0,0,G16/F16-1)</f>
        <v/>
      </c>
    </row>
    <row r="17">
      <c r="A17" s="6" t="inlineStr">
        <is>
          <t>1000.0000.2700.52380.900</t>
        </is>
      </c>
      <c r="B17" s="6" t="inlineStr">
        <is>
          <t>Retirement</t>
        </is>
      </c>
      <c r="C17" s="24" t="n">
        <v>0</v>
      </c>
      <c r="D17" s="24" t="n">
        <v>37</v>
      </c>
      <c r="E17" s="24" t="n">
        <v>0</v>
      </c>
      <c r="F17" s="24" t="n">
        <v>0</v>
      </c>
      <c r="G17" s="24" t="n">
        <v>0</v>
      </c>
      <c r="H17" s="24">
        <f>G17-F17</f>
        <v/>
      </c>
      <c r="I17" s="8">
        <f>IF(F17=0,0,G17/F17-1)</f>
        <v/>
      </c>
    </row>
    <row r="18">
      <c r="A18" s="6" t="inlineStr">
        <is>
          <t>1000.0000.2700.53000.900</t>
        </is>
      </c>
      <c r="B18" s="6" t="inlineStr">
        <is>
          <t>Purchased Professional</t>
        </is>
      </c>
      <c r="C18" s="24" t="n">
        <v>19132</v>
      </c>
      <c r="D18" s="24" t="n">
        <v>43139</v>
      </c>
      <c r="E18" s="24" t="n">
        <v>3438</v>
      </c>
      <c r="F18" s="24" t="n">
        <v>11605</v>
      </c>
      <c r="G18" s="24" t="n">
        <v>11605</v>
      </c>
      <c r="H18" s="24">
        <f>G18-F18</f>
        <v/>
      </c>
      <c r="I18" s="8">
        <f>IF(F18=0,0,G18/F18-1)</f>
        <v/>
      </c>
    </row>
    <row r="19">
      <c r="A19" s="6" t="inlineStr">
        <is>
          <t>1000.0000.2700.53300.900</t>
        </is>
      </c>
      <c r="B19" s="6" t="inlineStr">
        <is>
          <t>Employee Training</t>
        </is>
      </c>
      <c r="C19" s="24" t="n">
        <v>642</v>
      </c>
      <c r="D19" s="24" t="n">
        <v>630</v>
      </c>
      <c r="E19" s="24" t="n">
        <v>0</v>
      </c>
      <c r="F19" s="24" t="n">
        <v>1359</v>
      </c>
      <c r="G19" s="24" t="n">
        <v>1359</v>
      </c>
      <c r="H19" s="24">
        <f>G19-F19</f>
        <v/>
      </c>
      <c r="I19" s="8">
        <f>IF(F19=0,0,G19/F19-1)</f>
        <v/>
      </c>
    </row>
    <row r="20">
      <c r="A20" s="6" t="inlineStr">
        <is>
          <t>1000.0000.2700.53400.900</t>
        </is>
      </c>
      <c r="B20" s="6" t="inlineStr">
        <is>
          <t>Contracted Services</t>
        </is>
      </c>
      <c r="C20" s="24" t="n">
        <v>1484</v>
      </c>
      <c r="D20" s="24" t="n">
        <v>660</v>
      </c>
      <c r="E20" s="24" t="n">
        <v>463</v>
      </c>
      <c r="F20" s="24" t="n">
        <v>4000</v>
      </c>
      <c r="G20" s="24" t="n">
        <v>4000</v>
      </c>
      <c r="H20" s="24">
        <f>G20-F20</f>
        <v/>
      </c>
      <c r="I20" s="8">
        <f>IF(F20=0,0,G20/F20-1)</f>
        <v/>
      </c>
    </row>
    <row r="21">
      <c r="A21" s="6" t="inlineStr">
        <is>
          <t>1000.0000.2700.54300.900</t>
        </is>
      </c>
      <c r="B21" s="6" t="inlineStr">
        <is>
          <t>Purchased Repair/Maint</t>
        </is>
      </c>
      <c r="C21" s="24" t="n">
        <v>57537</v>
      </c>
      <c r="D21" s="24" t="n">
        <v>35184</v>
      </c>
      <c r="E21" s="24" t="n">
        <v>44103</v>
      </c>
      <c r="F21" s="24" t="n">
        <v>50000</v>
      </c>
      <c r="G21" s="24" t="n">
        <v>60000</v>
      </c>
      <c r="H21" s="24">
        <f>G21-F21</f>
        <v/>
      </c>
      <c r="I21" s="8">
        <f>IF(F21=0,0,G21/F21-1)</f>
        <v/>
      </c>
    </row>
    <row r="22">
      <c r="A22" s="6" t="inlineStr">
        <is>
          <t>1000.0000.2700.54450.900</t>
        </is>
      </c>
      <c r="B22" s="6" t="inlineStr">
        <is>
          <t>Bus Garage Lease</t>
        </is>
      </c>
      <c r="C22" s="24" t="n">
        <v>12500</v>
      </c>
      <c r="D22" s="24" t="n">
        <v>12500</v>
      </c>
      <c r="E22" s="24" t="n">
        <v>12500</v>
      </c>
      <c r="F22" s="24" t="n">
        <v>12875</v>
      </c>
      <c r="G22" s="24" t="n">
        <v>12875</v>
      </c>
      <c r="H22" s="24">
        <f>G22-F22</f>
        <v/>
      </c>
      <c r="I22" s="8">
        <f>IF(F22=0,0,G22/F22-1)</f>
        <v/>
      </c>
    </row>
    <row r="23">
      <c r="A23" s="6" t="inlineStr">
        <is>
          <t>1000.0000.2700.55100.900</t>
        </is>
      </c>
      <c r="B23" s="6" t="inlineStr">
        <is>
          <t>Student Transportation Contracted Servic $1,506</t>
        </is>
      </c>
      <c r="C23" s="24" t="n">
        <v>4963</v>
      </c>
      <c r="D23" s="24" t="n">
        <v>0</v>
      </c>
      <c r="E23" s="24" t="n">
        <v>0</v>
      </c>
      <c r="F23" s="24" t="n">
        <v>0</v>
      </c>
      <c r="G23" s="24" t="n">
        <v>0</v>
      </c>
      <c r="H23" s="24">
        <f>G23-F23</f>
        <v/>
      </c>
      <c r="I23" s="8">
        <f>IF(F23=0,0,G23/F23-1)</f>
        <v/>
      </c>
    </row>
    <row r="24">
      <c r="A24" s="6" t="inlineStr">
        <is>
          <t>1000.0000.2700.55200.900</t>
        </is>
      </c>
      <c r="B24" s="6" t="inlineStr">
        <is>
          <t>Insurance</t>
        </is>
      </c>
      <c r="C24" s="24" t="n">
        <v>10855</v>
      </c>
      <c r="D24" s="24" t="n">
        <v>11125</v>
      </c>
      <c r="E24" s="24" t="n">
        <v>13912</v>
      </c>
      <c r="F24" s="24" t="n">
        <v>16694</v>
      </c>
      <c r="G24" s="24" t="n">
        <v>16694</v>
      </c>
      <c r="H24" s="24">
        <f>G24-F24</f>
        <v/>
      </c>
      <c r="I24" s="8">
        <f>IF(F24=0,0,G24/F24-1)</f>
        <v/>
      </c>
    </row>
    <row r="25">
      <c r="A25" s="6" t="inlineStr">
        <is>
          <t>1000.0000.2700.56260.900</t>
        </is>
      </c>
      <c r="B25" s="6" t="inlineStr">
        <is>
          <t>Fleet Fuel</t>
        </is>
      </c>
      <c r="C25" s="24" t="n">
        <v>128346</v>
      </c>
      <c r="D25" s="24" t="n">
        <v>85180</v>
      </c>
      <c r="E25" s="24" t="n">
        <v>102064</v>
      </c>
      <c r="F25" s="24" t="n">
        <v>150405</v>
      </c>
      <c r="G25" s="24" t="n">
        <v>150405</v>
      </c>
      <c r="H25" s="24">
        <f>G25-F25</f>
        <v/>
      </c>
      <c r="I25" s="8">
        <f>IF(F25=0,0,G25/F25-1)</f>
        <v/>
      </c>
    </row>
    <row r="26">
      <c r="A26" s="6" t="inlineStr">
        <is>
          <t>1000.0000.2700.56700.900</t>
        </is>
      </c>
      <c r="B26" s="6" t="inlineStr">
        <is>
          <t>Supplies</t>
        </is>
      </c>
      <c r="C26" s="24" t="n">
        <v>80189</v>
      </c>
      <c r="D26" s="24" t="n">
        <v>41769</v>
      </c>
      <c r="E26" s="24" t="n">
        <v>64191</v>
      </c>
      <c r="F26" s="24" t="n">
        <v>65000</v>
      </c>
      <c r="G26" s="24" t="n">
        <v>65000</v>
      </c>
      <c r="H26" s="24">
        <f>G26-F26</f>
        <v/>
      </c>
      <c r="I26" s="8">
        <f>IF(F26=0,0,G26/F26-1)</f>
        <v/>
      </c>
    </row>
    <row r="27">
      <c r="A27" s="6" t="inlineStr">
        <is>
          <t>1000.0000.2700.58100.900</t>
        </is>
      </c>
      <c r="B27" s="6" t="inlineStr">
        <is>
          <t>Dues and Fees</t>
        </is>
      </c>
      <c r="C27" s="24" t="n">
        <v>884</v>
      </c>
      <c r="D27" s="24" t="n">
        <v>1736</v>
      </c>
      <c r="E27" s="24" t="n">
        <v>4581</v>
      </c>
      <c r="F27" s="24" t="n">
        <v>5700</v>
      </c>
      <c r="G27" s="24" t="n">
        <v>5700</v>
      </c>
      <c r="H27" s="24">
        <f>G27-F27</f>
        <v/>
      </c>
      <c r="I27" s="8">
        <f>IF(F27=0,0,G27/F27-1)</f>
        <v/>
      </c>
    </row>
    <row r="28">
      <c r="A28" s="6" t="inlineStr">
        <is>
          <t>1000.0000.2700.58310.900</t>
        </is>
      </c>
      <c r="B28" s="6" t="inlineStr">
        <is>
          <t>Principal-Bus Lease Purchase</t>
        </is>
      </c>
      <c r="C28" s="24" t="n">
        <v>269522</v>
      </c>
      <c r="D28" s="24" t="n">
        <v>358800</v>
      </c>
      <c r="E28" s="24" t="n">
        <v>95589</v>
      </c>
      <c r="F28" s="24" t="n">
        <v>67000</v>
      </c>
      <c r="G28" s="24" t="n">
        <v>65310</v>
      </c>
      <c r="H28" s="24">
        <f>G28-F28</f>
        <v/>
      </c>
      <c r="I28" s="8">
        <f>IF(F28=0,0,G28/F28-1)</f>
        <v/>
      </c>
    </row>
    <row r="29">
      <c r="A29" s="14" t="n"/>
      <c r="B29" s="28" t="inlineStr">
        <is>
          <t>Program 0000 Total</t>
        </is>
      </c>
      <c r="C29" s="29">
        <f>SUM(C7:C28)</f>
        <v/>
      </c>
      <c r="D29" s="29">
        <f>SUM(D7:D28)</f>
        <v/>
      </c>
      <c r="E29" s="29">
        <f>SUM(E7:E28)</f>
        <v/>
      </c>
      <c r="F29" s="29">
        <f>SUM(F7:F28)</f>
        <v/>
      </c>
      <c r="G29" s="29">
        <f>SUM(G7:G28)</f>
        <v/>
      </c>
      <c r="H29" s="29">
        <f>SUM(H7:H28)</f>
        <v/>
      </c>
      <c r="I29" s="29">
        <f>SUM(I7:I28)</f>
        <v/>
      </c>
    </row>
    <row r="30">
      <c r="A30" s="6" t="inlineStr">
        <is>
          <t>1000.0000.2750.51020.900</t>
        </is>
      </c>
      <c r="B30" s="6" t="inlineStr">
        <is>
          <t>Ed Tech Salaries</t>
        </is>
      </c>
      <c r="C30" s="24" t="n">
        <v>3754</v>
      </c>
      <c r="D30" s="24" t="n">
        <v>3637</v>
      </c>
      <c r="E30" s="24" t="n">
        <v>9324</v>
      </c>
      <c r="F30" s="24" t="n">
        <v>3465</v>
      </c>
      <c r="G30" s="24" t="n">
        <v>0</v>
      </c>
      <c r="H30" s="24">
        <f>G30-F30</f>
        <v/>
      </c>
      <c r="I30" s="8">
        <f>IF(F30=0,0,G30/F30-1)</f>
        <v/>
      </c>
    </row>
    <row r="31">
      <c r="A31" s="6" t="inlineStr">
        <is>
          <t>1000.0000.2750.51180.900</t>
        </is>
      </c>
      <c r="B31" s="6" t="inlineStr">
        <is>
          <t>Support Wages</t>
        </is>
      </c>
      <c r="C31" s="24" t="n">
        <v>46855</v>
      </c>
      <c r="D31" s="24" t="n">
        <v>41574</v>
      </c>
      <c r="E31" s="24" t="n">
        <v>35619</v>
      </c>
      <c r="F31" s="24" t="n">
        <v>0</v>
      </c>
      <c r="G31" s="24" t="n">
        <v>0</v>
      </c>
      <c r="H31" s="24">
        <f>G31-F31</f>
        <v/>
      </c>
      <c r="I31" s="8">
        <f>IF(F31=0,0,G31/F31-1)</f>
        <v/>
      </c>
    </row>
    <row r="32">
      <c r="A32" s="6" t="inlineStr">
        <is>
          <t>1000.0000.2750.52020.900</t>
        </is>
      </c>
      <c r="B32" s="6" t="inlineStr">
        <is>
          <t>Ed Tech Benefits</t>
        </is>
      </c>
      <c r="C32" s="24" t="n">
        <v>913</v>
      </c>
      <c r="D32" s="24" t="n">
        <v>1111</v>
      </c>
      <c r="E32" s="24" t="n">
        <v>133</v>
      </c>
      <c r="F32" s="24" t="n">
        <v>1274</v>
      </c>
      <c r="G32" s="24" t="n">
        <v>0</v>
      </c>
      <c r="H32" s="24">
        <f>G32-F32</f>
        <v/>
      </c>
      <c r="I32" s="8">
        <f>IF(F32=0,0,G32/F32-1)</f>
        <v/>
      </c>
    </row>
    <row r="33">
      <c r="A33" s="6" t="inlineStr">
        <is>
          <t>1000.0000.2750.52080.900</t>
        </is>
      </c>
      <c r="B33" s="6" t="inlineStr">
        <is>
          <t>Support Benefits</t>
        </is>
      </c>
      <c r="C33" s="24" t="n">
        <v>11776</v>
      </c>
      <c r="D33" s="24" t="n">
        <v>8645</v>
      </c>
      <c r="E33" s="24" t="n">
        <v>4104</v>
      </c>
      <c r="F33" s="24" t="n">
        <v>0</v>
      </c>
      <c r="G33" s="24" t="n">
        <v>0</v>
      </c>
      <c r="H33" s="24">
        <f>G33-F33</f>
        <v/>
      </c>
      <c r="I33" s="8">
        <f>IF(F33=0,0,G33/F33-1)</f>
        <v/>
      </c>
    </row>
    <row r="34">
      <c r="A34" s="6" t="inlineStr">
        <is>
          <t>1000.0000.2750.52320.900</t>
        </is>
      </c>
      <c r="B34" s="6" t="inlineStr">
        <is>
          <t>Retirement</t>
        </is>
      </c>
      <c r="C34" s="24" t="n">
        <v>149</v>
      </c>
      <c r="D34" s="24" t="n">
        <v>148</v>
      </c>
      <c r="E34" s="24" t="n">
        <v>59</v>
      </c>
      <c r="F34" s="24" t="n">
        <v>0</v>
      </c>
      <c r="G34" s="24" t="n">
        <v>0</v>
      </c>
      <c r="H34" s="24">
        <f>G34-F34</f>
        <v/>
      </c>
      <c r="I34" s="8">
        <f>IF(F34=0,0,G34/F34-1)</f>
        <v/>
      </c>
    </row>
    <row r="35">
      <c r="A35" s="6" t="inlineStr">
        <is>
          <t>1000.0000.2750.55190.900</t>
        </is>
      </c>
      <c r="B35" s="6" t="inlineStr">
        <is>
          <t>Purchased Services</t>
        </is>
      </c>
      <c r="C35" s="24" t="n">
        <v>2034</v>
      </c>
      <c r="D35" s="24" t="n">
        <v>244</v>
      </c>
      <c r="E35" s="24" t="n">
        <v>0</v>
      </c>
      <c r="F35" s="24" t="n">
        <v>0</v>
      </c>
      <c r="G35" s="24" t="n">
        <v>0</v>
      </c>
      <c r="H35" s="24">
        <f>G35-F35</f>
        <v/>
      </c>
      <c r="I35" s="8">
        <f>IF(F35=0,0,G35/F35-1)</f>
        <v/>
      </c>
    </row>
    <row r="36">
      <c r="A36" s="14" t="n"/>
      <c r="B36" s="28" t="inlineStr">
        <is>
          <t>Program 0000 Total</t>
        </is>
      </c>
      <c r="C36" s="29">
        <f>SUM(C30:C35)</f>
        <v/>
      </c>
      <c r="D36" s="29">
        <f>SUM(D30:D35)</f>
        <v/>
      </c>
      <c r="E36" s="29">
        <f>SUM(E30:E35)</f>
        <v/>
      </c>
      <c r="F36" s="29">
        <f>SUM(F30:F35)</f>
        <v/>
      </c>
      <c r="G36" s="29">
        <f>SUM(G30:G35)</f>
        <v/>
      </c>
      <c r="H36" s="29">
        <f>SUM(H30:H35)</f>
        <v/>
      </c>
      <c r="I36" s="29">
        <f>SUM(I30:I35)</f>
        <v/>
      </c>
    </row>
    <row r="37">
      <c r="A37" s="14" t="n"/>
      <c r="B37" s="17" t="inlineStr">
        <is>
          <t>Cost Center ('900',) Total</t>
        </is>
      </c>
      <c r="C37" s="32">
        <f>C29+C36</f>
        <v/>
      </c>
      <c r="D37" s="32">
        <f>D29+D36</f>
        <v/>
      </c>
      <c r="E37" s="32">
        <f>E29+E36</f>
        <v/>
      </c>
      <c r="F37" s="32">
        <f>F29+F36</f>
        <v/>
      </c>
      <c r="G37" s="32">
        <f>G29+G36</f>
        <v/>
      </c>
      <c r="H37" s="32">
        <f>H29+H36</f>
        <v/>
      </c>
      <c r="I37" s="32">
        <f>I29+I36</f>
        <v/>
      </c>
    </row>
    <row r="39">
      <c r="A39" s="14" t="n"/>
      <c r="B39" s="33" t="inlineStr">
        <is>
          <t>ARTICLE 8 TOTAL</t>
        </is>
      </c>
      <c r="C39" s="34">
        <f>C37</f>
        <v/>
      </c>
      <c r="D39" s="34">
        <f>D37</f>
        <v/>
      </c>
      <c r="E39" s="34">
        <f>E37</f>
        <v/>
      </c>
      <c r="F39" s="34">
        <f>F37</f>
        <v/>
      </c>
      <c r="G39" s="34">
        <f>G37</f>
        <v/>
      </c>
      <c r="H39" s="34">
        <f>H37</f>
        <v/>
      </c>
      <c r="I39" s="34">
        <f>I37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1000.0000.2600.51180.010</t>
        </is>
      </c>
      <c r="B7" s="6" t="inlineStr">
        <is>
          <t>Salaries</t>
        </is>
      </c>
      <c r="C7" s="24" t="n">
        <v>151070</v>
      </c>
      <c r="D7" s="24" t="n">
        <v>128606</v>
      </c>
      <c r="E7" s="24" t="n">
        <v>135531</v>
      </c>
      <c r="F7" s="24" t="n">
        <v>172666</v>
      </c>
      <c r="G7" s="24" t="n">
        <v>173964</v>
      </c>
      <c r="H7" s="24">
        <f>G7-F7</f>
        <v/>
      </c>
      <c r="I7" s="8">
        <f>IF(F7=0,0,G7/F7-1)</f>
        <v/>
      </c>
    </row>
    <row r="8">
      <c r="A8" s="6" t="inlineStr">
        <is>
          <t>1000.0000.2600.52080.010</t>
        </is>
      </c>
      <c r="B8" s="6" t="inlineStr">
        <is>
          <t>Custodian Benefits</t>
        </is>
      </c>
      <c r="C8" s="24" t="n">
        <v>53216</v>
      </c>
      <c r="D8" s="24" t="n">
        <v>41476</v>
      </c>
      <c r="E8" s="24" t="n">
        <v>26081</v>
      </c>
      <c r="F8" s="24" t="n">
        <v>48045</v>
      </c>
      <c r="G8" s="24" t="n">
        <v>63947</v>
      </c>
      <c r="H8" s="24">
        <f>G8-F8</f>
        <v/>
      </c>
      <c r="I8" s="8">
        <f>IF(F8=0,0,G8/F8-1)</f>
        <v/>
      </c>
    </row>
    <row r="9">
      <c r="A9" s="6" t="inlineStr">
        <is>
          <t>1000.0000.2600.54300.010</t>
        </is>
      </c>
      <c r="B9" s="6" t="inlineStr">
        <is>
          <t>Purchased Repairs/Maint</t>
        </is>
      </c>
      <c r="C9" s="24" t="n">
        <v>71308</v>
      </c>
      <c r="D9" s="24" t="n">
        <v>81627</v>
      </c>
      <c r="E9" s="24" t="n">
        <v>81655</v>
      </c>
      <c r="F9" s="24" t="n">
        <v>82309</v>
      </c>
      <c r="G9" s="24" t="n">
        <v>84125</v>
      </c>
      <c r="H9" s="24">
        <f>G9-F9</f>
        <v/>
      </c>
      <c r="I9" s="8">
        <f>IF(F9=0,0,G9/F9-1)</f>
        <v/>
      </c>
    </row>
    <row r="10">
      <c r="A10" s="6" t="inlineStr">
        <is>
          <t>1000.0000.2600.55200.010</t>
        </is>
      </c>
      <c r="B10" s="6" t="inlineStr">
        <is>
          <t>Insurance</t>
        </is>
      </c>
      <c r="C10" s="24" t="n">
        <v>25504</v>
      </c>
      <c r="D10" s="24" t="n">
        <v>26700</v>
      </c>
      <c r="E10" s="24" t="n">
        <v>28095</v>
      </c>
      <c r="F10" s="24" t="n">
        <v>33715</v>
      </c>
      <c r="G10" s="24" t="n">
        <v>37761</v>
      </c>
      <c r="H10" s="24">
        <f>G10-F10</f>
        <v/>
      </c>
      <c r="I10" s="8">
        <f>IF(F10=0,0,G10/F10-1)</f>
        <v/>
      </c>
    </row>
    <row r="11">
      <c r="A11" s="6" t="inlineStr">
        <is>
          <t>1000.0000.2600.55320.010</t>
        </is>
      </c>
      <c r="B11" s="6" t="inlineStr">
        <is>
          <t>Telephone</t>
        </is>
      </c>
      <c r="C11" s="24" t="n">
        <v>4363</v>
      </c>
      <c r="D11" s="24" t="n">
        <v>3851</v>
      </c>
      <c r="E11" s="24" t="n">
        <v>4102</v>
      </c>
      <c r="F11" s="24" t="n">
        <v>4400</v>
      </c>
      <c r="G11" s="24" t="n">
        <v>4400</v>
      </c>
      <c r="H11" s="24">
        <f>G11-F11</f>
        <v/>
      </c>
      <c r="I11" s="8">
        <f>IF(F11=0,0,G11/F11-1)</f>
        <v/>
      </c>
    </row>
    <row r="12">
      <c r="A12" s="6" t="inlineStr">
        <is>
          <t>1000.0000.2600.55800.010</t>
        </is>
      </c>
      <c r="B12" s="6" t="inlineStr">
        <is>
          <t>Travel</t>
        </is>
      </c>
      <c r="C12" s="24" t="n">
        <v>0</v>
      </c>
      <c r="D12" s="24" t="n">
        <v>0</v>
      </c>
      <c r="E12" s="24" t="n">
        <v>55</v>
      </c>
      <c r="F12" s="24" t="n">
        <v>0</v>
      </c>
      <c r="G12" s="24" t="n">
        <v>0</v>
      </c>
      <c r="H12" s="24">
        <f>G12-F12</f>
        <v/>
      </c>
      <c r="I12" s="8">
        <f>IF(F12=0,0,G12/F12-1)</f>
        <v/>
      </c>
    </row>
    <row r="13">
      <c r="A13" s="6" t="inlineStr">
        <is>
          <t>1000.0000.2600.56000.010</t>
        </is>
      </c>
      <c r="B13" s="6" t="inlineStr">
        <is>
          <t>Supplies</t>
        </is>
      </c>
      <c r="C13" s="24" t="n">
        <v>16648</v>
      </c>
      <c r="D13" s="24" t="n">
        <v>24024</v>
      </c>
      <c r="E13" s="24" t="n">
        <v>30802</v>
      </c>
      <c r="F13" s="24" t="n">
        <v>23500</v>
      </c>
      <c r="G13" s="24" t="n">
        <v>26000</v>
      </c>
      <c r="H13" s="24">
        <f>G13-F13</f>
        <v/>
      </c>
      <c r="I13" s="8">
        <f>IF(F13=0,0,G13/F13-1)</f>
        <v/>
      </c>
    </row>
    <row r="14">
      <c r="A14" s="6" t="inlineStr">
        <is>
          <t>1000.0000.2600.56011.010</t>
        </is>
      </c>
      <c r="B14" s="6" t="inlineStr">
        <is>
          <t>Materials for Repair</t>
        </is>
      </c>
      <c r="C14" s="24" t="n">
        <v>9972</v>
      </c>
      <c r="D14" s="24" t="n">
        <v>9164</v>
      </c>
      <c r="E14" s="24" t="n">
        <v>5729</v>
      </c>
      <c r="F14" s="24" t="n">
        <v>6500</v>
      </c>
      <c r="G14" s="24" t="n">
        <v>9000</v>
      </c>
      <c r="H14" s="24">
        <f>G14-F14</f>
        <v/>
      </c>
      <c r="I14" s="8">
        <f>IF(F14=0,0,G14/F14-1)</f>
        <v/>
      </c>
    </row>
    <row r="15">
      <c r="A15" s="6" t="inlineStr">
        <is>
          <t>1000.0000.2600.56013.010</t>
        </is>
      </c>
      <c r="B15" s="6" t="inlineStr">
        <is>
          <t>Major Maintenance</t>
        </is>
      </c>
      <c r="C15" s="24" t="n">
        <v>6308</v>
      </c>
      <c r="D15" s="24" t="n">
        <v>1625</v>
      </c>
      <c r="E15" s="24" t="n">
        <v>5094</v>
      </c>
      <c r="F15" s="24" t="n">
        <v>6400</v>
      </c>
      <c r="G15" s="24" t="n">
        <v>6400</v>
      </c>
      <c r="H15" s="24">
        <f>G15-F15</f>
        <v/>
      </c>
      <c r="I15" s="8">
        <f>IF(F15=0,0,G15/F15-1)</f>
        <v/>
      </c>
    </row>
    <row r="16">
      <c r="A16" s="6" t="inlineStr">
        <is>
          <t>1000.0000.2600.56220.010</t>
        </is>
      </c>
      <c r="B16" s="6" t="inlineStr">
        <is>
          <t>Electricity - Durham</t>
        </is>
      </c>
      <c r="C16" s="24" t="n">
        <v>166539</v>
      </c>
      <c r="D16" s="24" t="n">
        <v>113656</v>
      </c>
      <c r="E16" s="24" t="n">
        <v>90687</v>
      </c>
      <c r="F16" s="24" t="n">
        <v>162583</v>
      </c>
      <c r="G16" s="24" t="n">
        <v>131400</v>
      </c>
      <c r="H16" s="24">
        <f>G16-F16</f>
        <v/>
      </c>
      <c r="I16" s="8">
        <f>IF(F16=0,0,G16/F16-1)</f>
        <v/>
      </c>
    </row>
    <row r="17">
      <c r="A17" s="6" t="inlineStr">
        <is>
          <t>1000.0000.2600.56240.010</t>
        </is>
      </c>
      <c r="B17" s="6" t="inlineStr">
        <is>
          <t>Heating Fuel</t>
        </is>
      </c>
      <c r="C17" s="24" t="n">
        <v>8187</v>
      </c>
      <c r="D17" s="24" t="n">
        <v>22151</v>
      </c>
      <c r="E17" s="24" t="n">
        <v>11825</v>
      </c>
      <c r="F17" s="24" t="n">
        <v>13000</v>
      </c>
      <c r="G17" s="24" t="n">
        <v>13000</v>
      </c>
      <c r="H17" s="24">
        <f>G17-F17</f>
        <v/>
      </c>
      <c r="I17" s="8">
        <f>IF(F17=0,0,G17/F17-1)</f>
        <v/>
      </c>
    </row>
    <row r="18">
      <c r="A18" s="14" t="n"/>
      <c r="B18" s="28" t="inlineStr">
        <is>
          <t>Program 0000 Total</t>
        </is>
      </c>
      <c r="C18" s="29">
        <f>SUM(C7:C17)</f>
        <v/>
      </c>
      <c r="D18" s="29">
        <f>SUM(D7:D17)</f>
        <v/>
      </c>
      <c r="E18" s="29">
        <f>SUM(E7:E17)</f>
        <v/>
      </c>
      <c r="F18" s="29">
        <f>SUM(F7:F17)</f>
        <v/>
      </c>
      <c r="G18" s="29">
        <f>SUM(G7:G17)</f>
        <v/>
      </c>
      <c r="H18" s="29">
        <f>SUM(H7:H17)</f>
        <v/>
      </c>
      <c r="I18" s="29">
        <f>SUM(I7:I17)</f>
        <v/>
      </c>
    </row>
    <row r="19">
      <c r="A19" s="6" t="inlineStr">
        <is>
          <t>1000.0000.2690.58310.010</t>
        </is>
      </c>
      <c r="B19" s="6" t="inlineStr">
        <is>
          <t>Principal-Durham Roof</t>
        </is>
      </c>
      <c r="C19" s="24" t="n">
        <v>40000</v>
      </c>
      <c r="D19" s="24" t="n">
        <v>0</v>
      </c>
      <c r="E19" s="24" t="n">
        <v>0</v>
      </c>
      <c r="F19" s="24" t="n">
        <v>0</v>
      </c>
      <c r="G19" s="24" t="n">
        <v>0</v>
      </c>
      <c r="H19" s="24">
        <f>G19-F19</f>
        <v/>
      </c>
      <c r="I19" s="8">
        <f>IF(F19=0,0,G19/F19-1)</f>
        <v/>
      </c>
    </row>
    <row r="20">
      <c r="A20" s="6" t="inlineStr">
        <is>
          <t>1000.0000.2690.58320.010</t>
        </is>
      </c>
      <c r="B20" s="6" t="inlineStr">
        <is>
          <t>Interest-Durham Roof</t>
        </is>
      </c>
      <c r="C20" s="24" t="n">
        <v>273</v>
      </c>
      <c r="D20" s="24" t="n">
        <v>0</v>
      </c>
      <c r="E20" s="24" t="n">
        <v>0</v>
      </c>
      <c r="F20" s="24" t="n">
        <v>0</v>
      </c>
      <c r="G20" s="24" t="n">
        <v>0</v>
      </c>
      <c r="H20" s="24">
        <f>G20-F20</f>
        <v/>
      </c>
      <c r="I20" s="8">
        <f>IF(F20=0,0,G20/F20-1)</f>
        <v/>
      </c>
    </row>
    <row r="21">
      <c r="A21" s="14" t="n"/>
      <c r="B21" s="28" t="inlineStr">
        <is>
          <t>Program 0000 Total</t>
        </is>
      </c>
      <c r="C21" s="29">
        <f>SUM(C19:C20)</f>
        <v/>
      </c>
      <c r="D21" s="29">
        <f>SUM(D19:D20)</f>
        <v/>
      </c>
      <c r="E21" s="29">
        <f>SUM(E19:E20)</f>
        <v/>
      </c>
      <c r="F21" s="29">
        <f>SUM(F19:F20)</f>
        <v/>
      </c>
      <c r="G21" s="29">
        <f>SUM(G19:G20)</f>
        <v/>
      </c>
      <c r="H21" s="29">
        <f>SUM(H19:H20)</f>
        <v/>
      </c>
      <c r="I21" s="29">
        <f>SUM(I19:I20)</f>
        <v/>
      </c>
    </row>
    <row r="22">
      <c r="A22" s="14" t="n"/>
      <c r="B22" s="17" t="inlineStr">
        <is>
          <t>Cost Center ('010',) Total</t>
        </is>
      </c>
      <c r="C22" s="32">
        <f>C18+C21</f>
        <v/>
      </c>
      <c r="D22" s="32">
        <f>D18+D21</f>
        <v/>
      </c>
      <c r="E22" s="32">
        <f>E18+E21</f>
        <v/>
      </c>
      <c r="F22" s="32">
        <f>F18+F21</f>
        <v/>
      </c>
      <c r="G22" s="32">
        <f>G18+G21</f>
        <v/>
      </c>
      <c r="H22" s="32">
        <f>H18+H21</f>
        <v/>
      </c>
      <c r="I22" s="32">
        <f>I18+I21</f>
        <v/>
      </c>
    </row>
    <row r="24">
      <c r="A24" s="3" t="inlineStr">
        <is>
          <t>Cost Center: ('020',)</t>
        </is>
      </c>
    </row>
    <row r="25">
      <c r="A25" s="6" t="inlineStr">
        <is>
          <t>1000.0000.2600.51180.020</t>
        </is>
      </c>
      <c r="B25" s="6" t="inlineStr">
        <is>
          <t>Custodial Salaries</t>
        </is>
      </c>
      <c r="C25" s="24" t="n">
        <v>145999</v>
      </c>
      <c r="D25" s="24" t="n">
        <v>158468</v>
      </c>
      <c r="E25" s="24" t="n">
        <v>145409</v>
      </c>
      <c r="F25" s="24" t="n">
        <v>174886</v>
      </c>
      <c r="G25" s="24" t="n">
        <v>162137</v>
      </c>
      <c r="H25" s="24">
        <f>G25-F25</f>
        <v/>
      </c>
      <c r="I25" s="8">
        <f>IF(F25=0,0,G25/F25-1)</f>
        <v/>
      </c>
    </row>
    <row r="26">
      <c r="A26" s="6" t="inlineStr">
        <is>
          <t>1000.0000.2600.52080.020</t>
        </is>
      </c>
      <c r="B26" s="6" t="inlineStr">
        <is>
          <t>Custodian Benefits</t>
        </is>
      </c>
      <c r="C26" s="24" t="n">
        <v>43393</v>
      </c>
      <c r="D26" s="24" t="n">
        <v>53943</v>
      </c>
      <c r="E26" s="24" t="n">
        <v>41594</v>
      </c>
      <c r="F26" s="24" t="n">
        <v>57788</v>
      </c>
      <c r="G26" s="24" t="n">
        <v>76536</v>
      </c>
      <c r="H26" s="24">
        <f>G26-F26</f>
        <v/>
      </c>
      <c r="I26" s="8">
        <f>IF(F26=0,0,G26/F26-1)</f>
        <v/>
      </c>
    </row>
    <row r="27">
      <c r="A27" s="6" t="inlineStr">
        <is>
          <t>1000.0000.2600.53300.020</t>
        </is>
      </c>
      <c r="B27" s="6" t="inlineStr">
        <is>
          <t>Employee Training</t>
        </is>
      </c>
      <c r="C27" s="24" t="n">
        <v>0</v>
      </c>
      <c r="D27" s="24" t="n">
        <v>0</v>
      </c>
      <c r="E27" s="24" t="n">
        <v>0</v>
      </c>
      <c r="F27" s="24" t="n">
        <v>125</v>
      </c>
      <c r="G27" s="24" t="n">
        <v>125</v>
      </c>
      <c r="H27" s="24">
        <f>G27-F27</f>
        <v/>
      </c>
      <c r="I27" s="8">
        <f>IF(F27=0,0,G27/F27-1)</f>
        <v/>
      </c>
    </row>
    <row r="28">
      <c r="A28" s="6" t="inlineStr">
        <is>
          <t>1000.0000.2600.54100.020</t>
        </is>
      </c>
      <c r="B28" s="6" t="inlineStr">
        <is>
          <t>Water/Sewage</t>
        </is>
      </c>
      <c r="C28" s="24" t="n">
        <v>16760</v>
      </c>
      <c r="D28" s="24" t="n">
        <v>19011</v>
      </c>
      <c r="E28" s="24" t="n">
        <v>19305</v>
      </c>
      <c r="F28" s="24" t="n">
        <v>18760</v>
      </c>
      <c r="G28" s="24" t="n">
        <v>19760</v>
      </c>
      <c r="H28" s="24">
        <f>G28-F28</f>
        <v/>
      </c>
      <c r="I28" s="8">
        <f>IF(F28=0,0,G28/F28-1)</f>
        <v/>
      </c>
    </row>
    <row r="29">
      <c r="A29" s="6" t="inlineStr">
        <is>
          <t>1000.0000.2600.54300.020</t>
        </is>
      </c>
      <c r="B29" s="6" t="inlineStr">
        <is>
          <t>Purchased Repairs/Maint</t>
        </is>
      </c>
      <c r="C29" s="24" t="n">
        <v>36841</v>
      </c>
      <c r="D29" s="24" t="n">
        <v>32206</v>
      </c>
      <c r="E29" s="24" t="n">
        <v>41173</v>
      </c>
      <c r="F29" s="24" t="n">
        <v>42039</v>
      </c>
      <c r="G29" s="24" t="n">
        <v>45040</v>
      </c>
      <c r="H29" s="24">
        <f>G29-F29</f>
        <v/>
      </c>
      <c r="I29" s="8">
        <f>IF(F29=0,0,G29/F29-1)</f>
        <v/>
      </c>
    </row>
    <row r="30">
      <c r="A30" s="6" t="inlineStr">
        <is>
          <t>1000.0000.2600.55200.020</t>
        </is>
      </c>
      <c r="B30" s="6" t="inlineStr">
        <is>
          <t>Insurance</t>
        </is>
      </c>
      <c r="C30" s="24" t="n">
        <v>11066</v>
      </c>
      <c r="D30" s="24" t="n">
        <v>12238</v>
      </c>
      <c r="E30" s="24" t="n">
        <v>12878</v>
      </c>
      <c r="F30" s="24" t="n">
        <v>15453</v>
      </c>
      <c r="G30" s="24" t="n">
        <v>17307</v>
      </c>
      <c r="H30" s="24">
        <f>G30-F30</f>
        <v/>
      </c>
      <c r="I30" s="8">
        <f>IF(F30=0,0,G30/F30-1)</f>
        <v/>
      </c>
    </row>
    <row r="31">
      <c r="A31" s="6" t="inlineStr">
        <is>
          <t>1000.0000.2600.55320.020</t>
        </is>
      </c>
      <c r="B31" s="6" t="inlineStr">
        <is>
          <t>Telephone</t>
        </is>
      </c>
      <c r="C31" s="24" t="n">
        <v>3194</v>
      </c>
      <c r="D31" s="24" t="n">
        <v>2491</v>
      </c>
      <c r="E31" s="24" t="n">
        <v>2543</v>
      </c>
      <c r="F31" s="24" t="n">
        <v>3400</v>
      </c>
      <c r="G31" s="24" t="n">
        <v>3400</v>
      </c>
      <c r="H31" s="24">
        <f>G31-F31</f>
        <v/>
      </c>
      <c r="I31" s="8">
        <f>IF(F31=0,0,G31/F31-1)</f>
        <v/>
      </c>
    </row>
    <row r="32">
      <c r="A32" s="6" t="inlineStr">
        <is>
          <t>1000.0000.2600.55800.020</t>
        </is>
      </c>
      <c r="B32" s="6" t="inlineStr">
        <is>
          <t>Travel</t>
        </is>
      </c>
      <c r="C32" s="24" t="n">
        <v>0</v>
      </c>
      <c r="D32" s="24" t="n">
        <v>0</v>
      </c>
      <c r="E32" s="24" t="n">
        <v>23</v>
      </c>
      <c r="F32" s="24" t="n">
        <v>0</v>
      </c>
      <c r="G32" s="24" t="n">
        <v>0</v>
      </c>
      <c r="H32" s="24">
        <f>G32-F32</f>
        <v/>
      </c>
      <c r="I32" s="8">
        <f>IF(F32=0,0,G32/F32-1)</f>
        <v/>
      </c>
    </row>
    <row r="33">
      <c r="A33" s="6" t="inlineStr">
        <is>
          <t>1000.0000.2600.56000.020</t>
        </is>
      </c>
      <c r="B33" s="6" t="inlineStr">
        <is>
          <t>Supplies</t>
        </is>
      </c>
      <c r="C33" s="24" t="n">
        <v>15662</v>
      </c>
      <c r="D33" s="24" t="n">
        <v>13067</v>
      </c>
      <c r="E33" s="24" t="n">
        <v>14382</v>
      </c>
      <c r="F33" s="24" t="n">
        <v>18500</v>
      </c>
      <c r="G33" s="24" t="n">
        <v>20000</v>
      </c>
      <c r="H33" s="24">
        <f>G33-F33</f>
        <v/>
      </c>
      <c r="I33" s="8">
        <f>IF(F33=0,0,G33/F33-1)</f>
        <v/>
      </c>
    </row>
    <row r="34">
      <c r="A34" s="6" t="inlineStr">
        <is>
          <t>1000.0000.2600.56011.020</t>
        </is>
      </c>
      <c r="B34" s="6" t="inlineStr">
        <is>
          <t>Materials for Repair</t>
        </is>
      </c>
      <c r="C34" s="24" t="n">
        <v>3782</v>
      </c>
      <c r="D34" s="24" t="n">
        <v>2674</v>
      </c>
      <c r="E34" s="24" t="n">
        <v>4017</v>
      </c>
      <c r="F34" s="24" t="n">
        <v>4050</v>
      </c>
      <c r="G34" s="24" t="n">
        <v>4050</v>
      </c>
      <c r="H34" s="24">
        <f>G34-F34</f>
        <v/>
      </c>
      <c r="I34" s="8">
        <f>IF(F34=0,0,G34/F34-1)</f>
        <v/>
      </c>
    </row>
    <row r="35">
      <c r="A35" s="6" t="inlineStr">
        <is>
          <t>1000.0000.2600.56013.020</t>
        </is>
      </c>
      <c r="B35" s="6" t="inlineStr">
        <is>
          <t>Major Maintenance</t>
        </is>
      </c>
      <c r="C35" s="24" t="n">
        <v>14643</v>
      </c>
      <c r="D35" s="24" t="n">
        <v>15705</v>
      </c>
      <c r="E35" s="24" t="n">
        <v>3641</v>
      </c>
      <c r="F35" s="24" t="n">
        <v>6000</v>
      </c>
      <c r="G35" s="24" t="n">
        <v>6000</v>
      </c>
      <c r="H35" s="24">
        <f>G35-F35</f>
        <v/>
      </c>
      <c r="I35" s="8">
        <f>IF(F35=0,0,G35/F35-1)</f>
        <v/>
      </c>
    </row>
    <row r="36">
      <c r="A36" s="6" t="inlineStr">
        <is>
          <t>1000.0000.2600.56220.020</t>
        </is>
      </c>
      <c r="B36" s="6" t="inlineStr">
        <is>
          <t>Electricity</t>
        </is>
      </c>
      <c r="C36" s="24" t="n">
        <v>27376</v>
      </c>
      <c r="D36" s="24" t="n">
        <v>24508</v>
      </c>
      <c r="E36" s="24" t="n">
        <v>24335</v>
      </c>
      <c r="F36" s="24" t="n">
        <v>26583</v>
      </c>
      <c r="G36" s="24" t="n">
        <v>25973</v>
      </c>
      <c r="H36" s="24">
        <f>G36-F36</f>
        <v/>
      </c>
      <c r="I36" s="8">
        <f>IF(F36=0,0,G36/F36-1)</f>
        <v/>
      </c>
    </row>
    <row r="37">
      <c r="A37" s="6" t="inlineStr">
        <is>
          <t>1000.0000.2600.56240.020</t>
        </is>
      </c>
      <c r="B37" s="6" t="inlineStr">
        <is>
          <t>Heating Fuel</t>
        </is>
      </c>
      <c r="C37" s="24" t="n">
        <v>43662</v>
      </c>
      <c r="D37" s="24" t="n">
        <v>25912</v>
      </c>
      <c r="E37" s="24" t="n">
        <v>40436</v>
      </c>
      <c r="F37" s="24" t="n">
        <v>38553</v>
      </c>
      <c r="G37" s="24" t="n">
        <v>41000</v>
      </c>
      <c r="H37" s="24">
        <f>G37-F37</f>
        <v/>
      </c>
      <c r="I37" s="8">
        <f>IF(F37=0,0,G37/F37-1)</f>
        <v/>
      </c>
    </row>
    <row r="38">
      <c r="A38" s="14" t="n"/>
      <c r="B38" s="28" t="inlineStr">
        <is>
          <t>Program 0000 Total</t>
        </is>
      </c>
      <c r="C38" s="29">
        <f>SUM(C25:C37)</f>
        <v/>
      </c>
      <c r="D38" s="29">
        <f>SUM(D25:D37)</f>
        <v/>
      </c>
      <c r="E38" s="29">
        <f>SUM(E25:E37)</f>
        <v/>
      </c>
      <c r="F38" s="29">
        <f>SUM(F25:F37)</f>
        <v/>
      </c>
      <c r="G38" s="29">
        <f>SUM(G25:G37)</f>
        <v/>
      </c>
      <c r="H38" s="29">
        <f>SUM(H25:H37)</f>
        <v/>
      </c>
      <c r="I38" s="29">
        <f>SUM(I25:I37)</f>
        <v/>
      </c>
    </row>
    <row r="39">
      <c r="A39" s="14" t="n"/>
      <c r="B39" s="17" t="inlineStr">
        <is>
          <t>Cost Center ('020',) Total</t>
        </is>
      </c>
      <c r="C39" s="32">
        <f>C38</f>
        <v/>
      </c>
      <c r="D39" s="32">
        <f>D38</f>
        <v/>
      </c>
      <c r="E39" s="32">
        <f>E38</f>
        <v/>
      </c>
      <c r="F39" s="32">
        <f>F38</f>
        <v/>
      </c>
      <c r="G39" s="32">
        <f>G38</f>
        <v/>
      </c>
      <c r="H39" s="32">
        <f>H38</f>
        <v/>
      </c>
      <c r="I39" s="32">
        <f>I38</f>
        <v/>
      </c>
    </row>
    <row r="41">
      <c r="A41" s="3" t="inlineStr">
        <is>
          <t>Cost Center: ('030',)</t>
        </is>
      </c>
    </row>
    <row r="42">
      <c r="A42" s="6" t="inlineStr">
        <is>
          <t>1000.0000.2600.51180.030</t>
        </is>
      </c>
      <c r="B42" s="6" t="inlineStr">
        <is>
          <t>Custodial Salaries</t>
        </is>
      </c>
      <c r="C42" s="24" t="n">
        <v>65293</v>
      </c>
      <c r="D42" s="24" t="n">
        <v>84510</v>
      </c>
      <c r="E42" s="24" t="n">
        <v>80213</v>
      </c>
      <c r="F42" s="24" t="n">
        <v>54905</v>
      </c>
      <c r="G42" s="24" t="n">
        <v>79631</v>
      </c>
      <c r="H42" s="24">
        <f>G42-F42</f>
        <v/>
      </c>
      <c r="I42" s="8">
        <f>IF(F42=0,0,G42/F42-1)</f>
        <v/>
      </c>
    </row>
    <row r="43">
      <c r="A43" s="6" t="inlineStr">
        <is>
          <t>1000.0000.2600.52080.030</t>
        </is>
      </c>
      <c r="B43" s="6" t="inlineStr">
        <is>
          <t>Custodian Benefits</t>
        </is>
      </c>
      <c r="C43" s="24" t="n">
        <v>27213</v>
      </c>
      <c r="D43" s="24" t="n">
        <v>33107</v>
      </c>
      <c r="E43" s="24" t="n">
        <v>18012</v>
      </c>
      <c r="F43" s="24" t="n">
        <v>15971</v>
      </c>
      <c r="G43" s="24" t="n">
        <v>39522</v>
      </c>
      <c r="H43" s="24">
        <f>G43-F43</f>
        <v/>
      </c>
      <c r="I43" s="8">
        <f>IF(F43=0,0,G43/F43-1)</f>
        <v/>
      </c>
    </row>
    <row r="44">
      <c r="A44" s="6" t="inlineStr">
        <is>
          <t>1000.0000.2600.54300.030</t>
        </is>
      </c>
      <c r="B44" s="6" t="inlineStr">
        <is>
          <t>Purchased Repairs/Maint</t>
        </is>
      </c>
      <c r="C44" s="24" t="n">
        <v>38368</v>
      </c>
      <c r="D44" s="24" t="n">
        <v>32749</v>
      </c>
      <c r="E44" s="24" t="n">
        <v>29898</v>
      </c>
      <c r="F44" s="24" t="n">
        <v>35415</v>
      </c>
      <c r="G44" s="24" t="n">
        <v>35991</v>
      </c>
      <c r="H44" s="24">
        <f>G44-F44</f>
        <v/>
      </c>
      <c r="I44" s="8">
        <f>IF(F44=0,0,G44/F44-1)</f>
        <v/>
      </c>
    </row>
    <row r="45">
      <c r="A45" s="6" t="inlineStr">
        <is>
          <t>1000.0000.2600.55200.030</t>
        </is>
      </c>
      <c r="B45" s="6" t="inlineStr">
        <is>
          <t>Insurance</t>
        </is>
      </c>
      <c r="C45" s="24" t="n">
        <v>7588</v>
      </c>
      <c r="D45" s="24" t="n">
        <v>7788</v>
      </c>
      <c r="E45" s="24" t="n">
        <v>8195</v>
      </c>
      <c r="F45" s="24" t="n">
        <v>9834</v>
      </c>
      <c r="G45" s="24" t="n">
        <v>11014</v>
      </c>
      <c r="H45" s="24">
        <f>G45-F45</f>
        <v/>
      </c>
      <c r="I45" s="8">
        <f>IF(F45=0,0,G45/F45-1)</f>
        <v/>
      </c>
    </row>
    <row r="46">
      <c r="A46" s="6" t="inlineStr">
        <is>
          <t>1000.0000.2600.55320.030</t>
        </is>
      </c>
      <c r="B46" s="6" t="inlineStr">
        <is>
          <t>Telephone</t>
        </is>
      </c>
      <c r="C46" s="24" t="n">
        <v>4689</v>
      </c>
      <c r="D46" s="24" t="n">
        <v>2733</v>
      </c>
      <c r="E46" s="24" t="n">
        <v>1796</v>
      </c>
      <c r="F46" s="24" t="n">
        <v>4688</v>
      </c>
      <c r="G46" s="24" t="n">
        <v>4988</v>
      </c>
      <c r="H46" s="24">
        <f>G46-F46</f>
        <v/>
      </c>
      <c r="I46" s="8">
        <f>IF(F46=0,0,G46/F46-1)</f>
        <v/>
      </c>
    </row>
    <row r="47">
      <c r="A47" s="6" t="inlineStr">
        <is>
          <t>1000.0000.2600.55800.030</t>
        </is>
      </c>
      <c r="B47" s="6" t="inlineStr">
        <is>
          <t>Travel</t>
        </is>
      </c>
      <c r="C47" s="24" t="n">
        <v>262</v>
      </c>
      <c r="D47" s="24" t="n">
        <v>0</v>
      </c>
      <c r="E47" s="24" t="n">
        <v>87</v>
      </c>
      <c r="F47" s="24" t="n">
        <v>260</v>
      </c>
      <c r="G47" s="24" t="n">
        <v>0</v>
      </c>
      <c r="H47" s="24">
        <f>G47-F47</f>
        <v/>
      </c>
      <c r="I47" s="8">
        <f>IF(F47=0,0,G47/F47-1)</f>
        <v/>
      </c>
    </row>
    <row r="48">
      <c r="A48" s="6" t="inlineStr">
        <is>
          <t>1000.0000.2600.56000.030</t>
        </is>
      </c>
      <c r="B48" s="6" t="inlineStr">
        <is>
          <t>Supplies</t>
        </is>
      </c>
      <c r="C48" s="24" t="n">
        <v>7945</v>
      </c>
      <c r="D48" s="24" t="n">
        <v>9495</v>
      </c>
      <c r="E48" s="24" t="n">
        <v>13932</v>
      </c>
      <c r="F48" s="24" t="n">
        <v>11450</v>
      </c>
      <c r="G48" s="24" t="n">
        <v>12500</v>
      </c>
      <c r="H48" s="24">
        <f>G48-F48</f>
        <v/>
      </c>
      <c r="I48" s="8">
        <f>IF(F48=0,0,G48/F48-1)</f>
        <v/>
      </c>
    </row>
    <row r="49">
      <c r="A49" s="6" t="inlineStr">
        <is>
          <t>1000.0000.2600.56011.030</t>
        </is>
      </c>
      <c r="B49" s="6" t="inlineStr">
        <is>
          <t>Materials for Repair</t>
        </is>
      </c>
      <c r="C49" s="24" t="n">
        <v>2296</v>
      </c>
      <c r="D49" s="24" t="n">
        <v>2623</v>
      </c>
      <c r="E49" s="24" t="n">
        <v>2448</v>
      </c>
      <c r="F49" s="24" t="n">
        <v>4250</v>
      </c>
      <c r="G49" s="24" t="n">
        <v>4250</v>
      </c>
      <c r="H49" s="24">
        <f>G49-F49</f>
        <v/>
      </c>
      <c r="I49" s="8">
        <f>IF(F49=0,0,G49/F49-1)</f>
        <v/>
      </c>
    </row>
    <row r="50">
      <c r="A50" s="6" t="inlineStr">
        <is>
          <t>1000.0000.2600.56013.030</t>
        </is>
      </c>
      <c r="B50" s="6" t="inlineStr">
        <is>
          <t>Major Maintenance</t>
        </is>
      </c>
      <c r="C50" s="24" t="n">
        <v>59411</v>
      </c>
      <c r="D50" s="24" t="n">
        <v>6653</v>
      </c>
      <c r="E50" s="24" t="n">
        <v>2582</v>
      </c>
      <c r="F50" s="24" t="n">
        <v>5000</v>
      </c>
      <c r="G50" s="24" t="n">
        <v>9500</v>
      </c>
      <c r="H50" s="24">
        <f>G50-F50</f>
        <v/>
      </c>
      <c r="I50" s="8">
        <f>IF(F50=0,0,G50/F50-1)</f>
        <v/>
      </c>
    </row>
    <row r="51">
      <c r="A51" s="6" t="inlineStr">
        <is>
          <t>1000.0000.2600.56050.030</t>
        </is>
      </c>
      <c r="B51" s="6" t="inlineStr">
        <is>
          <t>Furniture &amp; Equipment - Non Instructional PES</t>
        </is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4865</v>
      </c>
      <c r="H51" s="24">
        <f>G51-F51</f>
        <v/>
      </c>
      <c r="I51" s="8">
        <f>IF(F51=0,0,G51/F51-1)</f>
        <v/>
      </c>
    </row>
    <row r="52">
      <c r="A52" s="6" t="inlineStr">
        <is>
          <t>1000.0000.2600.56220.030</t>
        </is>
      </c>
      <c r="B52" s="6" t="inlineStr">
        <is>
          <t>Electricity</t>
        </is>
      </c>
      <c r="C52" s="24" t="n">
        <v>14765</v>
      </c>
      <c r="D52" s="24" t="n">
        <v>14120</v>
      </c>
      <c r="E52" s="24" t="n">
        <v>14523</v>
      </c>
      <c r="F52" s="24" t="n">
        <v>12583</v>
      </c>
      <c r="G52" s="24" t="n">
        <v>13123</v>
      </c>
      <c r="H52" s="24">
        <f>G52-F52</f>
        <v/>
      </c>
      <c r="I52" s="8">
        <f>IF(F52=0,0,G52/F52-1)</f>
        <v/>
      </c>
    </row>
    <row r="53">
      <c r="A53" s="6" t="inlineStr">
        <is>
          <t>1000.0000.2600.56240.030</t>
        </is>
      </c>
      <c r="B53" s="6" t="inlineStr">
        <is>
          <t>Heating Fuel</t>
        </is>
      </c>
      <c r="C53" s="24" t="n">
        <v>25278</v>
      </c>
      <c r="D53" s="24" t="n">
        <v>16786</v>
      </c>
      <c r="E53" s="24" t="n">
        <v>19265</v>
      </c>
      <c r="F53" s="24" t="n">
        <v>26000</v>
      </c>
      <c r="G53" s="24" t="n">
        <v>28000</v>
      </c>
      <c r="H53" s="24">
        <f>G53-F53</f>
        <v/>
      </c>
      <c r="I53" s="8">
        <f>IF(F53=0,0,G53/F53-1)</f>
        <v/>
      </c>
    </row>
    <row r="54">
      <c r="A54" s="14" t="n"/>
      <c r="B54" s="28" t="inlineStr">
        <is>
          <t>Program 0000 Total</t>
        </is>
      </c>
      <c r="C54" s="29">
        <f>SUM(C42:C53)</f>
        <v/>
      </c>
      <c r="D54" s="29">
        <f>SUM(D42:D53)</f>
        <v/>
      </c>
      <c r="E54" s="29">
        <f>SUM(E42:E53)</f>
        <v/>
      </c>
      <c r="F54" s="29">
        <f>SUM(F42:F53)</f>
        <v/>
      </c>
      <c r="G54" s="29">
        <f>SUM(G42:G53)</f>
        <v/>
      </c>
      <c r="H54" s="29">
        <f>SUM(H42:H53)</f>
        <v/>
      </c>
      <c r="I54" s="29">
        <f>SUM(I42:I53)</f>
        <v/>
      </c>
    </row>
    <row r="55">
      <c r="A55" s="14" t="n"/>
      <c r="B55" s="17" t="inlineStr">
        <is>
          <t>Cost Center ('030',) Total</t>
        </is>
      </c>
      <c r="C55" s="32">
        <f>C54</f>
        <v/>
      </c>
      <c r="D55" s="32">
        <f>D54</f>
        <v/>
      </c>
      <c r="E55" s="32">
        <f>E54</f>
        <v/>
      </c>
      <c r="F55" s="32">
        <f>F54</f>
        <v/>
      </c>
      <c r="G55" s="32">
        <f>G54</f>
        <v/>
      </c>
      <c r="H55" s="32">
        <f>H54</f>
        <v/>
      </c>
      <c r="I55" s="32">
        <f>I54</f>
        <v/>
      </c>
    </row>
    <row r="57">
      <c r="A57" s="3" t="inlineStr">
        <is>
          <t>Cost Center: ('040',)</t>
        </is>
      </c>
    </row>
    <row r="58">
      <c r="A58" s="6" t="inlineStr">
        <is>
          <t>1000.0000.2600.51180.040</t>
        </is>
      </c>
      <c r="B58" s="6" t="inlineStr">
        <is>
          <t>Custodian Salaries</t>
        </is>
      </c>
      <c r="C58" s="24" t="n">
        <v>112479</v>
      </c>
      <c r="D58" s="24" t="n">
        <v>104824</v>
      </c>
      <c r="E58" s="24" t="n">
        <v>78563</v>
      </c>
      <c r="F58" s="24" t="n">
        <v>99536</v>
      </c>
      <c r="G58" s="24" t="n">
        <v>153326</v>
      </c>
      <c r="H58" s="24">
        <f>G58-F58</f>
        <v/>
      </c>
      <c r="I58" s="8">
        <f>IF(F58=0,0,G58/F58-1)</f>
        <v/>
      </c>
    </row>
    <row r="59">
      <c r="A59" s="6" t="inlineStr">
        <is>
          <t>1000.0000.2600.52080.040</t>
        </is>
      </c>
      <c r="B59" s="6" t="inlineStr">
        <is>
          <t>Custodian Benefits</t>
        </is>
      </c>
      <c r="C59" s="24" t="n">
        <v>63434</v>
      </c>
      <c r="D59" s="24" t="n">
        <v>60711</v>
      </c>
      <c r="E59" s="24" t="n">
        <v>39517</v>
      </c>
      <c r="F59" s="24" t="n">
        <v>54218</v>
      </c>
      <c r="G59" s="24" t="n">
        <v>77480</v>
      </c>
      <c r="H59" s="24">
        <f>G59-F59</f>
        <v/>
      </c>
      <c r="I59" s="8">
        <f>IF(F59=0,0,G59/F59-1)</f>
        <v/>
      </c>
    </row>
    <row r="60">
      <c r="A60" s="6" t="inlineStr">
        <is>
          <t>1000.0000.2600.53300.040</t>
        </is>
      </c>
      <c r="B60" s="6" t="inlineStr">
        <is>
          <t>Employee Training</t>
        </is>
      </c>
      <c r="C60" s="24" t="n">
        <v>0</v>
      </c>
      <c r="D60" s="24" t="n">
        <v>0</v>
      </c>
      <c r="E60" s="24" t="n">
        <v>0</v>
      </c>
      <c r="F60" s="24" t="n">
        <v>125</v>
      </c>
      <c r="G60" s="24" t="n">
        <v>125</v>
      </c>
      <c r="H60" s="24">
        <f>G60-F60</f>
        <v/>
      </c>
      <c r="I60" s="8">
        <f>IF(F60=0,0,G60/F60-1)</f>
        <v/>
      </c>
    </row>
    <row r="61">
      <c r="A61" s="6" t="inlineStr">
        <is>
          <t>1000.0000.2600.54100.040</t>
        </is>
      </c>
      <c r="B61" s="6" t="inlineStr">
        <is>
          <t>Water/Sewage</t>
        </is>
      </c>
      <c r="C61" s="24" t="n">
        <v>6777</v>
      </c>
      <c r="D61" s="24" t="n">
        <v>7929</v>
      </c>
      <c r="E61" s="24" t="n">
        <v>6983</v>
      </c>
      <c r="F61" s="24" t="n">
        <v>7611</v>
      </c>
      <c r="G61" s="24" t="n">
        <v>8000</v>
      </c>
      <c r="H61" s="24">
        <f>G61-F61</f>
        <v/>
      </c>
      <c r="I61" s="8">
        <f>IF(F61=0,0,G61/F61-1)</f>
        <v/>
      </c>
    </row>
    <row r="62">
      <c r="A62" s="6" t="inlineStr">
        <is>
          <t>1000.0000.2600.54300.040</t>
        </is>
      </c>
      <c r="B62" s="6" t="inlineStr">
        <is>
          <t>Purchased Repairs/Maint</t>
        </is>
      </c>
      <c r="C62" s="24" t="n">
        <v>47718</v>
      </c>
      <c r="D62" s="24" t="n">
        <v>37417</v>
      </c>
      <c r="E62" s="24" t="n">
        <v>40175</v>
      </c>
      <c r="F62" s="24" t="n">
        <v>45491</v>
      </c>
      <c r="G62" s="24" t="n">
        <v>46743</v>
      </c>
      <c r="H62" s="24">
        <f>G62-F62</f>
        <v/>
      </c>
      <c r="I62" s="8">
        <f>IF(F62=0,0,G62/F62-1)</f>
        <v/>
      </c>
    </row>
    <row r="63">
      <c r="A63" s="6" t="inlineStr">
        <is>
          <t>1000.0000.2600.55200.040</t>
        </is>
      </c>
      <c r="B63" s="6" t="inlineStr">
        <is>
          <t>Insurance</t>
        </is>
      </c>
      <c r="C63" s="24" t="n">
        <v>11276</v>
      </c>
      <c r="D63" s="24" t="n">
        <v>12238</v>
      </c>
      <c r="E63" s="24" t="n">
        <v>12878</v>
      </c>
      <c r="F63" s="24" t="n">
        <v>15453</v>
      </c>
      <c r="G63" s="24" t="n">
        <v>17307</v>
      </c>
      <c r="H63" s="24">
        <f>G63-F63</f>
        <v/>
      </c>
      <c r="I63" s="8">
        <f>IF(F63=0,0,G63/F63-1)</f>
        <v/>
      </c>
    </row>
    <row r="64">
      <c r="A64" s="6" t="inlineStr">
        <is>
          <t>1000.0000.2600.55320.040</t>
        </is>
      </c>
      <c r="B64" s="6" t="inlineStr">
        <is>
          <t>Telephone</t>
        </is>
      </c>
      <c r="C64" s="24" t="n">
        <v>2404</v>
      </c>
      <c r="D64" s="24" t="n">
        <v>1962</v>
      </c>
      <c r="E64" s="24" t="n">
        <v>2236</v>
      </c>
      <c r="F64" s="24" t="n">
        <v>2400</v>
      </c>
      <c r="G64" s="24" t="n">
        <v>2400</v>
      </c>
      <c r="H64" s="24">
        <f>G64-F64</f>
        <v/>
      </c>
      <c r="I64" s="8">
        <f>IF(F64=0,0,G64/F64-1)</f>
        <v/>
      </c>
    </row>
    <row r="65">
      <c r="A65" s="6" t="inlineStr">
        <is>
          <t>1000.0000.2600.55800.040</t>
        </is>
      </c>
      <c r="B65" s="6" t="inlineStr">
        <is>
          <t>Travel</t>
        </is>
      </c>
      <c r="C65" s="24" t="n">
        <v>0</v>
      </c>
      <c r="D65" s="24" t="n">
        <v>0</v>
      </c>
      <c r="E65" s="24" t="n">
        <v>23</v>
      </c>
      <c r="F65" s="24" t="n">
        <v>0</v>
      </c>
      <c r="G65" s="24" t="n">
        <v>0</v>
      </c>
      <c r="H65" s="24">
        <f>G65-F65</f>
        <v/>
      </c>
      <c r="I65" s="8">
        <f>IF(F65=0,0,G65/F65-1)</f>
        <v/>
      </c>
    </row>
    <row r="66">
      <c r="A66" s="6" t="inlineStr">
        <is>
          <t>1000.0000.2600.56000.040</t>
        </is>
      </c>
      <c r="B66" s="6" t="inlineStr">
        <is>
          <t>Supplies</t>
        </is>
      </c>
      <c r="C66" s="24" t="n">
        <v>18505</v>
      </c>
      <c r="D66" s="24" t="n">
        <v>12813</v>
      </c>
      <c r="E66" s="24" t="n">
        <v>8507</v>
      </c>
      <c r="F66" s="24" t="n">
        <v>18000</v>
      </c>
      <c r="G66" s="24" t="n">
        <v>19500</v>
      </c>
      <c r="H66" s="24">
        <f>G66-F66</f>
        <v/>
      </c>
      <c r="I66" s="8">
        <f>IF(F66=0,0,G66/F66-1)</f>
        <v/>
      </c>
    </row>
    <row r="67">
      <c r="A67" s="6" t="inlineStr">
        <is>
          <t>1000.0000.2600.56011.040</t>
        </is>
      </c>
      <c r="B67" s="6" t="inlineStr">
        <is>
          <t>Material Repair</t>
        </is>
      </c>
      <c r="C67" s="24" t="n">
        <v>2368</v>
      </c>
      <c r="D67" s="24" t="n">
        <v>3182</v>
      </c>
      <c r="E67" s="24" t="n">
        <v>1859</v>
      </c>
      <c r="F67" s="24" t="n">
        <v>4500</v>
      </c>
      <c r="G67" s="24" t="n">
        <v>4500</v>
      </c>
      <c r="H67" s="24">
        <f>G67-F67</f>
        <v/>
      </c>
      <c r="I67" s="8">
        <f>IF(F67=0,0,G67/F67-1)</f>
        <v/>
      </c>
    </row>
    <row r="68">
      <c r="A68" s="6" t="inlineStr">
        <is>
          <t>1000.0000.2600.56013.040</t>
        </is>
      </c>
      <c r="B68" s="6" t="inlineStr">
        <is>
          <t>Major Maintenance</t>
        </is>
      </c>
      <c r="C68" s="24" t="n">
        <v>4077</v>
      </c>
      <c r="D68" s="24" t="n">
        <v>21631</v>
      </c>
      <c r="E68" s="24" t="n">
        <v>3500</v>
      </c>
      <c r="F68" s="24" t="n">
        <v>5000</v>
      </c>
      <c r="G68" s="24" t="n">
        <v>5000</v>
      </c>
      <c r="H68" s="24">
        <f>G68-F68</f>
        <v/>
      </c>
      <c r="I68" s="8">
        <f>IF(F68=0,0,G68/F68-1)</f>
        <v/>
      </c>
    </row>
    <row r="69">
      <c r="A69" s="6" t="inlineStr">
        <is>
          <t>1000.0000.2600.56220.040</t>
        </is>
      </c>
      <c r="B69" s="6" t="inlineStr">
        <is>
          <t>Electricity</t>
        </is>
      </c>
      <c r="C69" s="24" t="n">
        <v>30151</v>
      </c>
      <c r="D69" s="24" t="n">
        <v>23244</v>
      </c>
      <c r="E69" s="24" t="n">
        <v>22943</v>
      </c>
      <c r="F69" s="24" t="n">
        <v>27356</v>
      </c>
      <c r="G69" s="24" t="n">
        <v>26366</v>
      </c>
      <c r="H69" s="24">
        <f>G69-F69</f>
        <v/>
      </c>
      <c r="I69" s="8">
        <f>IF(F69=0,0,G69/F69-1)</f>
        <v/>
      </c>
    </row>
    <row r="70">
      <c r="A70" s="6" t="inlineStr">
        <is>
          <t>1000.0000.2600.56240.040</t>
        </is>
      </c>
      <c r="B70" s="6" t="inlineStr">
        <is>
          <t>Heating Fuel</t>
        </is>
      </c>
      <c r="C70" s="24" t="n">
        <v>37434</v>
      </c>
      <c r="D70" s="24" t="n">
        <v>24590</v>
      </c>
      <c r="E70" s="24" t="n">
        <v>27889</v>
      </c>
      <c r="F70" s="24" t="n">
        <v>37500</v>
      </c>
      <c r="G70" s="24" t="n">
        <v>39500</v>
      </c>
      <c r="H70" s="24">
        <f>G70-F70</f>
        <v/>
      </c>
      <c r="I70" s="8">
        <f>IF(F70=0,0,G70/F70-1)</f>
        <v/>
      </c>
    </row>
    <row r="71">
      <c r="A71" s="14" t="n"/>
      <c r="B71" s="28" t="inlineStr">
        <is>
          <t>Program 0000 Total</t>
        </is>
      </c>
      <c r="C71" s="29">
        <f>SUM(C58:C70)</f>
        <v/>
      </c>
      <c r="D71" s="29">
        <f>SUM(D58:D70)</f>
        <v/>
      </c>
      <c r="E71" s="29">
        <f>SUM(E58:E70)</f>
        <v/>
      </c>
      <c r="F71" s="29">
        <f>SUM(F58:F70)</f>
        <v/>
      </c>
      <c r="G71" s="29">
        <f>SUM(G58:G70)</f>
        <v/>
      </c>
      <c r="H71" s="29">
        <f>SUM(H58:H70)</f>
        <v/>
      </c>
      <c r="I71" s="29">
        <f>SUM(I58:I70)</f>
        <v/>
      </c>
    </row>
    <row r="72">
      <c r="A72" s="14" t="n"/>
      <c r="B72" s="17" t="inlineStr">
        <is>
          <t>Cost Center ('040',) Total</t>
        </is>
      </c>
      <c r="C72" s="32">
        <f>C71</f>
        <v/>
      </c>
      <c r="D72" s="32">
        <f>D71</f>
        <v/>
      </c>
      <c r="E72" s="32">
        <f>E71</f>
        <v/>
      </c>
      <c r="F72" s="32">
        <f>F71</f>
        <v/>
      </c>
      <c r="G72" s="32">
        <f>G71</f>
        <v/>
      </c>
      <c r="H72" s="32">
        <f>H71</f>
        <v/>
      </c>
      <c r="I72" s="32">
        <f>I71</f>
        <v/>
      </c>
    </row>
    <row r="74">
      <c r="A74" s="3" t="inlineStr">
        <is>
          <t>Cost Center: ('050',)</t>
        </is>
      </c>
    </row>
    <row r="75">
      <c r="A75" s="6" t="inlineStr">
        <is>
          <t>1000.0000.2600.51180.050</t>
        </is>
      </c>
      <c r="B75" s="6" t="inlineStr">
        <is>
          <t>Custodian Salaries</t>
        </is>
      </c>
      <c r="C75" s="24" t="n">
        <v>177421</v>
      </c>
      <c r="D75" s="24" t="n">
        <v>207260</v>
      </c>
      <c r="E75" s="24" t="n">
        <v>191266</v>
      </c>
      <c r="F75" s="24" t="n">
        <v>197844</v>
      </c>
      <c r="G75" s="24" t="n">
        <v>184047</v>
      </c>
      <c r="H75" s="24">
        <f>G75-F75</f>
        <v/>
      </c>
      <c r="I75" s="8">
        <f>IF(F75=0,0,G75/F75-1)</f>
        <v/>
      </c>
    </row>
    <row r="76">
      <c r="A76" s="6" t="inlineStr">
        <is>
          <t>1000.0000.2600.52080.050</t>
        </is>
      </c>
      <c r="B76" s="6" t="inlineStr">
        <is>
          <t>Custodian Benefits</t>
        </is>
      </c>
      <c r="C76" s="24" t="n">
        <v>84701</v>
      </c>
      <c r="D76" s="24" t="n">
        <v>99483</v>
      </c>
      <c r="E76" s="24" t="n">
        <v>54202</v>
      </c>
      <c r="F76" s="24" t="n">
        <v>91791</v>
      </c>
      <c r="G76" s="24" t="n">
        <v>83095</v>
      </c>
      <c r="H76" s="24">
        <f>G76-F76</f>
        <v/>
      </c>
      <c r="I76" s="8">
        <f>IF(F76=0,0,G76/F76-1)</f>
        <v/>
      </c>
    </row>
    <row r="77">
      <c r="A77" s="6" t="inlineStr">
        <is>
          <t>1000.0000.2600.54100.050</t>
        </is>
      </c>
      <c r="B77" s="6" t="inlineStr">
        <is>
          <t>Water/Sewage</t>
        </is>
      </c>
      <c r="C77" s="24" t="n">
        <v>10279</v>
      </c>
      <c r="D77" s="24" t="n">
        <v>11963</v>
      </c>
      <c r="E77" s="24" t="n">
        <v>9357</v>
      </c>
      <c r="F77" s="24" t="n">
        <v>13308</v>
      </c>
      <c r="G77" s="24" t="n">
        <v>14008</v>
      </c>
      <c r="H77" s="24">
        <f>G77-F77</f>
        <v/>
      </c>
      <c r="I77" s="8">
        <f>IF(F77=0,0,G77/F77-1)</f>
        <v/>
      </c>
    </row>
    <row r="78">
      <c r="A78" s="6" t="inlineStr">
        <is>
          <t>1000.0000.2600.54300.050</t>
        </is>
      </c>
      <c r="B78" s="6" t="inlineStr">
        <is>
          <t>Purchased Repair</t>
        </is>
      </c>
      <c r="C78" s="24" t="n">
        <v>47170</v>
      </c>
      <c r="D78" s="24" t="n">
        <v>52484</v>
      </c>
      <c r="E78" s="24" t="n">
        <v>51402</v>
      </c>
      <c r="F78" s="24" t="n">
        <v>52599</v>
      </c>
      <c r="G78" s="24" t="n">
        <v>53259</v>
      </c>
      <c r="H78" s="24">
        <f>G78-F78</f>
        <v/>
      </c>
      <c r="I78" s="8">
        <f>IF(F78=0,0,G78/F78-1)</f>
        <v/>
      </c>
    </row>
    <row r="79">
      <c r="A79" s="6" t="inlineStr">
        <is>
          <t>1000.0000.2600.55200.050</t>
        </is>
      </c>
      <c r="B79" s="6" t="inlineStr">
        <is>
          <t>Insurance</t>
        </is>
      </c>
      <c r="C79" s="24" t="n">
        <v>10328</v>
      </c>
      <c r="D79" s="24" t="n">
        <v>11125</v>
      </c>
      <c r="E79" s="24" t="n">
        <v>12172</v>
      </c>
      <c r="F79" s="24" t="n">
        <v>14606</v>
      </c>
      <c r="G79" s="24" t="n">
        <v>16359</v>
      </c>
      <c r="H79" s="24">
        <f>G79-F79</f>
        <v/>
      </c>
      <c r="I79" s="8">
        <f>IF(F79=0,0,G79/F79-1)</f>
        <v/>
      </c>
    </row>
    <row r="80">
      <c r="A80" s="6" t="inlineStr">
        <is>
          <t>1000.0000.2600.55320.050</t>
        </is>
      </c>
      <c r="B80" s="6" t="inlineStr">
        <is>
          <t>Telephone</t>
        </is>
      </c>
      <c r="C80" s="24" t="n">
        <v>6405</v>
      </c>
      <c r="D80" s="24" t="n">
        <v>4206</v>
      </c>
      <c r="E80" s="24" t="n">
        <v>4453</v>
      </c>
      <c r="F80" s="24" t="n">
        <v>4200</v>
      </c>
      <c r="G80" s="24" t="n">
        <v>5000</v>
      </c>
      <c r="H80" s="24">
        <f>G80-F80</f>
        <v/>
      </c>
      <c r="I80" s="8">
        <f>IF(F80=0,0,G80/F80-1)</f>
        <v/>
      </c>
    </row>
    <row r="81">
      <c r="A81" s="6" t="inlineStr">
        <is>
          <t>1000.0000.2600.56000.050</t>
        </is>
      </c>
      <c r="B81" s="6" t="inlineStr">
        <is>
          <t>Supplies</t>
        </is>
      </c>
      <c r="C81" s="24" t="n">
        <v>18085</v>
      </c>
      <c r="D81" s="24" t="n">
        <v>13231</v>
      </c>
      <c r="E81" s="24" t="n">
        <v>26527</v>
      </c>
      <c r="F81" s="24" t="n">
        <v>20300</v>
      </c>
      <c r="G81" s="24" t="n">
        <v>21800</v>
      </c>
      <c r="H81" s="24">
        <f>G81-F81</f>
        <v/>
      </c>
      <c r="I81" s="8">
        <f>IF(F81=0,0,G81/F81-1)</f>
        <v/>
      </c>
    </row>
    <row r="82">
      <c r="A82" s="6" t="inlineStr">
        <is>
          <t>1000.0000.2600.56011.050</t>
        </is>
      </c>
      <c r="B82" s="6" t="inlineStr">
        <is>
          <t>Materials for Repair</t>
        </is>
      </c>
      <c r="C82" s="24" t="n">
        <v>5293</v>
      </c>
      <c r="D82" s="24" t="n">
        <v>5531</v>
      </c>
      <c r="E82" s="24" t="n">
        <v>3454</v>
      </c>
      <c r="F82" s="24" t="n">
        <v>6000</v>
      </c>
      <c r="G82" s="24" t="n">
        <v>6000</v>
      </c>
      <c r="H82" s="24">
        <f>G82-F82</f>
        <v/>
      </c>
      <c r="I82" s="8">
        <f>IF(F82=0,0,G82/F82-1)</f>
        <v/>
      </c>
    </row>
    <row r="83">
      <c r="A83" s="6" t="inlineStr">
        <is>
          <t>1000.0000.2600.56013.050</t>
        </is>
      </c>
      <c r="B83" s="6" t="inlineStr">
        <is>
          <t>Major Maintenance</t>
        </is>
      </c>
      <c r="C83" s="24" t="n">
        <v>477</v>
      </c>
      <c r="D83" s="24" t="n">
        <v>19636</v>
      </c>
      <c r="E83" s="24" t="n">
        <v>7764</v>
      </c>
      <c r="F83" s="24" t="n">
        <v>10200</v>
      </c>
      <c r="G83" s="24" t="n">
        <v>10200</v>
      </c>
      <c r="H83" s="24">
        <f>G83-F83</f>
        <v/>
      </c>
      <c r="I83" s="8">
        <f>IF(F83=0,0,G83/F83-1)</f>
        <v/>
      </c>
    </row>
    <row r="84">
      <c r="A84" s="6" t="inlineStr">
        <is>
          <t>1000.0000.2600.56050.050</t>
        </is>
      </c>
      <c r="B84" s="6" t="inlineStr">
        <is>
          <t>Furniture &amp; Equipment - Non Instructional FMS</t>
        </is>
      </c>
      <c r="C84" s="24" t="n">
        <v>0</v>
      </c>
      <c r="D84" s="24" t="n">
        <v>0</v>
      </c>
      <c r="E84" s="24" t="n">
        <v>0</v>
      </c>
      <c r="F84" s="24" t="n">
        <v>0</v>
      </c>
      <c r="G84" s="24" t="n">
        <v>7200</v>
      </c>
      <c r="H84" s="24">
        <f>G84-F84</f>
        <v/>
      </c>
      <c r="I84" s="8">
        <f>IF(F84=0,0,G84/F84-1)</f>
        <v/>
      </c>
    </row>
    <row r="85">
      <c r="A85" s="6" t="inlineStr">
        <is>
          <t>1000.0000.2600.56220.050</t>
        </is>
      </c>
      <c r="B85" s="6" t="inlineStr">
        <is>
          <t>Electricity</t>
        </is>
      </c>
      <c r="C85" s="24" t="n">
        <v>30284</v>
      </c>
      <c r="D85" s="24" t="n">
        <v>33636</v>
      </c>
      <c r="E85" s="24" t="n">
        <v>30452</v>
      </c>
      <c r="F85" s="24" t="n">
        <v>33583</v>
      </c>
      <c r="G85" s="24" t="n">
        <v>33300</v>
      </c>
      <c r="H85" s="24">
        <f>G85-F85</f>
        <v/>
      </c>
      <c r="I85" s="8">
        <f>IF(F85=0,0,G85/F85-1)</f>
        <v/>
      </c>
    </row>
    <row r="86">
      <c r="A86" s="6" t="inlineStr">
        <is>
          <t>1000.0000.2600.56240.050</t>
        </is>
      </c>
      <c r="B86" s="6" t="inlineStr">
        <is>
          <t>Heating Fuel</t>
        </is>
      </c>
      <c r="C86" s="24" t="n">
        <v>48300</v>
      </c>
      <c r="D86" s="24" t="n">
        <v>29172</v>
      </c>
      <c r="E86" s="24" t="n">
        <v>40868</v>
      </c>
      <c r="F86" s="24" t="n">
        <v>48802</v>
      </c>
      <c r="G86" s="24" t="n">
        <v>50802</v>
      </c>
      <c r="H86" s="24">
        <f>G86-F86</f>
        <v/>
      </c>
      <c r="I86" s="8">
        <f>IF(F86=0,0,G86/F86-1)</f>
        <v/>
      </c>
    </row>
    <row r="87">
      <c r="A87" s="14" t="n"/>
      <c r="B87" s="28" t="inlineStr">
        <is>
          <t>Program 0000 Total</t>
        </is>
      </c>
      <c r="C87" s="29">
        <f>SUM(C75:C86)</f>
        <v/>
      </c>
      <c r="D87" s="29">
        <f>SUM(D75:D86)</f>
        <v/>
      </c>
      <c r="E87" s="29">
        <f>SUM(E75:E86)</f>
        <v/>
      </c>
      <c r="F87" s="29">
        <f>SUM(F75:F86)</f>
        <v/>
      </c>
      <c r="G87" s="29">
        <f>SUM(G75:G86)</f>
        <v/>
      </c>
      <c r="H87" s="29">
        <f>SUM(H75:H86)</f>
        <v/>
      </c>
      <c r="I87" s="29">
        <f>SUM(I75:I86)</f>
        <v/>
      </c>
    </row>
    <row r="88">
      <c r="A88" s="14" t="n"/>
      <c r="B88" s="17" t="inlineStr">
        <is>
          <t>Cost Center ('050',) Total</t>
        </is>
      </c>
      <c r="C88" s="32">
        <f>C87</f>
        <v/>
      </c>
      <c r="D88" s="32">
        <f>D87</f>
        <v/>
      </c>
      <c r="E88" s="32">
        <f>E87</f>
        <v/>
      </c>
      <c r="F88" s="32">
        <f>F87</f>
        <v/>
      </c>
      <c r="G88" s="32">
        <f>G87</f>
        <v/>
      </c>
      <c r="H88" s="32">
        <f>H87</f>
        <v/>
      </c>
      <c r="I88" s="32">
        <f>I87</f>
        <v/>
      </c>
    </row>
    <row r="90">
      <c r="A90" s="3" t="inlineStr">
        <is>
          <t>Cost Center: ('300',)</t>
        </is>
      </c>
    </row>
    <row r="91">
      <c r="A91" s="6" t="inlineStr">
        <is>
          <t>1000.0000.2600.51180.300</t>
        </is>
      </c>
      <c r="B91" s="6" t="inlineStr">
        <is>
          <t>Custodian Salaries</t>
        </is>
      </c>
      <c r="C91" s="24" t="n">
        <v>251936</v>
      </c>
      <c r="D91" s="24" t="n">
        <v>290709</v>
      </c>
      <c r="E91" s="24" t="n">
        <v>287887</v>
      </c>
      <c r="F91" s="24" t="n">
        <v>231813</v>
      </c>
      <c r="G91" s="24" t="n">
        <v>230214</v>
      </c>
      <c r="H91" s="24">
        <f>G91-F91</f>
        <v/>
      </c>
      <c r="I91" s="8">
        <f>IF(F91=0,0,G91/F91-1)</f>
        <v/>
      </c>
    </row>
    <row r="92">
      <c r="A92" s="6" t="inlineStr">
        <is>
          <t>1000.0000.2600.52080.300</t>
        </is>
      </c>
      <c r="B92" s="6" t="inlineStr">
        <is>
          <t>Custodian Benefits</t>
        </is>
      </c>
      <c r="C92" s="24" t="n">
        <v>97651</v>
      </c>
      <c r="D92" s="24" t="n">
        <v>114252</v>
      </c>
      <c r="E92" s="24" t="n">
        <v>80241</v>
      </c>
      <c r="F92" s="24" t="n">
        <v>97550</v>
      </c>
      <c r="G92" s="24" t="n">
        <v>123232</v>
      </c>
      <c r="H92" s="24">
        <f>G92-F92</f>
        <v/>
      </c>
      <c r="I92" s="8">
        <f>IF(F92=0,0,G92/F92-1)</f>
        <v/>
      </c>
    </row>
    <row r="93">
      <c r="A93" s="6" t="inlineStr">
        <is>
          <t>1000.0000.2600.53300.300</t>
        </is>
      </c>
      <c r="B93" s="6" t="inlineStr">
        <is>
          <t>Employee Training</t>
        </is>
      </c>
      <c r="C93" s="24" t="n">
        <v>0</v>
      </c>
      <c r="D93" s="24" t="n">
        <v>0</v>
      </c>
      <c r="E93" s="24" t="n">
        <v>0</v>
      </c>
      <c r="F93" s="24" t="n">
        <v>125</v>
      </c>
      <c r="G93" s="24" t="n">
        <v>125</v>
      </c>
      <c r="H93" s="24">
        <f>G93-F93</f>
        <v/>
      </c>
      <c r="I93" s="8">
        <f>IF(F93=0,0,G93/F93-1)</f>
        <v/>
      </c>
    </row>
    <row r="94">
      <c r="A94" s="6" t="inlineStr">
        <is>
          <t>1000.0000.2600.54100.300</t>
        </is>
      </c>
      <c r="B94" s="6" t="inlineStr">
        <is>
          <t>Water/Sewage</t>
        </is>
      </c>
      <c r="C94" s="24" t="n">
        <v>14245</v>
      </c>
      <c r="D94" s="24" t="n">
        <v>11650</v>
      </c>
      <c r="E94" s="24" t="n">
        <v>8700</v>
      </c>
      <c r="F94" s="24" t="n">
        <v>14250</v>
      </c>
      <c r="G94" s="24" t="n">
        <v>14550</v>
      </c>
      <c r="H94" s="24">
        <f>G94-F94</f>
        <v/>
      </c>
      <c r="I94" s="8">
        <f>IF(F94=0,0,G94/F94-1)</f>
        <v/>
      </c>
    </row>
    <row r="95">
      <c r="A95" s="6" t="inlineStr">
        <is>
          <t>1000.0000.2600.54300.300</t>
        </is>
      </c>
      <c r="B95" s="6" t="inlineStr">
        <is>
          <t>Purchased Repair</t>
        </is>
      </c>
      <c r="C95" s="24" t="n">
        <v>67080</v>
      </c>
      <c r="D95" s="24" t="n">
        <v>59613</v>
      </c>
      <c r="E95" s="24" t="n">
        <v>60325</v>
      </c>
      <c r="F95" s="24" t="n">
        <v>72982</v>
      </c>
      <c r="G95" s="24" t="n">
        <v>79770</v>
      </c>
      <c r="H95" s="24">
        <f>G95-F95</f>
        <v/>
      </c>
      <c r="I95" s="8">
        <f>IF(F95=0,0,G95/F95-1)</f>
        <v/>
      </c>
    </row>
    <row r="96">
      <c r="A96" s="6" t="inlineStr">
        <is>
          <t>1000.0000.2600.55200.300</t>
        </is>
      </c>
      <c r="B96" s="6" t="inlineStr">
        <is>
          <t>Insurance</t>
        </is>
      </c>
      <c r="C96" s="24" t="n">
        <v>12132</v>
      </c>
      <c r="D96" s="24" t="n">
        <v>13350</v>
      </c>
      <c r="E96" s="24" t="n">
        <v>14048</v>
      </c>
      <c r="F96" s="24" t="n">
        <v>16857</v>
      </c>
      <c r="G96" s="24" t="n">
        <v>18880</v>
      </c>
      <c r="H96" s="24">
        <f>G96-F96</f>
        <v/>
      </c>
      <c r="I96" s="8">
        <f>IF(F96=0,0,G96/F96-1)</f>
        <v/>
      </c>
    </row>
    <row r="97">
      <c r="A97" s="6" t="inlineStr">
        <is>
          <t>1000.0000.2600.55320.300</t>
        </is>
      </c>
      <c r="B97" s="6" t="inlineStr">
        <is>
          <t>Telephone</t>
        </is>
      </c>
      <c r="C97" s="24" t="n">
        <v>8314</v>
      </c>
      <c r="D97" s="24" t="n">
        <v>5095</v>
      </c>
      <c r="E97" s="24" t="n">
        <v>5232</v>
      </c>
      <c r="F97" s="24" t="n">
        <v>8300</v>
      </c>
      <c r="G97" s="24" t="n">
        <v>8300</v>
      </c>
      <c r="H97" s="24">
        <f>G97-F97</f>
        <v/>
      </c>
      <c r="I97" s="8">
        <f>IF(F97=0,0,G97/F97-1)</f>
        <v/>
      </c>
    </row>
    <row r="98">
      <c r="A98" s="6" t="inlineStr">
        <is>
          <t>1000.0000.2600.56000.300</t>
        </is>
      </c>
      <c r="B98" s="6" t="inlineStr">
        <is>
          <t>Supplies</t>
        </is>
      </c>
      <c r="C98" s="24" t="n">
        <v>42821</v>
      </c>
      <c r="D98" s="24" t="n">
        <v>33860</v>
      </c>
      <c r="E98" s="24" t="n">
        <v>24265</v>
      </c>
      <c r="F98" s="24" t="n">
        <v>36000</v>
      </c>
      <c r="G98" s="24" t="n">
        <v>40500</v>
      </c>
      <c r="H98" s="24">
        <f>G98-F98</f>
        <v/>
      </c>
      <c r="I98" s="8">
        <f>IF(F98=0,0,G98/F98-1)</f>
        <v/>
      </c>
    </row>
    <row r="99">
      <c r="A99" s="6" t="inlineStr">
        <is>
          <t>1000.0000.2600.56011.300</t>
        </is>
      </c>
      <c r="B99" s="6" t="inlineStr">
        <is>
          <t>Materials for Repair</t>
        </is>
      </c>
      <c r="C99" s="24" t="n">
        <v>6360</v>
      </c>
      <c r="D99" s="24" t="n">
        <v>5919</v>
      </c>
      <c r="E99" s="24" t="n">
        <v>6271</v>
      </c>
      <c r="F99" s="24" t="n">
        <v>7000</v>
      </c>
      <c r="G99" s="24" t="n">
        <v>7000</v>
      </c>
      <c r="H99" s="24">
        <f>G99-F99</f>
        <v/>
      </c>
      <c r="I99" s="8">
        <f>IF(F99=0,0,G99/F99-1)</f>
        <v/>
      </c>
    </row>
    <row r="100">
      <c r="A100" s="6" t="inlineStr">
        <is>
          <t>1000.0000.2600.56013.300</t>
        </is>
      </c>
      <c r="B100" s="6" t="inlineStr">
        <is>
          <t>Major Maintenance</t>
        </is>
      </c>
      <c r="C100" s="24" t="n">
        <v>45040</v>
      </c>
      <c r="D100" s="24" t="n">
        <v>1803</v>
      </c>
      <c r="E100" s="24" t="n">
        <v>2055</v>
      </c>
      <c r="F100" s="24" t="n">
        <v>11600</v>
      </c>
      <c r="G100" s="24" t="n">
        <v>11600</v>
      </c>
      <c r="H100" s="24">
        <f>G100-F100</f>
        <v/>
      </c>
      <c r="I100" s="8">
        <f>IF(F100=0,0,G100/F100-1)</f>
        <v/>
      </c>
    </row>
    <row r="101">
      <c r="A101" s="6" t="inlineStr">
        <is>
          <t>1000.0000.2600.56220.300</t>
        </is>
      </c>
      <c r="B101" s="6" t="inlineStr">
        <is>
          <t>Electricity</t>
        </is>
      </c>
      <c r="C101" s="24" t="n">
        <v>53560</v>
      </c>
      <c r="D101" s="24" t="n">
        <v>58541</v>
      </c>
      <c r="E101" s="24" t="n">
        <v>51988</v>
      </c>
      <c r="F101" s="24" t="n">
        <v>66973</v>
      </c>
      <c r="G101" s="24" t="n">
        <v>60642</v>
      </c>
      <c r="H101" s="24">
        <f>G101-F101</f>
        <v/>
      </c>
      <c r="I101" s="8">
        <f>IF(F101=0,0,G101/F101-1)</f>
        <v/>
      </c>
    </row>
    <row r="102">
      <c r="A102" s="6" t="inlineStr">
        <is>
          <t>1000.0000.2600.56240.300</t>
        </is>
      </c>
      <c r="B102" s="6" t="inlineStr">
        <is>
          <t>Heating Fuel</t>
        </is>
      </c>
      <c r="C102" s="24" t="n">
        <v>89751</v>
      </c>
      <c r="D102" s="24" t="n">
        <v>55845</v>
      </c>
      <c r="E102" s="24" t="n">
        <v>68213</v>
      </c>
      <c r="F102" s="24" t="n">
        <v>90000</v>
      </c>
      <c r="G102" s="24" t="n">
        <v>92000</v>
      </c>
      <c r="H102" s="24">
        <f>G102-F102</f>
        <v/>
      </c>
      <c r="I102" s="8">
        <f>IF(F102=0,0,G102/F102-1)</f>
        <v/>
      </c>
    </row>
    <row r="103">
      <c r="A103" s="14" t="n"/>
      <c r="B103" s="28" t="inlineStr">
        <is>
          <t>Program 0000 Total</t>
        </is>
      </c>
      <c r="C103" s="29">
        <f>SUM(C91:C102)</f>
        <v/>
      </c>
      <c r="D103" s="29">
        <f>SUM(D91:D102)</f>
        <v/>
      </c>
      <c r="E103" s="29">
        <f>SUM(E91:E102)</f>
        <v/>
      </c>
      <c r="F103" s="29">
        <f>SUM(F91:F102)</f>
        <v/>
      </c>
      <c r="G103" s="29">
        <f>SUM(G91:G102)</f>
        <v/>
      </c>
      <c r="H103" s="29">
        <f>SUM(H91:H102)</f>
        <v/>
      </c>
      <c r="I103" s="29">
        <f>SUM(I91:I102)</f>
        <v/>
      </c>
    </row>
    <row r="104">
      <c r="A104" s="6" t="inlineStr">
        <is>
          <t>1000.0000.2680.58310.300</t>
        </is>
      </c>
      <c r="B104" s="6" t="inlineStr">
        <is>
          <t>Principal-High School Renovation</t>
        </is>
      </c>
      <c r="C104" s="24" t="n">
        <v>904960</v>
      </c>
      <c r="D104" s="24" t="n">
        <v>905000</v>
      </c>
      <c r="E104" s="24" t="n">
        <v>905000</v>
      </c>
      <c r="F104" s="24" t="n">
        <v>905000</v>
      </c>
      <c r="G104" s="24" t="n">
        <v>900000</v>
      </c>
      <c r="H104" s="24">
        <f>G104-F104</f>
        <v/>
      </c>
      <c r="I104" s="8">
        <f>IF(F104=0,0,G104/F104-1)</f>
        <v/>
      </c>
    </row>
    <row r="105">
      <c r="A105" s="6" t="inlineStr">
        <is>
          <t>1000.0000.2680.58320.300</t>
        </is>
      </c>
      <c r="B105" s="6" t="inlineStr">
        <is>
          <t>Interest-High School Renovation</t>
        </is>
      </c>
      <c r="C105" s="24" t="n">
        <v>507265</v>
      </c>
      <c r="D105" s="24" t="n">
        <v>461975</v>
      </c>
      <c r="E105" s="24" t="n">
        <v>416745</v>
      </c>
      <c r="F105" s="24" t="n">
        <v>371475</v>
      </c>
      <c r="G105" s="24" t="n">
        <v>327425</v>
      </c>
      <c r="H105" s="24">
        <f>G105-F105</f>
        <v/>
      </c>
      <c r="I105" s="8">
        <f>IF(F105=0,0,G105/F105-1)</f>
        <v/>
      </c>
    </row>
    <row r="106">
      <c r="A106" s="14" t="n"/>
      <c r="B106" s="28" t="inlineStr">
        <is>
          <t>Program 0000 Total</t>
        </is>
      </c>
      <c r="C106" s="29">
        <f>SUM(C104:C105)</f>
        <v/>
      </c>
      <c r="D106" s="29">
        <f>SUM(D104:D105)</f>
        <v/>
      </c>
      <c r="E106" s="29">
        <f>SUM(E104:E105)</f>
        <v/>
      </c>
      <c r="F106" s="29">
        <f>SUM(F104:F105)</f>
        <v/>
      </c>
      <c r="G106" s="29">
        <f>SUM(G104:G105)</f>
        <v/>
      </c>
      <c r="H106" s="29">
        <f>SUM(H104:H105)</f>
        <v/>
      </c>
      <c r="I106" s="29">
        <f>SUM(I104:I105)</f>
        <v/>
      </c>
    </row>
    <row r="107">
      <c r="A107" s="14" t="n"/>
      <c r="B107" s="17" t="inlineStr">
        <is>
          <t>Cost Center ('300',) Total</t>
        </is>
      </c>
      <c r="C107" s="32">
        <f>C103+C106</f>
        <v/>
      </c>
      <c r="D107" s="32">
        <f>D103+D106</f>
        <v/>
      </c>
      <c r="E107" s="32">
        <f>E103+E106</f>
        <v/>
      </c>
      <c r="F107" s="32">
        <f>F103+F106</f>
        <v/>
      </c>
      <c r="G107" s="32">
        <f>G103+G106</f>
        <v/>
      </c>
      <c r="H107" s="32">
        <f>H103+H106</f>
        <v/>
      </c>
      <c r="I107" s="32">
        <f>I103+I106</f>
        <v/>
      </c>
    </row>
    <row r="109">
      <c r="A109" s="3" t="inlineStr">
        <is>
          <t>Cost Center: ('900',)</t>
        </is>
      </c>
    </row>
    <row r="110">
      <c r="A110" s="6" t="inlineStr">
        <is>
          <t>1000.0000.2600.54300.900</t>
        </is>
      </c>
      <c r="B110" s="6" t="inlineStr">
        <is>
          <t>Purchaed Repairs</t>
        </is>
      </c>
      <c r="C110" s="24" t="n">
        <v>1087</v>
      </c>
      <c r="D110" s="24" t="n">
        <v>1055</v>
      </c>
      <c r="E110" s="24" t="n">
        <v>442</v>
      </c>
      <c r="F110" s="24" t="n">
        <v>0</v>
      </c>
      <c r="G110" s="24" t="n">
        <v>0</v>
      </c>
      <c r="H110" s="24">
        <f>G110-F110</f>
        <v/>
      </c>
      <c r="I110" s="8">
        <f>IF(F110=0,0,G110/F110-1)</f>
        <v/>
      </c>
    </row>
    <row r="111">
      <c r="A111" s="6" t="inlineStr">
        <is>
          <t>1000.0000.2600.55000.900</t>
        </is>
      </c>
      <c r="B111" s="6" t="inlineStr">
        <is>
          <t>Other Purchased Services</t>
        </is>
      </c>
      <c r="C111" s="24" t="n">
        <v>0</v>
      </c>
      <c r="D111" s="24" t="n">
        <v>5000</v>
      </c>
      <c r="E111" s="24" t="n">
        <v>0</v>
      </c>
      <c r="F111" s="24" t="n">
        <v>0</v>
      </c>
      <c r="G111" s="24" t="n">
        <v>0</v>
      </c>
      <c r="H111" s="24">
        <f>G111-F111</f>
        <v/>
      </c>
      <c r="I111" s="8">
        <f>IF(F111=0,0,G111/F111-1)</f>
        <v/>
      </c>
    </row>
    <row r="112">
      <c r="A112" s="6" t="inlineStr">
        <is>
          <t>1000.0000.2600.56000.900</t>
        </is>
      </c>
      <c r="B112" s="6" t="inlineStr">
        <is>
          <t>Supplies</t>
        </is>
      </c>
      <c r="C112" s="24" t="n">
        <v>67</v>
      </c>
      <c r="D112" s="24" t="n">
        <v>1849</v>
      </c>
      <c r="E112" s="24" t="n">
        <v>0</v>
      </c>
      <c r="F112" s="24" t="n">
        <v>0</v>
      </c>
      <c r="G112" s="24" t="n">
        <v>0</v>
      </c>
      <c r="H112" s="24">
        <f>G112-F112</f>
        <v/>
      </c>
      <c r="I112" s="8">
        <f>IF(F112=0,0,G112/F112-1)</f>
        <v/>
      </c>
    </row>
    <row r="113">
      <c r="A113" s="6" t="inlineStr">
        <is>
          <t>1000.0000.2600.56011.900</t>
        </is>
      </c>
      <c r="B113" s="6" t="inlineStr">
        <is>
          <t>Materials for Repair</t>
        </is>
      </c>
      <c r="C113" s="24" t="n">
        <v>0</v>
      </c>
      <c r="D113" s="24" t="n">
        <v>400</v>
      </c>
      <c r="E113" s="24" t="n">
        <v>25</v>
      </c>
      <c r="F113" s="24" t="n">
        <v>0</v>
      </c>
      <c r="G113" s="24" t="n">
        <v>0</v>
      </c>
      <c r="H113" s="24">
        <f>G113-F113</f>
        <v/>
      </c>
      <c r="I113" s="8">
        <f>IF(F113=0,0,G113/F113-1)</f>
        <v/>
      </c>
    </row>
    <row r="114">
      <c r="A114" s="14" t="n"/>
      <c r="B114" s="28" t="inlineStr">
        <is>
          <t>Program 0000 Total</t>
        </is>
      </c>
      <c r="C114" s="29">
        <f>SUM(C110:C113)</f>
        <v/>
      </c>
      <c r="D114" s="29">
        <f>SUM(D110:D113)</f>
        <v/>
      </c>
      <c r="E114" s="29">
        <f>SUM(E110:E113)</f>
        <v/>
      </c>
      <c r="F114" s="29">
        <f>SUM(F110:F113)</f>
        <v/>
      </c>
      <c r="G114" s="29">
        <f>SUM(G110:G113)</f>
        <v/>
      </c>
      <c r="H114" s="29">
        <f>SUM(H110:H113)</f>
        <v/>
      </c>
      <c r="I114" s="29">
        <f>SUM(I110:I113)</f>
        <v/>
      </c>
    </row>
    <row r="115">
      <c r="A115" s="6" t="inlineStr">
        <is>
          <t>1000.0000.2620.51180.900</t>
        </is>
      </c>
      <c r="B115" s="6" t="inlineStr">
        <is>
          <t>Salaries</t>
        </is>
      </c>
      <c r="C115" s="24" t="n">
        <v>248679</v>
      </c>
      <c r="D115" s="24" t="n">
        <v>301356</v>
      </c>
      <c r="E115" s="24" t="n">
        <v>347667</v>
      </c>
      <c r="F115" s="24" t="n">
        <v>341702</v>
      </c>
      <c r="G115" s="24" t="n">
        <v>317304</v>
      </c>
      <c r="H115" s="24">
        <f>G115-F115</f>
        <v/>
      </c>
      <c r="I115" s="8">
        <f>IF(F115=0,0,G115/F115-1)</f>
        <v/>
      </c>
    </row>
    <row r="116">
      <c r="A116" s="6" t="inlineStr">
        <is>
          <t>1000.0000.2620.52080.900</t>
        </is>
      </c>
      <c r="B116" s="6" t="inlineStr">
        <is>
          <t>Benefits</t>
        </is>
      </c>
      <c r="C116" s="24" t="n">
        <v>100558</v>
      </c>
      <c r="D116" s="24" t="n">
        <v>131510</v>
      </c>
      <c r="E116" s="24" t="n">
        <v>109230</v>
      </c>
      <c r="F116" s="24" t="n">
        <v>140850</v>
      </c>
      <c r="G116" s="24" t="n">
        <v>120339</v>
      </c>
      <c r="H116" s="24">
        <f>G116-F116</f>
        <v/>
      </c>
      <c r="I116" s="8">
        <f>IF(F116=0,0,G116/F116-1)</f>
        <v/>
      </c>
    </row>
    <row r="117">
      <c r="A117" s="6" t="inlineStr">
        <is>
          <t>1000.0000.2620.53000.900</t>
        </is>
      </c>
      <c r="B117" s="6" t="inlineStr">
        <is>
          <t>Purchased Professional</t>
        </is>
      </c>
      <c r="C117" s="24" t="n">
        <v>37774</v>
      </c>
      <c r="D117" s="24" t="n">
        <v>15659</v>
      </c>
      <c r="E117" s="24" t="n">
        <v>4214</v>
      </c>
      <c r="F117" s="24" t="n">
        <v>5140</v>
      </c>
      <c r="G117" s="24" t="n">
        <v>5140</v>
      </c>
      <c r="H117" s="24">
        <f>G117-F117</f>
        <v/>
      </c>
      <c r="I117" s="8">
        <f>IF(F117=0,0,G117/F117-1)</f>
        <v/>
      </c>
    </row>
    <row r="118">
      <c r="A118" s="6" t="inlineStr">
        <is>
          <t>1000.0000.2620.54300.900</t>
        </is>
      </c>
      <c r="B118" s="6" t="inlineStr">
        <is>
          <t>Purchased Repair</t>
        </is>
      </c>
      <c r="C118" s="24" t="n">
        <v>5128</v>
      </c>
      <c r="D118" s="24" t="n">
        <v>35400</v>
      </c>
      <c r="E118" s="24" t="n">
        <v>45999</v>
      </c>
      <c r="F118" s="24" t="n">
        <v>47550</v>
      </c>
      <c r="G118" s="24" t="n">
        <v>37950</v>
      </c>
      <c r="H118" s="24">
        <f>G118-F118</f>
        <v/>
      </c>
      <c r="I118" s="8">
        <f>IF(F118=0,0,G118/F118-1)</f>
        <v/>
      </c>
    </row>
    <row r="119">
      <c r="A119" s="6" t="inlineStr">
        <is>
          <t>1000.0000.2620.55800.900</t>
        </is>
      </c>
      <c r="B119" s="6" t="inlineStr">
        <is>
          <t>Travel</t>
        </is>
      </c>
      <c r="C119" s="24" t="n">
        <v>5738</v>
      </c>
      <c r="D119" s="24" t="n">
        <v>4850</v>
      </c>
      <c r="E119" s="24" t="n">
        <v>2593</v>
      </c>
      <c r="F119" s="24" t="n">
        <v>8050</v>
      </c>
      <c r="G119" s="24" t="n">
        <v>8050</v>
      </c>
      <c r="H119" s="24">
        <f>G119-F119</f>
        <v/>
      </c>
      <c r="I119" s="8">
        <f>IF(F119=0,0,G119/F119-1)</f>
        <v/>
      </c>
    </row>
    <row r="120">
      <c r="A120" s="6" t="inlineStr">
        <is>
          <t>1000.0000.2620.56000.900</t>
        </is>
      </c>
      <c r="B120" s="6" t="inlineStr">
        <is>
          <t>Supplies</t>
        </is>
      </c>
      <c r="C120" s="24" t="n">
        <v>52489</v>
      </c>
      <c r="D120" s="24" t="n">
        <v>45066</v>
      </c>
      <c r="E120" s="24" t="n">
        <v>43156</v>
      </c>
      <c r="F120" s="24" t="n">
        <v>45881</v>
      </c>
      <c r="G120" s="24" t="n">
        <v>55981</v>
      </c>
      <c r="H120" s="24">
        <f>G120-F120</f>
        <v/>
      </c>
      <c r="I120" s="8">
        <f>IF(F120=0,0,G120/F120-1)</f>
        <v/>
      </c>
    </row>
    <row r="121">
      <c r="A121" s="6" t="inlineStr">
        <is>
          <t>1000.0000.2620.57300.900</t>
        </is>
      </c>
      <c r="B121" s="6" t="inlineStr">
        <is>
          <t>Equipment</t>
        </is>
      </c>
      <c r="C121" s="24" t="n">
        <v>6290</v>
      </c>
      <c r="D121" s="24" t="n">
        <v>1558</v>
      </c>
      <c r="E121" s="24" t="n">
        <v>880</v>
      </c>
      <c r="F121" s="24" t="n">
        <v>37000</v>
      </c>
      <c r="G121" s="24" t="n">
        <v>37000</v>
      </c>
      <c r="H121" s="24">
        <f>G121-F121</f>
        <v/>
      </c>
      <c r="I121" s="8">
        <f>IF(F121=0,0,G121/F121-1)</f>
        <v/>
      </c>
    </row>
    <row r="122">
      <c r="A122" s="14" t="n"/>
      <c r="B122" s="28" t="inlineStr">
        <is>
          <t>Program 0000 Total</t>
        </is>
      </c>
      <c r="C122" s="29">
        <f>SUM(C115:C121)</f>
        <v/>
      </c>
      <c r="D122" s="29">
        <f>SUM(D115:D121)</f>
        <v/>
      </c>
      <c r="E122" s="29">
        <f>SUM(E115:E121)</f>
        <v/>
      </c>
      <c r="F122" s="29">
        <f>SUM(F115:F121)</f>
        <v/>
      </c>
      <c r="G122" s="29">
        <f>SUM(G115:G121)</f>
        <v/>
      </c>
      <c r="H122" s="29">
        <f>SUM(H115:H121)</f>
        <v/>
      </c>
      <c r="I122" s="29">
        <f>SUM(I115:I121)</f>
        <v/>
      </c>
    </row>
    <row r="123">
      <c r="A123" s="6" t="inlineStr">
        <is>
          <t>1000.0000.2670.55900.900</t>
        </is>
      </c>
      <c r="B123" s="6" t="inlineStr">
        <is>
          <t>Crossing Guards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1400</v>
      </c>
      <c r="H123" s="24">
        <f>G123-F123</f>
        <v/>
      </c>
      <c r="I123" s="8">
        <f>IF(F123=0,0,G123/F123-1)</f>
        <v/>
      </c>
    </row>
    <row r="124">
      <c r="A124" s="6" t="inlineStr">
        <is>
          <t>1000.0000.2680.58310.900</t>
        </is>
      </c>
      <c r="B124" s="6" t="inlineStr">
        <is>
          <t>Prinicpal-Central Office Purchase</t>
        </is>
      </c>
      <c r="C124" s="24" t="n">
        <v>12500</v>
      </c>
      <c r="D124" s="24" t="n">
        <v>12500</v>
      </c>
      <c r="E124" s="24" t="n">
        <v>11250</v>
      </c>
      <c r="F124" s="24" t="n">
        <v>11250</v>
      </c>
      <c r="G124" s="24" t="n">
        <v>0</v>
      </c>
      <c r="H124" s="24">
        <f>G124-F124</f>
        <v/>
      </c>
      <c r="I124" s="8">
        <f>IF(F124=0,0,G124/F124-1)</f>
        <v/>
      </c>
    </row>
    <row r="125">
      <c r="A125" s="6" t="inlineStr">
        <is>
          <t>1000.0000.2680.58320.900</t>
        </is>
      </c>
      <c r="B125" s="6" t="inlineStr">
        <is>
          <t>Interest-Central Office Purchase</t>
        </is>
      </c>
      <c r="C125" s="24" t="n">
        <v>2063</v>
      </c>
      <c r="D125" s="24" t="n">
        <v>1438</v>
      </c>
      <c r="E125" s="24" t="n">
        <v>844</v>
      </c>
      <c r="F125" s="24" t="n">
        <v>281</v>
      </c>
      <c r="G125" s="24" t="n">
        <v>0</v>
      </c>
      <c r="H125" s="24">
        <f>G125-F125</f>
        <v/>
      </c>
      <c r="I125" s="8">
        <f>IF(F125=0,0,G125/F125-1)</f>
        <v/>
      </c>
    </row>
    <row r="126">
      <c r="A126" s="14" t="n"/>
      <c r="B126" s="28" t="inlineStr">
        <is>
          <t>Program 0000 Total</t>
        </is>
      </c>
      <c r="C126" s="29">
        <f>SUM(C124:C125)</f>
        <v/>
      </c>
      <c r="D126" s="29">
        <f>SUM(D124:D125)</f>
        <v/>
      </c>
      <c r="E126" s="29">
        <f>SUM(E124:E125)</f>
        <v/>
      </c>
      <c r="F126" s="29">
        <f>SUM(F124:F125)</f>
        <v/>
      </c>
      <c r="G126" s="29">
        <f>SUM(G124:G125)</f>
        <v/>
      </c>
      <c r="H126" s="29">
        <f>SUM(H124:H125)</f>
        <v/>
      </c>
      <c r="I126" s="29">
        <f>SUM(I124:I125)</f>
        <v/>
      </c>
    </row>
    <row r="127">
      <c r="A127" s="6" t="inlineStr">
        <is>
          <t>1000.0000.2690.54300.900</t>
        </is>
      </c>
      <c r="B127" s="6" t="inlineStr">
        <is>
          <t>Capital Renewal/Track Replacement</t>
        </is>
      </c>
      <c r="C127" s="24" t="n">
        <v>0</v>
      </c>
      <c r="D127" s="24" t="n">
        <v>70000</v>
      </c>
      <c r="E127" s="24" t="n">
        <v>35000</v>
      </c>
      <c r="F127" s="24" t="n">
        <v>35000</v>
      </c>
      <c r="G127" s="24" t="n">
        <v>35000</v>
      </c>
      <c r="H127" s="24">
        <f>G127-F127</f>
        <v/>
      </c>
      <c r="I127" s="8">
        <f>IF(F127=0,0,G127/F127-1)</f>
        <v/>
      </c>
    </row>
    <row r="128">
      <c r="A128" s="6" t="inlineStr">
        <is>
          <t>1000.0000.2690.54500.900</t>
        </is>
      </c>
      <c r="B128" s="6" t="inlineStr">
        <is>
          <t>Capital Renewal/Tennis Courts Replacement</t>
        </is>
      </c>
      <c r="C128" s="24" t="n">
        <v>0</v>
      </c>
      <c r="D128" s="24" t="n">
        <v>0</v>
      </c>
      <c r="E128" s="24" t="n">
        <v>0</v>
      </c>
      <c r="F128" s="24" t="n">
        <v>30000</v>
      </c>
      <c r="G128" s="24" t="n">
        <v>40000</v>
      </c>
      <c r="H128" s="24">
        <f>G128-F128</f>
        <v/>
      </c>
      <c r="I128" s="8">
        <f>IF(F128=0,0,G128/F128-1)</f>
        <v/>
      </c>
    </row>
    <row r="129">
      <c r="A129" s="6" t="inlineStr">
        <is>
          <t>1000.0000.2690.58310.900</t>
        </is>
      </c>
      <c r="B129" s="6" t="inlineStr">
        <is>
          <t>Capital Improvements</t>
        </is>
      </c>
      <c r="C129" s="24" t="n">
        <v>439453</v>
      </c>
      <c r="D129" s="24" t="n">
        <v>350315</v>
      </c>
      <c r="E129" s="24" t="n">
        <v>399802</v>
      </c>
      <c r="F129" s="24" t="n">
        <v>467000</v>
      </c>
      <c r="G129" s="24" t="n">
        <v>400000</v>
      </c>
      <c r="H129" s="24">
        <f>G129-F129</f>
        <v/>
      </c>
      <c r="I129" s="8">
        <f>IF(F129=0,0,G129/F129-1)</f>
        <v/>
      </c>
    </row>
    <row r="130">
      <c r="A130" s="14" t="n"/>
      <c r="B130" s="28" t="inlineStr">
        <is>
          <t>Program 0000 Total</t>
        </is>
      </c>
      <c r="C130" s="29">
        <f>SUM(C127:C129)</f>
        <v/>
      </c>
      <c r="D130" s="29">
        <f>SUM(D127:D129)</f>
        <v/>
      </c>
      <c r="E130" s="29">
        <f>SUM(E127:E129)</f>
        <v/>
      </c>
      <c r="F130" s="29">
        <f>SUM(F127:F129)</f>
        <v/>
      </c>
      <c r="G130" s="29">
        <f>SUM(G127:G129)</f>
        <v/>
      </c>
      <c r="H130" s="29">
        <f>SUM(H127:H129)</f>
        <v/>
      </c>
      <c r="I130" s="29">
        <f>SUM(I127:I129)</f>
        <v/>
      </c>
    </row>
    <row r="131">
      <c r="A131" s="14" t="n"/>
      <c r="B131" s="17" t="inlineStr">
        <is>
          <t>Cost Center ('900',) Total</t>
        </is>
      </c>
      <c r="C131" s="32">
        <f>C114+C122+C126+C130</f>
        <v/>
      </c>
      <c r="D131" s="32">
        <f>D114+D122+D126+D130</f>
        <v/>
      </c>
      <c r="E131" s="32">
        <f>E114+E122+E126+E130</f>
        <v/>
      </c>
      <c r="F131" s="32">
        <f>F114+F122+F126+F130</f>
        <v/>
      </c>
      <c r="G131" s="32">
        <f>G114+G122+G126+G130</f>
        <v/>
      </c>
      <c r="H131" s="32">
        <f>H114+H122+H126+H130</f>
        <v/>
      </c>
      <c r="I131" s="32">
        <f>I114+I122+I126+I130</f>
        <v/>
      </c>
    </row>
    <row r="133">
      <c r="A133" s="3" t="inlineStr">
        <is>
          <t>Cost Center: ('941',)</t>
        </is>
      </c>
    </row>
    <row r="134">
      <c r="A134" s="6" t="inlineStr">
        <is>
          <t>1000.0000.2600.54100.941</t>
        </is>
      </c>
      <c r="B134" s="6" t="inlineStr">
        <is>
          <t>Water/Sewage</t>
        </is>
      </c>
      <c r="C134" s="24" t="n">
        <v>1061</v>
      </c>
      <c r="D134" s="24" t="n">
        <v>1083</v>
      </c>
      <c r="E134" s="24" t="n">
        <v>1071</v>
      </c>
      <c r="F134" s="24" t="n">
        <v>1804</v>
      </c>
      <c r="G134" s="24" t="n">
        <v>2004</v>
      </c>
      <c r="H134" s="24">
        <f>G134-F134</f>
        <v/>
      </c>
      <c r="I134" s="8">
        <f>IF(F134=0,0,G134/F134-1)</f>
        <v/>
      </c>
    </row>
    <row r="135">
      <c r="A135" s="6" t="inlineStr">
        <is>
          <t>1000.0000.2600.54300.941</t>
        </is>
      </c>
      <c r="B135" s="6" t="inlineStr">
        <is>
          <t>Purchaed Repairs</t>
        </is>
      </c>
      <c r="C135" s="24" t="n">
        <v>0</v>
      </c>
      <c r="D135" s="24" t="n">
        <v>0</v>
      </c>
      <c r="E135" s="24" t="n">
        <v>1604</v>
      </c>
      <c r="F135" s="24" t="n">
        <v>1500</v>
      </c>
      <c r="G135" s="24" t="n">
        <v>1500</v>
      </c>
      <c r="H135" s="24">
        <f>G135-F135</f>
        <v/>
      </c>
      <c r="I135" s="8">
        <f>IF(F135=0,0,G135/F135-1)</f>
        <v/>
      </c>
    </row>
    <row r="136">
      <c r="A136" s="6" t="inlineStr">
        <is>
          <t>1000.0000.2600.55320.941</t>
        </is>
      </c>
      <c r="B136" s="6" t="inlineStr">
        <is>
          <t>Telephone</t>
        </is>
      </c>
      <c r="C136" s="24" t="n">
        <v>6573</v>
      </c>
      <c r="D136" s="24" t="n">
        <v>5723</v>
      </c>
      <c r="E136" s="24" t="n">
        <v>4601</v>
      </c>
      <c r="F136" s="24" t="n">
        <v>6800</v>
      </c>
      <c r="G136" s="24" t="n">
        <v>6800</v>
      </c>
      <c r="H136" s="24">
        <f>G136-F136</f>
        <v/>
      </c>
      <c r="I136" s="8">
        <f>IF(F136=0,0,G136/F136-1)</f>
        <v/>
      </c>
    </row>
    <row r="137">
      <c r="A137" s="6" t="inlineStr">
        <is>
          <t>1000.0000.2600.56000.941</t>
        </is>
      </c>
      <c r="B137" s="6" t="inlineStr">
        <is>
          <t>Supplies</t>
        </is>
      </c>
      <c r="C137" s="24" t="n">
        <v>548</v>
      </c>
      <c r="D137" s="24" t="n">
        <v>0</v>
      </c>
      <c r="E137" s="24" t="n">
        <v>157</v>
      </c>
      <c r="F137" s="24" t="n">
        <v>1500</v>
      </c>
      <c r="G137" s="24" t="n">
        <v>1500</v>
      </c>
      <c r="H137" s="24">
        <f>G137-F137</f>
        <v/>
      </c>
      <c r="I137" s="8">
        <f>IF(F137=0,0,G137/F137-1)</f>
        <v/>
      </c>
    </row>
    <row r="138">
      <c r="A138" s="6" t="inlineStr">
        <is>
          <t>1000.0000.2600.56011.941</t>
        </is>
      </c>
      <c r="B138" s="6" t="inlineStr">
        <is>
          <t>Materials for Repair</t>
        </is>
      </c>
      <c r="C138" s="24" t="n">
        <v>73</v>
      </c>
      <c r="D138" s="24" t="n">
        <v>7254</v>
      </c>
      <c r="E138" s="24" t="n">
        <v>642</v>
      </c>
      <c r="F138" s="24" t="n">
        <v>3000</v>
      </c>
      <c r="G138" s="24" t="n">
        <v>3000</v>
      </c>
      <c r="H138" s="24">
        <f>G138-F138</f>
        <v/>
      </c>
      <c r="I138" s="8">
        <f>IF(F138=0,0,G138/F138-1)</f>
        <v/>
      </c>
    </row>
    <row r="139">
      <c r="A139" s="6" t="inlineStr">
        <is>
          <t>1000.0000.2600.56013.941</t>
        </is>
      </c>
      <c r="B139" s="6" t="inlineStr">
        <is>
          <t>Major Maintenance</t>
        </is>
      </c>
      <c r="C139" s="24" t="n">
        <v>0</v>
      </c>
      <c r="D139" s="24" t="n">
        <v>0</v>
      </c>
      <c r="E139" s="24" t="n">
        <v>8561</v>
      </c>
      <c r="F139" s="24" t="n">
        <v>5000</v>
      </c>
      <c r="G139" s="24" t="n">
        <v>5000</v>
      </c>
      <c r="H139" s="24">
        <f>G139-F139</f>
        <v/>
      </c>
      <c r="I139" s="8">
        <f>IF(F139=0,0,G139/F139-1)</f>
        <v/>
      </c>
    </row>
    <row r="140">
      <c r="A140" s="6" t="inlineStr">
        <is>
          <t>1000.0000.2600.56220.941</t>
        </is>
      </c>
      <c r="B140" s="6" t="inlineStr">
        <is>
          <t>Electricity</t>
        </is>
      </c>
      <c r="C140" s="24" t="n">
        <v>2895</v>
      </c>
      <c r="D140" s="24" t="n">
        <v>2653</v>
      </c>
      <c r="E140" s="24" t="n">
        <v>2775</v>
      </c>
      <c r="F140" s="24" t="n">
        <v>3000</v>
      </c>
      <c r="G140" s="24" t="n">
        <v>3000</v>
      </c>
      <c r="H140" s="24">
        <f>G140-F140</f>
        <v/>
      </c>
      <c r="I140" s="8">
        <f>IF(F140=0,0,G140/F140-1)</f>
        <v/>
      </c>
    </row>
    <row r="141">
      <c r="A141" s="6" t="inlineStr">
        <is>
          <t>1000.0000.2600.56240.941</t>
        </is>
      </c>
      <c r="B141" s="6" t="inlineStr">
        <is>
          <t>Heating Fuel</t>
        </is>
      </c>
      <c r="C141" s="24" t="n">
        <v>4431</v>
      </c>
      <c r="D141" s="24" t="n">
        <v>3065</v>
      </c>
      <c r="E141" s="24" t="n">
        <v>3217</v>
      </c>
      <c r="F141" s="24" t="n">
        <v>5000</v>
      </c>
      <c r="G141" s="24" t="n">
        <v>5000</v>
      </c>
      <c r="H141" s="24">
        <f>G141-F141</f>
        <v/>
      </c>
      <c r="I141" s="8">
        <f>IF(F141=0,0,G141/F141-1)</f>
        <v/>
      </c>
    </row>
    <row r="142">
      <c r="A142" s="14" t="n"/>
      <c r="B142" s="28" t="inlineStr">
        <is>
          <t>Program 0000 Total</t>
        </is>
      </c>
      <c r="C142" s="29">
        <f>SUM(C134:C141)</f>
        <v/>
      </c>
      <c r="D142" s="29">
        <f>SUM(D134:D141)</f>
        <v/>
      </c>
      <c r="E142" s="29">
        <f>SUM(E134:E141)</f>
        <v/>
      </c>
      <c r="F142" s="29">
        <f>SUM(F134:F141)</f>
        <v/>
      </c>
      <c r="G142" s="29">
        <f>SUM(G134:G141)</f>
        <v/>
      </c>
      <c r="H142" s="29">
        <f>SUM(H134:H141)</f>
        <v/>
      </c>
      <c r="I142" s="29">
        <f>SUM(I134:I141)</f>
        <v/>
      </c>
    </row>
    <row r="143">
      <c r="A143" s="14" t="n"/>
      <c r="B143" s="17" t="inlineStr">
        <is>
          <t>Cost Center ('941',) Total</t>
        </is>
      </c>
      <c r="C143" s="32">
        <f>C142</f>
        <v/>
      </c>
      <c r="D143" s="32">
        <f>D142</f>
        <v/>
      </c>
      <c r="E143" s="32">
        <f>E142</f>
        <v/>
      </c>
      <c r="F143" s="32">
        <f>F142</f>
        <v/>
      </c>
      <c r="G143" s="32">
        <f>G142</f>
        <v/>
      </c>
      <c r="H143" s="32">
        <f>H142</f>
        <v/>
      </c>
      <c r="I143" s="32">
        <f>I142</f>
        <v/>
      </c>
    </row>
    <row r="145">
      <c r="A145" s="14" t="n"/>
      <c r="B145" s="33" t="inlineStr">
        <is>
          <t>ARTICLE 9 TOTAL</t>
        </is>
      </c>
      <c r="C145" s="34">
        <f>C22+C39+C55+C72+C88+C107+C131+C143</f>
        <v/>
      </c>
      <c r="D145" s="34">
        <f>D22+D39+D55+D72+D88+D107+D131+D143</f>
        <v/>
      </c>
      <c r="E145" s="34">
        <f>E22+E39+E55+E72+E88+E107+E131+E143</f>
        <v/>
      </c>
      <c r="F145" s="34">
        <f>F22+F39+F55+F72+F88+F107+F131+F143</f>
        <v/>
      </c>
      <c r="G145" s="34">
        <f>G22+G39+G55+G72+G88+G107+G131+G143</f>
        <v/>
      </c>
      <c r="H145" s="34">
        <f>H22+H39+H55+H72+H88+H107+H131+H143</f>
        <v/>
      </c>
      <c r="I145" s="34">
        <f>I22+I39+I55+I72+I88+I107+I131+I143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1000.0000.5100.58310.900</t>
        </is>
      </c>
      <c r="B7" s="6" t="inlineStr">
        <is>
          <t>Principal Payments-State Supported De$b1t,139,734</t>
        </is>
      </c>
      <c r="C7" s="24" t="n">
        <v>1139734</v>
      </c>
      <c r="D7" s="24" t="n">
        <v>1139734</v>
      </c>
      <c r="E7" s="24" t="n">
        <v>995302</v>
      </c>
      <c r="F7" s="24" t="n">
        <v>995302</v>
      </c>
      <c r="G7" s="24" t="n">
        <v>0</v>
      </c>
      <c r="H7" s="24">
        <f>G7-F7</f>
        <v/>
      </c>
      <c r="I7" s="8">
        <f>IF(F7=0,0,G7/F7-1)</f>
        <v/>
      </c>
    </row>
    <row r="8">
      <c r="A8" s="6" t="inlineStr">
        <is>
          <t>1000.0000.5100.58320.900</t>
        </is>
      </c>
      <c r="B8" s="6" t="inlineStr">
        <is>
          <t>Interest Payments-State Supported Debt$473,415</t>
        </is>
      </c>
      <c r="C8" s="24" t="n">
        <v>442022</v>
      </c>
      <c r="D8" s="24" t="n">
        <v>287512</v>
      </c>
      <c r="E8" s="24" t="n">
        <v>213647</v>
      </c>
      <c r="F8" s="24" t="n">
        <v>186301</v>
      </c>
      <c r="G8" s="24" t="n">
        <v>-27346</v>
      </c>
      <c r="H8" s="24">
        <f>G8-F8</f>
        <v/>
      </c>
      <c r="I8" s="8">
        <f>IF(F8=0,0,G8/F8-1)</f>
        <v/>
      </c>
    </row>
    <row r="9">
      <c r="A9" s="14" t="n"/>
      <c r="B9" s="28" t="inlineStr">
        <is>
          <t>Program 0000 Total</t>
        </is>
      </c>
      <c r="C9" s="29">
        <f>SUM(C7:C8)</f>
        <v/>
      </c>
      <c r="D9" s="29">
        <f>SUM(D7:D8)</f>
        <v/>
      </c>
      <c r="E9" s="29">
        <f>SUM(E7:E8)</f>
        <v/>
      </c>
      <c r="F9" s="29">
        <f>SUM(F7:F8)</f>
        <v/>
      </c>
      <c r="G9" s="29">
        <f>SUM(G7:G8)</f>
        <v/>
      </c>
      <c r="H9" s="29">
        <f>SUM(H7:H8)</f>
        <v/>
      </c>
      <c r="I9" s="29">
        <f>SUM(I7:I8)</f>
        <v/>
      </c>
    </row>
    <row r="10">
      <c r="A10" s="14" t="n"/>
      <c r="B10" s="17" t="inlineStr">
        <is>
          <t>Cost Center ('900',) Total</t>
        </is>
      </c>
      <c r="C10" s="32">
        <f>C9</f>
        <v/>
      </c>
      <c r="D10" s="32">
        <f>D9</f>
        <v/>
      </c>
      <c r="E10" s="32">
        <f>E9</f>
        <v/>
      </c>
      <c r="F10" s="32">
        <f>F9</f>
        <v/>
      </c>
      <c r="G10" s="32">
        <f>G9</f>
        <v/>
      </c>
      <c r="H10" s="32">
        <f>H9</f>
        <v/>
      </c>
      <c r="I10" s="32">
        <f>I9</f>
        <v/>
      </c>
    </row>
    <row r="12">
      <c r="A12" s="14" t="n"/>
      <c r="B12" s="33" t="inlineStr">
        <is>
          <t>ARTICLE 10 TOTAL</t>
        </is>
      </c>
      <c r="C12" s="34">
        <f>C10</f>
        <v/>
      </c>
      <c r="D12" s="34">
        <f>D10</f>
        <v/>
      </c>
      <c r="E12" s="34">
        <f>E10</f>
        <v/>
      </c>
      <c r="F12" s="34">
        <f>F10</f>
        <v/>
      </c>
      <c r="G12" s="34">
        <f>G10</f>
        <v/>
      </c>
      <c r="H12" s="34">
        <f>H10</f>
        <v/>
      </c>
      <c r="I12" s="34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13" t="inlineStr">
        <is>
          <t>Source: FY23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FY19 Actual</t>
        </is>
      </c>
      <c r="D5" s="5" t="inlineStr">
        <is>
          <t>FY20 Actual</t>
        </is>
      </c>
      <c r="E5" s="5" t="inlineStr">
        <is>
          <t>FY21 Actual</t>
        </is>
      </c>
      <c r="F5" s="5" t="inlineStr">
        <is>
          <t>FY22 Adopted</t>
        </is>
      </c>
      <c r="G5" s="5" t="inlineStr">
        <is>
          <t>FY23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1000.0000.3100.59100.900</t>
        </is>
      </c>
      <c r="B7" s="6" t="inlineStr">
        <is>
          <t>Fund Transfer Out $268,245 $310,226</t>
        </is>
      </c>
      <c r="C7" s="24" t="n">
        <v>73311</v>
      </c>
      <c r="D7" s="24" t="n">
        <v>293245</v>
      </c>
      <c r="E7" s="24" t="n">
        <v>0</v>
      </c>
      <c r="F7" s="6" t="n"/>
      <c r="G7" s="6" t="n"/>
      <c r="H7" s="24">
        <f>G7-F7</f>
        <v/>
      </c>
      <c r="I7" s="8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30" customWidth="1" min="6" max="6"/>
  </cols>
  <sheetData>
    <row r="1">
      <c r="A1" s="1" t="inlineStr">
        <is>
          <t>VERIFICATION: FY23 Budget Tie-Out</t>
        </is>
      </c>
    </row>
    <row r="3">
      <c r="A3" s="2" t="inlineStr">
        <is>
          <t>Compares parsed line-item totals against RSU stated figures.</t>
        </is>
      </c>
    </row>
    <row r="4">
      <c r="A4" s="2" t="inlineStr">
        <is>
          <t>A clean tie-out means our data matches the district's numbers exactly.</t>
        </is>
      </c>
    </row>
    <row r="6">
      <c r="A6" s="3" t="inlineStr">
        <is>
          <t>Per-Article Comparison</t>
        </is>
      </c>
    </row>
    <row r="7">
      <c r="A7" s="5" t="inlineStr">
        <is>
          <t>Article</t>
        </is>
      </c>
      <c r="B7" s="5" t="inlineStr">
        <is>
          <t>Parsed Total</t>
        </is>
      </c>
      <c r="C7" s="5" t="inlineStr">
        <is>
          <t>RSU Stated</t>
        </is>
      </c>
      <c r="D7" s="5" t="inlineStr">
        <is>
          <t>Difference</t>
        </is>
      </c>
      <c r="E7" s="5" t="inlineStr">
        <is>
          <t>Match?</t>
        </is>
      </c>
      <c r="F7" s="5" t="inlineStr">
        <is>
          <t>Notes</t>
        </is>
      </c>
    </row>
    <row r="8">
      <c r="A8" s="35" t="inlineStr">
        <is>
          <t>Art 1 - Regular Instruction</t>
        </is>
      </c>
      <c r="B8" s="36" t="n">
        <v>13188332</v>
      </c>
      <c r="C8" s="35" t="inlineStr">
        <is>
          <t>N/A</t>
        </is>
      </c>
      <c r="D8" s="35" t="inlineStr"/>
      <c r="E8" s="35" t="inlineStr">
        <is>
          <t>N/A</t>
        </is>
      </c>
      <c r="F8" s="35" t="inlineStr">
        <is>
          <t>No stated total available</t>
        </is>
      </c>
    </row>
    <row r="9">
      <c r="A9" s="35" t="inlineStr">
        <is>
          <t>Art 2 - Special Education</t>
        </is>
      </c>
      <c r="B9" s="36" t="n">
        <v>4292971</v>
      </c>
      <c r="C9" s="35" t="inlineStr">
        <is>
          <t>N/A</t>
        </is>
      </c>
      <c r="D9" s="35" t="inlineStr"/>
      <c r="E9" s="35" t="inlineStr">
        <is>
          <t>N/A</t>
        </is>
      </c>
      <c r="F9" s="35" t="inlineStr">
        <is>
          <t>No stated total available</t>
        </is>
      </c>
    </row>
    <row r="10">
      <c r="A10" s="35" t="inlineStr">
        <is>
          <t>Art 3 - Career &amp; Technical Education</t>
        </is>
      </c>
      <c r="B10" s="36" t="n">
        <v>74492</v>
      </c>
      <c r="C10" s="35" t="inlineStr">
        <is>
          <t>N/A</t>
        </is>
      </c>
      <c r="D10" s="35" t="inlineStr"/>
      <c r="E10" s="35" t="inlineStr">
        <is>
          <t>N/A</t>
        </is>
      </c>
      <c r="F10" s="35" t="inlineStr">
        <is>
          <t>No stated total available</t>
        </is>
      </c>
    </row>
    <row r="11">
      <c r="A11" s="35" t="inlineStr">
        <is>
          <t>Art 4 - Other Instruction</t>
        </is>
      </c>
      <c r="B11" s="36" t="n">
        <v>749598</v>
      </c>
      <c r="C11" s="35" t="inlineStr">
        <is>
          <t>N/A</t>
        </is>
      </c>
      <c r="D11" s="35" t="inlineStr"/>
      <c r="E11" s="35" t="inlineStr">
        <is>
          <t>N/A</t>
        </is>
      </c>
      <c r="F11" s="35" t="inlineStr">
        <is>
          <t>No stated total available</t>
        </is>
      </c>
    </row>
    <row r="12">
      <c r="A12" s="35" t="inlineStr">
        <is>
          <t>Art 5 - Student &amp; Staff Support</t>
        </is>
      </c>
      <c r="B12" s="36" t="n">
        <v>3223738</v>
      </c>
      <c r="C12" s="35" t="inlineStr">
        <is>
          <t>N/A</t>
        </is>
      </c>
      <c r="D12" s="35" t="inlineStr"/>
      <c r="E12" s="35" t="inlineStr">
        <is>
          <t>N/A</t>
        </is>
      </c>
      <c r="F12" s="35" t="inlineStr">
        <is>
          <t>No stated total available</t>
        </is>
      </c>
    </row>
    <row r="13">
      <c r="A13" s="35" t="inlineStr">
        <is>
          <t>Art 6 - System Administration</t>
        </is>
      </c>
      <c r="B13" s="36" t="n">
        <v>832795</v>
      </c>
      <c r="C13" s="35" t="inlineStr">
        <is>
          <t>N/A</t>
        </is>
      </c>
      <c r="D13" s="35" t="inlineStr"/>
      <c r="E13" s="35" t="inlineStr">
        <is>
          <t>N/A</t>
        </is>
      </c>
      <c r="F13" s="35" t="inlineStr">
        <is>
          <t>No stated total available</t>
        </is>
      </c>
    </row>
    <row r="14">
      <c r="A14" s="35" t="inlineStr">
        <is>
          <t>Art 7 - School Administration</t>
        </is>
      </c>
      <c r="B14" s="36" t="n">
        <v>1534919</v>
      </c>
      <c r="C14" s="35" t="inlineStr">
        <is>
          <t>N/A</t>
        </is>
      </c>
      <c r="D14" s="35" t="inlineStr"/>
      <c r="E14" s="35" t="inlineStr">
        <is>
          <t>N/A</t>
        </is>
      </c>
      <c r="F14" s="35" t="inlineStr">
        <is>
          <t>No stated total available</t>
        </is>
      </c>
    </row>
    <row r="15">
      <c r="A15" s="35" t="inlineStr">
        <is>
          <t>Art 8 - Transportation &amp; Buses</t>
        </is>
      </c>
      <c r="B15" s="36" t="n">
        <v>1528871</v>
      </c>
      <c r="C15" s="35" t="inlineStr">
        <is>
          <t>N/A</t>
        </is>
      </c>
      <c r="D15" s="35" t="inlineStr"/>
      <c r="E15" s="35" t="inlineStr">
        <is>
          <t>N/A</t>
        </is>
      </c>
      <c r="F15" s="35" t="inlineStr">
        <is>
          <t>No stated total available</t>
        </is>
      </c>
    </row>
    <row r="16">
      <c r="A16" s="35" t="inlineStr">
        <is>
          <t>Art 9 - Facilities &amp; Maintenance</t>
        </is>
      </c>
      <c r="B16" s="36" t="n">
        <v>4972762</v>
      </c>
      <c r="C16" s="35" t="inlineStr">
        <is>
          <t>N/A</t>
        </is>
      </c>
      <c r="D16" s="35" t="inlineStr"/>
      <c r="E16" s="35" t="inlineStr">
        <is>
          <t>N/A</t>
        </is>
      </c>
      <c r="F16" s="35" t="inlineStr">
        <is>
          <t>No stated total available</t>
        </is>
      </c>
    </row>
    <row r="17">
      <c r="A17" s="35" t="inlineStr">
        <is>
          <t>Art 10 - Debt Service</t>
        </is>
      </c>
      <c r="B17" s="36" t="n">
        <v>1581756</v>
      </c>
      <c r="C17" s="35" t="inlineStr">
        <is>
          <t>N/A</t>
        </is>
      </c>
      <c r="D17" s="35" t="inlineStr"/>
      <c r="E17" s="35" t="inlineStr">
        <is>
          <t>N/A</t>
        </is>
      </c>
      <c r="F17" s="35" t="inlineStr">
        <is>
          <t>No stated total available</t>
        </is>
      </c>
    </row>
    <row r="18">
      <c r="A18" s="35" t="inlineStr">
        <is>
          <t>Art 11 - All Other Expenses</t>
        </is>
      </c>
      <c r="B18" s="36" t="n">
        <v>73311</v>
      </c>
      <c r="C18" s="35" t="inlineStr">
        <is>
          <t>N/A</t>
        </is>
      </c>
      <c r="D18" s="35" t="inlineStr"/>
      <c r="E18" s="35" t="inlineStr">
        <is>
          <t>N/A</t>
        </is>
      </c>
      <c r="F18" s="35" t="inlineStr">
        <is>
          <t>No stated total available</t>
        </is>
      </c>
    </row>
    <row r="20">
      <c r="A20" s="9" t="inlineStr">
        <is>
          <t>TOTAL</t>
        </is>
      </c>
      <c r="B20" s="37" t="n">
        <v>32053545</v>
      </c>
    </row>
    <row r="22">
      <c r="A22" s="3" t="inlineStr">
        <is>
          <t>Verification Status</t>
        </is>
      </c>
    </row>
    <row r="23">
      <c r="A23" s="4" t="inlineStr">
        <is>
          <t>NO VERIFICATION TARGETS -- Cannot verify this FY</t>
        </is>
      </c>
    </row>
    <row r="25">
      <c r="A25" s="13" t="inlineStr">
        <is>
          <t>Parsed from: FY19 Actual column in budget CSV data</t>
        </is>
      </c>
    </row>
    <row r="26">
      <c r="A26" s="13" t="inlineStr">
        <is>
          <t>RSU stated totals from: budget_config.yaml verification_targets.FY23</t>
        </is>
      </c>
    </row>
    <row r="27">
      <c r="A27" s="13" t="inlineStr">
        <is>
          <t>Handbook sources: FY23-superintendent-handbook-p02.csv, FY23-superintendent-handbook-p03.csv, FY23-superintendent-handbook-p04.csv</t>
        </is>
      </c>
    </row>
  </sheetData>
  <mergeCells count="3">
    <mergeCell ref="A26:F26"/>
    <mergeCell ref="A25:F25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2026-03-13T03:04:53Z</dcterms:created>
  <dcterms:modified xmlns:dcterms="http://purl.org/dc/terms/" xmlns:xsi="http://www.w3.org/2001/XMLSchema-instance" xsi:type="dcterms:W3CDTF">2026-03-13T03:04:53Z</dcterms:modified>
</cp:coreProperties>
</file>
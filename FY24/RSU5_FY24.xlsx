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-BudgetData" sheetId="2" state="visible" r:id="rId2"/>
    <sheet xmlns:r="http://schemas.openxmlformats.org/officeDocument/2006/relationships" name="I-Enrollment" sheetId="3" state="visible" r:id="rId3"/>
    <sheet xmlns:r="http://schemas.openxmlformats.org/officeDocument/2006/relationships" name="I-DOEStaffing" sheetId="4" state="visible" r:id="rId4"/>
    <sheet xmlns:r="http://schemas.openxmlformats.org/officeDocument/2006/relationships" name="I-CostGrowth" sheetId="5" state="visible" r:id="rId5"/>
    <sheet xmlns:r="http://schemas.openxmlformats.org/officeDocument/2006/relationships" name="C-GrowthTrends" sheetId="6" state="visible" r:id="rId6"/>
    <sheet xmlns:r="http://schemas.openxmlformats.org/officeDocument/2006/relationships" name="C-CostPerStudent" sheetId="7" state="visible" r:id="rId7"/>
    <sheet xmlns:r="http://schemas.openxmlformats.org/officeDocument/2006/relationships" name="Art 1" sheetId="8" state="visible" r:id="rId8"/>
    <sheet xmlns:r="http://schemas.openxmlformats.org/officeDocument/2006/relationships" name="Art 2" sheetId="9" state="visible" r:id="rId9"/>
    <sheet xmlns:r="http://schemas.openxmlformats.org/officeDocument/2006/relationships" name="Art 3" sheetId="10" state="visible" r:id="rId10"/>
    <sheet xmlns:r="http://schemas.openxmlformats.org/officeDocument/2006/relationships" name="Art 4" sheetId="11" state="visible" r:id="rId11"/>
    <sheet xmlns:r="http://schemas.openxmlformats.org/officeDocument/2006/relationships" name="Art 5" sheetId="12" state="visible" r:id="rId12"/>
    <sheet xmlns:r="http://schemas.openxmlformats.org/officeDocument/2006/relationships" name="Art 6" sheetId="13" state="visible" r:id="rId13"/>
    <sheet xmlns:r="http://schemas.openxmlformats.org/officeDocument/2006/relationships" name="Art 7" sheetId="14" state="visible" r:id="rId14"/>
    <sheet xmlns:r="http://schemas.openxmlformats.org/officeDocument/2006/relationships" name="Art 8" sheetId="15" state="visible" r:id="rId15"/>
    <sheet xmlns:r="http://schemas.openxmlformats.org/officeDocument/2006/relationships" name="Art 9" sheetId="16" state="visible" r:id="rId16"/>
    <sheet xmlns:r="http://schemas.openxmlformats.org/officeDocument/2006/relationships" name="Art 10" sheetId="17" state="visible" r:id="rId17"/>
    <sheet xmlns:r="http://schemas.openxmlformats.org/officeDocument/2006/relationships" name="Art 11" sheetId="18" state="visible" r:id="rId18"/>
    <sheet xmlns:r="http://schemas.openxmlformats.org/officeDocument/2006/relationships" name="C-Verific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1F4E79"/>
      <sz val="12"/>
    </font>
    <font>
      <b val="1"/>
      <sz val="11"/>
    </font>
    <font>
      <b val="1"/>
      <color rgb="00C00000"/>
      <sz val="11"/>
    </font>
    <font>
      <i val="1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DAEE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2" borderId="1" applyAlignment="1" pivotButton="0" quotePrefix="0" xfId="0">
      <alignment wrapText="1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10" fontId="0" fillId="3" borderId="1" pivotButton="0" quotePrefix="0" xfId="0"/>
    <xf numFmtId="0" fontId="6" fillId="4" borderId="0" applyAlignment="1" pivotButton="0" quotePrefix="0" xfId="0">
      <alignment wrapText="1"/>
    </xf>
    <xf numFmtId="0" fontId="0" fillId="0" borderId="2" pivotButton="0" quotePrefix="0" xfId="0"/>
    <xf numFmtId="3" fontId="0" fillId="5" borderId="1" pivotButton="0" quotePrefix="0" xfId="0"/>
    <xf numFmtId="3" fontId="4" fillId="6" borderId="2" pivotButton="0" quotePrefix="0" xfId="0"/>
    <xf numFmtId="0" fontId="5" fillId="3" borderId="2" pivotButton="0" quotePrefix="0" xfId="0"/>
    <xf numFmtId="3" fontId="5" fillId="3" borderId="2" pivotButton="0" quotePrefix="0" xfId="0"/>
    <xf numFmtId="0" fontId="4" fillId="0" borderId="2" pivotButton="0" quotePrefix="0" xfId="0"/>
    <xf numFmtId="3" fontId="0" fillId="6" borderId="2" pivotButton="0" quotePrefix="0" xfId="0"/>
    <xf numFmtId="0" fontId="0" fillId="5" borderId="1" pivotButton="0" quotePrefix="0" xfId="0"/>
    <xf numFmtId="4" fontId="0" fillId="5" borderId="1" pivotButton="0" quotePrefix="0" xfId="0"/>
    <xf numFmtId="4" fontId="4" fillId="3" borderId="1" pivotButton="0" quotePrefix="0" xfId="0"/>
    <xf numFmtId="4" fontId="0" fillId="0" borderId="1" pivotButton="0" quotePrefix="0" xfId="0"/>
    <xf numFmtId="10" fontId="0" fillId="5" borderId="1" pivotButton="0" quotePrefix="0" xfId="0"/>
    <xf numFmtId="10" fontId="0" fillId="0" borderId="2" pivotButton="0" quotePrefix="0" xfId="0"/>
    <xf numFmtId="10" fontId="5" fillId="3" borderId="2" pivotButton="0" quotePrefix="0" xfId="0"/>
    <xf numFmtId="0" fontId="4" fillId="7" borderId="2" pivotButton="0" quotePrefix="0" xfId="0"/>
    <xf numFmtId="4" fontId="4" fillId="7" borderId="2" pivotButton="0" quotePrefix="0" xfId="0"/>
    <xf numFmtId="0" fontId="4" fillId="6" borderId="2" pivotButton="0" quotePrefix="0" xfId="0"/>
    <xf numFmtId="4" fontId="4" fillId="6" borderId="2" pivotButton="0" quotePrefix="0" xfId="0"/>
    <xf numFmtId="4" fontId="5" fillId="3" borderId="2" pivotButton="0" quotePrefix="0" xfId="0"/>
    <xf numFmtId="0" fontId="5" fillId="2" borderId="2" pivotButton="0" quotePrefix="0" xfId="0"/>
    <xf numFmtId="4" fontId="5" fillId="2" borderId="2" pivotButton="0" quotePrefix="0" xfId="0"/>
    <xf numFmtId="0" fontId="0" fillId="6" borderId="1" pivotButton="0" quotePrefix="0" xfId="0"/>
    <xf numFmtId="3" fontId="0" fillId="6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RSU 5 Budget Analysis -- FY24</t>
        </is>
      </c>
    </row>
    <row r="3">
      <c r="A3" s="2" t="inlineStr">
        <is>
          <t>Fiscal Year 2023-2024</t>
        </is>
      </c>
    </row>
    <row r="4">
      <c r="A4" s="2" t="inlineStr">
        <is>
          <t>Prior year adopted: $37,223,151</t>
        </is>
      </c>
    </row>
    <row r="5">
      <c r="A5" s="2" t="inlineStr">
        <is>
          <t>This year proposed/adopted: $39,080,569</t>
        </is>
      </c>
    </row>
    <row r="6">
      <c r="A6" s="2" t="inlineStr">
        <is>
          <t>Year-over-year change: +4.99%</t>
        </is>
      </c>
    </row>
    <row r="8">
      <c r="A8" s="3" t="inlineStr">
        <is>
          <t>Verification Status</t>
        </is>
      </c>
    </row>
    <row r="9">
      <c r="A9" s="4" t="inlineStr">
        <is>
          <t>No verification targets available for this FY</t>
        </is>
      </c>
    </row>
    <row r="11">
      <c r="A11" s="3" t="inlineStr">
        <is>
          <t>Article Breakdown</t>
        </is>
      </c>
    </row>
    <row r="12">
      <c r="A12" s="5" t="inlineStr">
        <is>
          <t>Article</t>
        </is>
      </c>
      <c r="B12" s="5" t="inlineStr">
        <is>
          <t>Name</t>
        </is>
      </c>
      <c r="C12" s="5" t="inlineStr">
        <is>
          <t>Total</t>
        </is>
      </c>
      <c r="D12" s="5" t="inlineStr">
        <is>
          <t>% of Budget</t>
        </is>
      </c>
    </row>
    <row r="13">
      <c r="A13" s="6" t="inlineStr">
        <is>
          <t>Art 1</t>
        </is>
      </c>
      <c r="B13" s="6" t="inlineStr">
        <is>
          <t>Regular Instruction</t>
        </is>
      </c>
      <c r="C13" s="7" t="n">
        <v>17021480</v>
      </c>
      <c r="D13" s="8" t="n">
        <v>0.4638098627349781</v>
      </c>
    </row>
    <row r="14">
      <c r="A14" s="6" t="inlineStr">
        <is>
          <t>Art 2</t>
        </is>
      </c>
      <c r="B14" s="6" t="inlineStr">
        <is>
          <t>Special Education</t>
        </is>
      </c>
      <c r="C14" s="7" t="n">
        <v>5074090</v>
      </c>
      <c r="D14" s="8" t="n">
        <v>0.1382613607280286</v>
      </c>
    </row>
    <row r="15">
      <c r="A15" s="6" t="inlineStr">
        <is>
          <t>Art 3</t>
        </is>
      </c>
      <c r="B15" s="6" t="inlineStr">
        <is>
          <t>Career &amp; Technical Education</t>
        </is>
      </c>
      <c r="C15" s="7" t="n">
        <v>0</v>
      </c>
      <c r="D15" s="8" t="n">
        <v>0</v>
      </c>
    </row>
    <row r="16">
      <c r="A16" s="6" t="inlineStr">
        <is>
          <t>Art 4</t>
        </is>
      </c>
      <c r="B16" s="6" t="inlineStr">
        <is>
          <t>Other Instruction</t>
        </is>
      </c>
      <c r="C16" s="7" t="n">
        <v>1015667</v>
      </c>
      <c r="D16" s="8" t="n">
        <v>0.02767540612534556</v>
      </c>
    </row>
    <row r="17">
      <c r="A17" s="6" t="inlineStr">
        <is>
          <t>Art 5</t>
        </is>
      </c>
      <c r="B17" s="6" t="inlineStr">
        <is>
          <t>Student &amp; Staff Support</t>
        </is>
      </c>
      <c r="C17" s="7" t="n">
        <v>3822402</v>
      </c>
      <c r="D17" s="8" t="n">
        <v>0.1041547354835129</v>
      </c>
    </row>
    <row r="18">
      <c r="A18" s="6" t="inlineStr">
        <is>
          <t>Art 6</t>
        </is>
      </c>
      <c r="B18" s="6" t="inlineStr">
        <is>
          <t>System Administration</t>
        </is>
      </c>
      <c r="C18" s="7" t="n">
        <v>1021441</v>
      </c>
      <c r="D18" s="8" t="n">
        <v>0.02783273898637949</v>
      </c>
    </row>
    <row r="19">
      <c r="A19" s="6" t="inlineStr">
        <is>
          <t>Art 7</t>
        </is>
      </c>
      <c r="B19" s="6" t="inlineStr">
        <is>
          <t>School Administration</t>
        </is>
      </c>
      <c r="C19" s="7" t="n">
        <v>2067029</v>
      </c>
      <c r="D19" s="8" t="n">
        <v>0.05632344759440536</v>
      </c>
    </row>
    <row r="20">
      <c r="A20" s="6" t="inlineStr">
        <is>
          <t>Art 8</t>
        </is>
      </c>
      <c r="B20" s="6" t="inlineStr">
        <is>
          <t>Transportation &amp; Buses</t>
        </is>
      </c>
      <c r="C20" s="7" t="n">
        <v>1551608</v>
      </c>
      <c r="D20" s="8" t="n">
        <v>0.04227899650902823</v>
      </c>
    </row>
    <row r="21">
      <c r="A21" s="6" t="inlineStr">
        <is>
          <t>Art 9</t>
        </is>
      </c>
      <c r="B21" s="6" t="inlineStr">
        <is>
          <t>Facilities &amp; Maintenance</t>
        </is>
      </c>
      <c r="C21" s="7" t="n">
        <v>5167753.71</v>
      </c>
      <c r="D21" s="8" t="n">
        <v>0.1408135566873899</v>
      </c>
    </row>
    <row r="22">
      <c r="A22" s="6" t="inlineStr">
        <is>
          <t>Art 10</t>
        </is>
      </c>
      <c r="B22" s="6" t="inlineStr">
        <is>
          <t>Debt Service</t>
        </is>
      </c>
      <c r="C22" s="7" t="n">
        <v>-42208</v>
      </c>
      <c r="D22" s="8" t="n">
        <v>-0.001150104849068234</v>
      </c>
    </row>
    <row r="23">
      <c r="A23" s="6" t="inlineStr">
        <is>
          <t>Art 11</t>
        </is>
      </c>
      <c r="B23" s="6" t="inlineStr">
        <is>
          <t>All Other Expenses</t>
        </is>
      </c>
      <c r="C23" s="7" t="n">
        <v>0</v>
      </c>
      <c r="D23" s="8" t="n">
        <v>0</v>
      </c>
    </row>
    <row r="24">
      <c r="A24" s="9" t="inlineStr">
        <is>
          <t>TOTAL</t>
        </is>
      </c>
      <c r="B24" s="10" t="inlineStr"/>
      <c r="C24" s="11" t="n">
        <v>36699262.71</v>
      </c>
      <c r="D24" s="12" t="n">
        <v>1</v>
      </c>
    </row>
    <row r="26">
      <c r="A26" s="13" t="inlineStr">
        <is>
          <t>Data parsed from RSU 5 budget documents (rsu5.org/budget).</t>
        </is>
      </c>
    </row>
    <row r="27">
      <c r="A27" s="13" t="inlineStr">
        <is>
          <t>All totals independently computed from line-item data.</t>
        </is>
      </c>
    </row>
    <row r="28">
      <c r="A28" s="13" t="inlineStr">
        <is>
          <t>See C-Verification sheet for detailed tie-out.</t>
        </is>
      </c>
    </row>
  </sheetData>
  <mergeCells count="3">
    <mergeCell ref="A26:F26"/>
    <mergeCell ref="A28:F28"/>
    <mergeCell ref="A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INPUT: FY24 Budget by Article x Cost Center</t>
        </is>
      </c>
    </row>
    <row r="2">
      <c r="A2" s="13" t="inlineStr">
        <is>
          <t>Source: Parsed from budget documents (doc_type=adopted)</t>
        </is>
      </c>
    </row>
    <row r="3">
      <c r="A3" s="13" t="inlineStr">
        <is>
          <t>Baseline status: UNRECONCILED</t>
        </is>
      </c>
    </row>
    <row r="4">
      <c r="A4" s="13" t="inlineStr">
        <is>
          <t>Column shown: FY24 Adopted</t>
        </is>
      </c>
    </row>
    <row r="6">
      <c r="A6" s="5" t="inlineStr">
        <is>
          <t>Article</t>
        </is>
      </c>
      <c r="B6" s="5" t="inlineStr">
        <is>
          <t>DCS</t>
        </is>
      </c>
      <c r="C6" s="5" t="inlineStr">
        <is>
          <t>MSS</t>
        </is>
      </c>
      <c r="D6" s="5" t="inlineStr">
        <is>
          <t>PES</t>
        </is>
      </c>
      <c r="E6" s="5" t="inlineStr">
        <is>
          <t>MLS</t>
        </is>
      </c>
      <c r="F6" s="5" t="inlineStr">
        <is>
          <t>FMS</t>
        </is>
      </c>
      <c r="G6" s="5" t="inlineStr">
        <is>
          <t>FHS</t>
        </is>
      </c>
      <c r="H6" s="5" t="inlineStr">
        <is>
          <t>SYS</t>
        </is>
      </c>
      <c r="I6" s="5" t="inlineStr">
        <is>
          <t>K8</t>
        </is>
      </c>
      <c r="J6" s="5" t="inlineStr">
        <is>
          <t>912</t>
        </is>
      </c>
      <c r="K6" s="5" t="inlineStr">
        <is>
          <t>CTRL</t>
        </is>
      </c>
      <c r="L6" s="5" t="inlineStr">
        <is>
          <t>Total</t>
        </is>
      </c>
    </row>
    <row r="7">
      <c r="A7" s="14" t="inlineStr">
        <is>
          <t>Art 1 - Regular Instruction</t>
        </is>
      </c>
      <c r="B7" s="15" t="n">
        <v>3659638</v>
      </c>
      <c r="C7" s="15" t="n">
        <v>2303264</v>
      </c>
      <c r="D7" s="15" t="n">
        <v>1029263</v>
      </c>
      <c r="E7" s="15" t="n">
        <v>2018816</v>
      </c>
      <c r="F7" s="15" t="n">
        <v>2848550</v>
      </c>
      <c r="G7" s="15" t="n">
        <v>4412686</v>
      </c>
      <c r="H7" s="15" t="n">
        <v>186000</v>
      </c>
      <c r="I7" s="15" t="n">
        <v>406368</v>
      </c>
      <c r="J7" s="15" t="n">
        <v>156895</v>
      </c>
      <c r="K7" s="14" t="n">
        <v>0</v>
      </c>
      <c r="L7" s="16">
        <f>SUM(B7:K7)</f>
        <v/>
      </c>
    </row>
    <row r="8">
      <c r="A8" s="14" t="inlineStr">
        <is>
          <t>Art 2 - Special Education</t>
        </is>
      </c>
      <c r="B8" s="15" t="n">
        <v>1088275</v>
      </c>
      <c r="C8" s="15" t="n">
        <v>734530</v>
      </c>
      <c r="D8" s="15" t="n">
        <v>200912</v>
      </c>
      <c r="E8" s="15" t="n">
        <v>542675</v>
      </c>
      <c r="F8" s="15" t="n">
        <v>962695</v>
      </c>
      <c r="G8" s="15" t="n">
        <v>771339</v>
      </c>
      <c r="H8" s="15" t="n">
        <v>412944</v>
      </c>
      <c r="I8" s="15" t="n">
        <v>254340</v>
      </c>
      <c r="J8" s="15" t="n">
        <v>106380</v>
      </c>
      <c r="K8" s="14" t="n">
        <v>0</v>
      </c>
      <c r="L8" s="16">
        <f>SUM(B8:K8)</f>
        <v/>
      </c>
    </row>
    <row r="9">
      <c r="A9" s="14" t="inlineStr">
        <is>
          <t>Art 3 - Career &amp; Technical Education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6">
        <f>SUM(B9:K9)</f>
        <v/>
      </c>
    </row>
    <row r="10">
      <c r="A10" s="14" t="inlineStr">
        <is>
          <t>Art 4 - Other Instruction</t>
        </is>
      </c>
      <c r="B10" s="15" t="n">
        <v>72158</v>
      </c>
      <c r="C10" s="15" t="n">
        <v>1359</v>
      </c>
      <c r="D10" s="15" t="n">
        <v>6500</v>
      </c>
      <c r="E10" s="15" t="n">
        <v>11269</v>
      </c>
      <c r="F10" s="15" t="n">
        <v>239219</v>
      </c>
      <c r="G10" s="15" t="n">
        <v>683860</v>
      </c>
      <c r="H10" s="14" t="n">
        <v>0</v>
      </c>
      <c r="I10" s="15" t="n">
        <v>1302</v>
      </c>
      <c r="J10" s="14" t="n">
        <v>0</v>
      </c>
      <c r="K10" s="14" t="n">
        <v>0</v>
      </c>
      <c r="L10" s="16">
        <f>SUM(B10:K10)</f>
        <v/>
      </c>
    </row>
    <row r="11">
      <c r="A11" s="14" t="inlineStr">
        <is>
          <t>Art 5 - Student &amp; Staff Support</t>
        </is>
      </c>
      <c r="B11" s="15" t="n">
        <v>513747</v>
      </c>
      <c r="C11" s="15" t="n">
        <v>312559</v>
      </c>
      <c r="D11" s="15" t="n">
        <v>185737</v>
      </c>
      <c r="E11" s="15" t="n">
        <v>285715</v>
      </c>
      <c r="F11" s="15" t="n">
        <v>402421</v>
      </c>
      <c r="G11" s="15" t="n">
        <v>916613</v>
      </c>
      <c r="H11" s="15" t="n">
        <v>1045869</v>
      </c>
      <c r="I11" s="15" t="n">
        <v>149565</v>
      </c>
      <c r="J11" s="15" t="n">
        <v>10176</v>
      </c>
      <c r="K11" s="14" t="n">
        <v>0</v>
      </c>
      <c r="L11" s="16">
        <f>SUM(B11:K11)</f>
        <v/>
      </c>
    </row>
    <row r="12">
      <c r="A12" s="14" t="inlineStr">
        <is>
          <t>Art 6 - System Administration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5" t="n">
        <v>1021441</v>
      </c>
      <c r="I12" s="14" t="n">
        <v>0</v>
      </c>
      <c r="J12" s="14" t="n">
        <v>0</v>
      </c>
      <c r="K12" s="14" t="n">
        <v>0</v>
      </c>
      <c r="L12" s="16">
        <f>SUM(B12:K12)</f>
        <v/>
      </c>
    </row>
    <row r="13">
      <c r="A13" s="14" t="inlineStr">
        <is>
          <t>Art 7 - School Administration</t>
        </is>
      </c>
      <c r="B13" s="15" t="n">
        <v>431767</v>
      </c>
      <c r="C13" s="15" t="n">
        <v>319091</v>
      </c>
      <c r="D13" s="15" t="n">
        <v>199851</v>
      </c>
      <c r="E13" s="15" t="n">
        <v>224458</v>
      </c>
      <c r="F13" s="15" t="n">
        <v>394311</v>
      </c>
      <c r="G13" s="15" t="n">
        <v>497551</v>
      </c>
      <c r="H13" s="14" t="n">
        <v>0</v>
      </c>
      <c r="I13" s="14" t="n">
        <v>0</v>
      </c>
      <c r="J13" s="14" t="n">
        <v>0</v>
      </c>
      <c r="K13" s="14" t="n">
        <v>0</v>
      </c>
      <c r="L13" s="16">
        <f>SUM(B13:K13)</f>
        <v/>
      </c>
    </row>
    <row r="14">
      <c r="A14" s="14" t="inlineStr">
        <is>
          <t>Art 8 - Transportation &amp; Buses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5" t="n">
        <v>1551608</v>
      </c>
      <c r="I14" s="14" t="n">
        <v>0</v>
      </c>
      <c r="J14" s="14" t="n">
        <v>0</v>
      </c>
      <c r="K14" s="14" t="n">
        <v>0</v>
      </c>
      <c r="L14" s="16">
        <f>SUM(B14:K14)</f>
        <v/>
      </c>
    </row>
    <row r="15">
      <c r="A15" s="14" t="inlineStr">
        <is>
          <t>Art 9 - Facilities &amp; Maintenance</t>
        </is>
      </c>
      <c r="B15" s="15" t="n">
        <v>584158</v>
      </c>
      <c r="C15" s="15" t="n">
        <v>489420</v>
      </c>
      <c r="D15" s="15" t="n">
        <v>237401.71</v>
      </c>
      <c r="E15" s="15" t="n">
        <v>462091</v>
      </c>
      <c r="F15" s="15" t="n">
        <v>609182</v>
      </c>
      <c r="G15" s="15" t="n">
        <v>1583379</v>
      </c>
      <c r="H15" s="15" t="n">
        <v>1166782</v>
      </c>
      <c r="I15" s="14" t="n">
        <v>0</v>
      </c>
      <c r="J15" s="14" t="n">
        <v>0</v>
      </c>
      <c r="K15" s="14" t="n">
        <v>0</v>
      </c>
      <c r="L15" s="16">
        <f>SUM(B15:K15)</f>
        <v/>
      </c>
    </row>
    <row r="16">
      <c r="A16" s="14" t="inlineStr">
        <is>
          <t>Art 10 - Debt Service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0</v>
      </c>
      <c r="H16" s="15" t="n">
        <v>-42208</v>
      </c>
      <c r="I16" s="14" t="n">
        <v>0</v>
      </c>
      <c r="J16" s="14" t="n">
        <v>0</v>
      </c>
      <c r="K16" s="14" t="n">
        <v>0</v>
      </c>
      <c r="L16" s="16">
        <f>SUM(B16:K16)</f>
        <v/>
      </c>
    </row>
    <row r="17">
      <c r="A17" s="14" t="inlineStr">
        <is>
          <t>Art 11 - All Other Expenses</t>
        </is>
      </c>
      <c r="B17" s="14" t="n">
        <v>0</v>
      </c>
      <c r="C17" s="14" t="n">
        <v>0</v>
      </c>
      <c r="D17" s="14" t="n">
        <v>0</v>
      </c>
      <c r="E17" s="14" t="n">
        <v>0</v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6">
        <f>SUM(B17:K17)</f>
        <v/>
      </c>
    </row>
    <row r="18">
      <c r="A18" s="17" t="inlineStr">
        <is>
          <t>GRAND TOTAL</t>
        </is>
      </c>
      <c r="B18" s="18">
        <f>SUM(B7:B17)</f>
        <v/>
      </c>
      <c r="C18" s="18">
        <f>SUM(C7:C17)</f>
        <v/>
      </c>
      <c r="D18" s="18">
        <f>SUM(D7:D17)</f>
        <v/>
      </c>
      <c r="E18" s="18">
        <f>SUM(E7:E17)</f>
        <v/>
      </c>
      <c r="F18" s="18">
        <f>SUM(F7:F17)</f>
        <v/>
      </c>
      <c r="G18" s="18">
        <f>SUM(G7:G17)</f>
        <v/>
      </c>
      <c r="H18" s="18">
        <f>SUM(H7:H17)</f>
        <v/>
      </c>
      <c r="I18" s="18">
        <f>SUM(I7:I17)</f>
        <v/>
      </c>
      <c r="J18" s="18">
        <f>SUM(J7:J17)</f>
        <v/>
      </c>
      <c r="K18" s="18">
        <f>SUM(K7:K17)</f>
        <v/>
      </c>
      <c r="L18" s="18">
        <f>SUM(L7:L17)</f>
        <v/>
      </c>
    </row>
    <row r="20">
      <c r="A20" s="3" t="inlineStr">
        <is>
          <t>Per-Student Direct Cost</t>
        </is>
      </c>
    </row>
    <row r="21">
      <c r="A21" s="2" t="inlineStr">
        <is>
          <t>Enrollment from FY27 Budget Handbook (Oct 2026 projected)</t>
        </is>
      </c>
    </row>
    <row r="22">
      <c r="A22" s="5" t="inlineStr">
        <is>
          <t>School</t>
        </is>
      </c>
      <c r="B22" s="5" t="inlineStr">
        <is>
          <t>DCS</t>
        </is>
      </c>
      <c r="C22" s="5" t="inlineStr">
        <is>
          <t>MSS</t>
        </is>
      </c>
      <c r="D22" s="5" t="inlineStr">
        <is>
          <t>PES</t>
        </is>
      </c>
      <c r="E22" s="5" t="inlineStr">
        <is>
          <t>MLS</t>
        </is>
      </c>
      <c r="F22" s="5" t="inlineStr">
        <is>
          <t>FMS</t>
        </is>
      </c>
      <c r="G22" s="5" t="inlineStr">
        <is>
          <t>FHS</t>
        </is>
      </c>
    </row>
    <row r="23">
      <c r="A23" s="19" t="inlineStr">
        <is>
          <t>Enrollment (Oct 2026P)</t>
        </is>
      </c>
      <c r="B23" s="15" t="n">
        <v>467</v>
      </c>
      <c r="C23" s="15" t="n">
        <v>274</v>
      </c>
      <c r="D23" s="15" t="n">
        <v>105</v>
      </c>
      <c r="E23" s="15" t="n">
        <v>264</v>
      </c>
      <c r="F23" s="15" t="n">
        <v>306</v>
      </c>
      <c r="G23" s="15" t="n">
        <v>554</v>
      </c>
    </row>
    <row r="24">
      <c r="A24" s="19" t="inlineStr">
        <is>
          <t>Direct Cost</t>
        </is>
      </c>
      <c r="B24" s="20">
        <f>SUM(B7:B17)</f>
        <v/>
      </c>
      <c r="C24" s="20">
        <f>SUM(C7:C17)</f>
        <v/>
      </c>
      <c r="D24" s="20">
        <f>SUM(D7:D17)</f>
        <v/>
      </c>
      <c r="E24" s="20">
        <f>SUM(E7:E17)</f>
        <v/>
      </c>
      <c r="F24" s="20">
        <f>SUM(F7:F17)</f>
        <v/>
      </c>
      <c r="G24" s="20">
        <f>SUM(G7:G17)</f>
        <v/>
      </c>
    </row>
    <row r="25">
      <c r="A25" s="17" t="inlineStr">
        <is>
          <t>Cost per Student</t>
        </is>
      </c>
      <c r="B25" s="18">
        <f>IF(B23=0,0,B24/B23)</f>
        <v/>
      </c>
      <c r="C25" s="18">
        <f>IF(C23=0,0,C24/C23)</f>
        <v/>
      </c>
      <c r="D25" s="18">
        <f>IF(D23=0,0,D24/D23)</f>
        <v/>
      </c>
      <c r="E25" s="18">
        <f>IF(E23=0,0,E24/E23)</f>
        <v/>
      </c>
      <c r="F25" s="18">
        <f>IF(F23=0,0,F24/F23)</f>
        <v/>
      </c>
      <c r="G25" s="18">
        <f>IF(G23=0,0,G24/G23)</f>
        <v/>
      </c>
    </row>
  </sheetData>
  <mergeCells count="3">
    <mergeCell ref="A3:F3"/>
    <mergeCell ref="A2:F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Enrollment Data (FY24 Handbook)</t>
        </is>
      </c>
    </row>
    <row r="3">
      <c r="A3" s="2" t="inlineStr">
        <is>
          <t>No enrollment data available from FY24 handbook.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INPUT: DOE Staffing Data (Dec 1 Snapshot)</t>
        </is>
      </c>
    </row>
    <row r="3">
      <c r="A3" s="3" t="inlineStr">
        <is>
          <t>Total FTE by School</t>
        </is>
      </c>
    </row>
    <row r="4">
      <c r="A4" s="5" t="inlineStr">
        <is>
          <t>School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</row>
    <row r="5">
      <c r="A5" s="21" t="inlineStr">
        <is>
          <t>DCS</t>
        </is>
      </c>
      <c r="B5" s="22" t="n">
        <v>94.2</v>
      </c>
      <c r="C5" s="22" t="n">
        <v>92.99999999999999</v>
      </c>
      <c r="D5" s="22" t="n">
        <v>87.59999999999999</v>
      </c>
      <c r="E5" s="22" t="n">
        <v>83.5</v>
      </c>
      <c r="F5" s="22" t="n">
        <v>78.40000000000001</v>
      </c>
    </row>
    <row r="6">
      <c r="A6" s="21" t="inlineStr">
        <is>
          <t>MSS</t>
        </is>
      </c>
      <c r="B6" s="22" t="n">
        <v>55.70000000000001</v>
      </c>
      <c r="C6" s="22" t="n">
        <v>55.50000000000001</v>
      </c>
      <c r="D6" s="22" t="n">
        <v>60.8</v>
      </c>
      <c r="E6" s="22" t="n">
        <v>58.5</v>
      </c>
      <c r="F6" s="22" t="n">
        <v>59.8</v>
      </c>
    </row>
    <row r="7">
      <c r="A7" s="21" t="inlineStr">
        <is>
          <t>MLS</t>
        </is>
      </c>
      <c r="B7" s="22" t="n">
        <v>55.19999999999999</v>
      </c>
      <c r="C7" s="22" t="n">
        <v>46.4</v>
      </c>
      <c r="D7" s="22" t="n">
        <v>50.49999999999999</v>
      </c>
      <c r="E7" s="22" t="n">
        <v>49.09999999999999</v>
      </c>
      <c r="F7" s="22" t="n">
        <v>45.7</v>
      </c>
    </row>
    <row r="8">
      <c r="A8" s="21" t="inlineStr">
        <is>
          <t>PES</t>
        </is>
      </c>
      <c r="B8" s="22" t="n">
        <v>27.7</v>
      </c>
      <c r="C8" s="22" t="n">
        <v>27.29999999999999</v>
      </c>
      <c r="D8" s="22" t="n">
        <v>24.5</v>
      </c>
      <c r="E8" s="22" t="n">
        <v>22.5</v>
      </c>
      <c r="F8" s="22" t="n">
        <v>22.9</v>
      </c>
    </row>
    <row r="9">
      <c r="A9" s="21" t="inlineStr">
        <is>
          <t>FMS</t>
        </is>
      </c>
      <c r="B9" s="22" t="n">
        <v>71.70000000000002</v>
      </c>
      <c r="C9" s="22" t="n">
        <v>58.90000000000001</v>
      </c>
      <c r="D9" s="22" t="n">
        <v>67.80000000000001</v>
      </c>
      <c r="E9" s="22" t="n">
        <v>69.69999999999999</v>
      </c>
      <c r="F9" s="22" t="n">
        <v>62.8</v>
      </c>
    </row>
    <row r="10">
      <c r="A10" s="21" t="inlineStr">
        <is>
          <t>FHS</t>
        </is>
      </c>
      <c r="B10" s="22" t="n">
        <v>123.1</v>
      </c>
      <c r="C10" s="22" t="n">
        <v>112.4</v>
      </c>
      <c r="D10" s="22" t="n">
        <v>100.4</v>
      </c>
      <c r="E10" s="22" t="n">
        <v>100</v>
      </c>
      <c r="F10" s="22" t="n">
        <v>97.39999999999999</v>
      </c>
    </row>
    <row r="11">
      <c r="A11" s="21" t="inlineStr">
        <is>
          <t>District</t>
        </is>
      </c>
      <c r="B11" s="22" t="n">
        <v>115.4</v>
      </c>
      <c r="C11" s="22" t="n">
        <v>118.9</v>
      </c>
      <c r="D11" s="22" t="n">
        <v>119.8</v>
      </c>
      <c r="E11" s="22" t="n">
        <v>129.9</v>
      </c>
      <c r="F11" s="22" t="n">
        <v>116.2</v>
      </c>
    </row>
    <row r="12">
      <c r="A12" s="9" t="inlineStr">
        <is>
          <t>Total</t>
        </is>
      </c>
      <c r="B12" s="23" t="n">
        <v>543</v>
      </c>
      <c r="C12" s="23" t="n">
        <v>512.4</v>
      </c>
      <c r="D12" s="23" t="n">
        <v>511.4</v>
      </c>
      <c r="E12" s="23" t="n">
        <v>513.1999999999999</v>
      </c>
      <c r="F12" s="23" t="n">
        <v>483.2</v>
      </c>
    </row>
    <row r="14">
      <c r="A14" s="3" t="inlineStr">
        <is>
          <t>Detail by Position (2024)</t>
        </is>
      </c>
    </row>
    <row r="15">
      <c r="A15" s="5" t="inlineStr">
        <is>
          <t>Position</t>
        </is>
      </c>
      <c r="B15" s="5" t="inlineStr">
        <is>
          <t>Total FTE</t>
        </is>
      </c>
    </row>
    <row r="16">
      <c r="A16" s="6" t="inlineStr">
        <is>
          <t>Classroom Teacher</t>
        </is>
      </c>
      <c r="B16" s="24" t="n">
        <v>149.2</v>
      </c>
    </row>
    <row r="17">
      <c r="A17" s="6" t="inlineStr">
        <is>
          <t>Ed Tech III</t>
        </is>
      </c>
      <c r="B17" s="24" t="n">
        <v>48.4</v>
      </c>
    </row>
    <row r="18">
      <c r="A18" s="6" t="inlineStr">
        <is>
          <t>Co-Curric (Non-Athletic)</t>
        </is>
      </c>
      <c r="B18" s="24" t="n">
        <v>39</v>
      </c>
    </row>
    <row r="19">
      <c r="A19" s="6" t="inlineStr">
        <is>
          <t>Coach (Athletic)</t>
        </is>
      </c>
      <c r="B19" s="24" t="n">
        <v>27.1</v>
      </c>
    </row>
    <row r="20">
      <c r="A20" s="6" t="inlineStr">
        <is>
          <t>Facilities-Custodial/Maintenance</t>
        </is>
      </c>
      <c r="B20" s="24" t="n">
        <v>20.5</v>
      </c>
    </row>
    <row r="21">
      <c r="A21" s="6" t="inlineStr">
        <is>
          <t>Special Education Teacher</t>
        </is>
      </c>
      <c r="B21" s="24" t="n">
        <v>20.1</v>
      </c>
    </row>
    <row r="22">
      <c r="A22" s="6" t="inlineStr">
        <is>
          <t>Administrative Assistant/Secretary</t>
        </is>
      </c>
      <c r="B22" s="24" t="n">
        <v>17.5</v>
      </c>
    </row>
    <row r="23">
      <c r="A23" s="6" t="inlineStr">
        <is>
          <t>Teacher Support Team Member</t>
        </is>
      </c>
      <c r="B23" s="24" t="n">
        <v>17</v>
      </c>
    </row>
    <row r="24">
      <c r="A24" s="6" t="inlineStr">
        <is>
          <t>Student Monitor</t>
        </is>
      </c>
      <c r="B24" s="24" t="n">
        <v>16.5</v>
      </c>
    </row>
    <row r="25">
      <c r="A25" s="6" t="inlineStr">
        <is>
          <t>Ed Tech II</t>
        </is>
      </c>
      <c r="B25" s="24" t="n">
        <v>12</v>
      </c>
    </row>
    <row r="26">
      <c r="A26" s="6" t="inlineStr">
        <is>
          <t>Food Service Staff</t>
        </is>
      </c>
      <c r="B26" s="24" t="n">
        <v>10.6</v>
      </c>
    </row>
    <row r="27">
      <c r="A27" s="6" t="inlineStr">
        <is>
          <t>School Counselor</t>
        </is>
      </c>
      <c r="B27" s="24" t="n">
        <v>7.5</v>
      </c>
    </row>
    <row r="28">
      <c r="A28" s="6" t="inlineStr">
        <is>
          <t>School Social Worker</t>
        </is>
      </c>
      <c r="B28" s="24" t="n">
        <v>6.9</v>
      </c>
    </row>
    <row r="29">
      <c r="A29" s="6" t="inlineStr">
        <is>
          <t>Bus Driver</t>
        </is>
      </c>
      <c r="B29" s="24" t="n">
        <v>6.5</v>
      </c>
    </row>
    <row r="30">
      <c r="A30" s="6" t="inlineStr">
        <is>
          <t>Principal</t>
        </is>
      </c>
      <c r="B30" s="24" t="n">
        <v>6</v>
      </c>
    </row>
    <row r="31">
      <c r="A31" s="6" t="inlineStr">
        <is>
          <t>Nurse</t>
        </is>
      </c>
      <c r="B31" s="24" t="n">
        <v>5.8</v>
      </c>
    </row>
    <row r="32">
      <c r="A32" s="6" t="inlineStr">
        <is>
          <t>Speech - Language Pathologist</t>
        </is>
      </c>
      <c r="B32" s="24" t="n">
        <v>5.1</v>
      </c>
    </row>
    <row r="33">
      <c r="A33" s="6" t="inlineStr">
        <is>
          <t>Librarian/Media Specialist</t>
        </is>
      </c>
      <c r="B33" s="24" t="n">
        <v>5</v>
      </c>
    </row>
    <row r="34">
      <c r="A34" s="6" t="inlineStr">
        <is>
          <t>Food Service Manager I</t>
        </is>
      </c>
      <c r="B34" s="24" t="n">
        <v>5</v>
      </c>
    </row>
    <row r="35">
      <c r="A35" s="6" t="inlineStr">
        <is>
          <t>Assistant Principal</t>
        </is>
      </c>
      <c r="B35" s="24" t="n">
        <v>4</v>
      </c>
    </row>
    <row r="36">
      <c r="A36" s="6" t="inlineStr">
        <is>
          <t>Ed Tech I</t>
        </is>
      </c>
      <c r="B36" s="24" t="n">
        <v>4</v>
      </c>
    </row>
    <row r="37">
      <c r="A37" s="6" t="inlineStr">
        <is>
          <t>Instructional Coach</t>
        </is>
      </c>
      <c r="B37" s="24" t="n">
        <v>4</v>
      </c>
    </row>
    <row r="38">
      <c r="A38" s="6" t="inlineStr">
        <is>
          <t>JMG Skills Instructor</t>
        </is>
      </c>
      <c r="B38" s="24" t="n">
        <v>3</v>
      </c>
    </row>
    <row r="39">
      <c r="A39" s="6" t="inlineStr">
        <is>
          <t>Literacy Specialist</t>
        </is>
      </c>
      <c r="B39" s="24" t="n">
        <v>3</v>
      </c>
    </row>
    <row r="40">
      <c r="A40" s="6" t="inlineStr">
        <is>
          <t>Title I Teacher</t>
        </is>
      </c>
      <c r="B40" s="24" t="n">
        <v>3</v>
      </c>
    </row>
    <row r="41">
      <c r="A41" s="6" t="inlineStr">
        <is>
          <t>English Language Learner Teacher</t>
        </is>
      </c>
      <c r="B41" s="24" t="n">
        <v>3</v>
      </c>
    </row>
    <row r="42">
      <c r="A42" s="6" t="inlineStr">
        <is>
          <t>Computer Maintenance</t>
        </is>
      </c>
      <c r="B42" s="24" t="n">
        <v>3</v>
      </c>
    </row>
    <row r="43">
      <c r="A43" s="6" t="inlineStr">
        <is>
          <t>Occupational Therapist</t>
        </is>
      </c>
      <c r="B43" s="24" t="n">
        <v>2.8</v>
      </c>
    </row>
    <row r="44">
      <c r="A44" s="6" t="inlineStr">
        <is>
          <t>Gifted and Talented (GT) Teacher</t>
        </is>
      </c>
      <c r="B44" s="24" t="n">
        <v>2.8</v>
      </c>
    </row>
    <row r="45">
      <c r="A45" s="6" t="inlineStr">
        <is>
          <t>Bookkeeper</t>
        </is>
      </c>
      <c r="B45" s="24" t="n">
        <v>2</v>
      </c>
    </row>
    <row r="46">
      <c r="A46" s="6" t="inlineStr">
        <is>
          <t>Facilities-Buildings &amp; Grounds Supervisor</t>
        </is>
      </c>
      <c r="B46" s="24" t="n">
        <v>2</v>
      </c>
    </row>
    <row r="47">
      <c r="A47" s="6" t="inlineStr">
        <is>
          <t>Van Driver</t>
        </is>
      </c>
      <c r="B47" s="24" t="n">
        <v>2</v>
      </c>
    </row>
    <row r="48">
      <c r="A48" s="6" t="inlineStr">
        <is>
          <t>School Psychologist</t>
        </is>
      </c>
      <c r="B48" s="24" t="n">
        <v>1.2</v>
      </c>
    </row>
    <row r="49">
      <c r="A49" s="6" t="inlineStr">
        <is>
          <t>School Resource Officer</t>
        </is>
      </c>
      <c r="B49" s="24" t="n">
        <v>1</v>
      </c>
    </row>
    <row r="50">
      <c r="A50" s="6" t="inlineStr">
        <is>
          <t>Adult Education Director</t>
        </is>
      </c>
      <c r="B50" s="24" t="n">
        <v>1</v>
      </c>
    </row>
    <row r="51">
      <c r="A51" s="6" t="inlineStr">
        <is>
          <t>Athletic Director</t>
        </is>
      </c>
      <c r="B51" s="24" t="n">
        <v>1</v>
      </c>
    </row>
    <row r="52">
      <c r="A52" s="6" t="inlineStr">
        <is>
          <t>Athletic Trainer</t>
        </is>
      </c>
      <c r="B52" s="24" t="n">
        <v>1</v>
      </c>
    </row>
    <row r="53">
      <c r="A53" s="6" t="inlineStr">
        <is>
          <t>Bus Mechanic</t>
        </is>
      </c>
      <c r="B53" s="24" t="n">
        <v>1</v>
      </c>
    </row>
    <row r="54">
      <c r="A54" s="6" t="inlineStr">
        <is>
          <t>Business Administrator/Manager</t>
        </is>
      </c>
      <c r="B54" s="24" t="n">
        <v>1</v>
      </c>
    </row>
    <row r="55">
      <c r="A55" s="6" t="inlineStr">
        <is>
          <t>Community Outreach and ELO Coordinator</t>
        </is>
      </c>
      <c r="B55" s="24" t="n">
        <v>1</v>
      </c>
    </row>
    <row r="56">
      <c r="A56" s="6" t="inlineStr">
        <is>
          <t>Data Specialist</t>
        </is>
      </c>
      <c r="B56" s="24" t="n">
        <v>1</v>
      </c>
    </row>
    <row r="57">
      <c r="A57" s="6" t="inlineStr">
        <is>
          <t>Dir/Sup of Transportation</t>
        </is>
      </c>
      <c r="B57" s="24" t="n">
        <v>1</v>
      </c>
    </row>
    <row r="58">
      <c r="A58" s="6" t="inlineStr">
        <is>
          <t>Director of Technology</t>
        </is>
      </c>
      <c r="B58" s="24" t="n">
        <v>1</v>
      </c>
    </row>
    <row r="59">
      <c r="A59" s="6" t="inlineStr">
        <is>
          <t>Director/Supervisor Assistant of Food Service</t>
        </is>
      </c>
      <c r="B59" s="24" t="n">
        <v>1</v>
      </c>
    </row>
    <row r="60">
      <c r="A60" s="6" t="inlineStr">
        <is>
          <t>Employment Coordinator</t>
        </is>
      </c>
      <c r="B60" s="24" t="n">
        <v>1</v>
      </c>
    </row>
    <row r="61">
      <c r="A61" s="6" t="inlineStr">
        <is>
          <t>Facilities-Director/Manager</t>
        </is>
      </c>
      <c r="B61" s="24" t="n">
        <v>1</v>
      </c>
    </row>
    <row r="62">
      <c r="A62" s="6" t="inlineStr">
        <is>
          <t>Special Education Director</t>
        </is>
      </c>
      <c r="B62" s="24" t="n">
        <v>1</v>
      </c>
    </row>
    <row r="63">
      <c r="A63" s="6" t="inlineStr">
        <is>
          <t>Superintendent of Schools</t>
        </is>
      </c>
      <c r="B63" s="24" t="n">
        <v>1</v>
      </c>
    </row>
    <row r="64">
      <c r="A64" s="6" t="inlineStr">
        <is>
          <t>Ed Tech III - Library/Media</t>
        </is>
      </c>
      <c r="B64" s="24" t="n">
        <v>0.9</v>
      </c>
    </row>
    <row r="65">
      <c r="A65" s="6" t="inlineStr">
        <is>
          <t>Physical Therapist</t>
        </is>
      </c>
      <c r="B65" s="24" t="n">
        <v>0.7</v>
      </c>
    </row>
    <row r="66">
      <c r="A66" s="6" t="inlineStr">
        <is>
          <t>Asst Superintendent of Schools</t>
        </is>
      </c>
      <c r="B66" s="24" t="n">
        <v>0.6</v>
      </c>
    </row>
    <row r="67">
      <c r="A67" s="6" t="inlineStr">
        <is>
          <t>Curriculum Coordinator</t>
        </is>
      </c>
      <c r="B67" s="24" t="n">
        <v>0.4</v>
      </c>
    </row>
    <row r="68">
      <c r="A68" s="6" t="inlineStr">
        <is>
          <t>Board Certified Behavior Analyst</t>
        </is>
      </c>
      <c r="B68" s="24" t="n">
        <v>0.1</v>
      </c>
    </row>
    <row r="70">
      <c r="A70" s="13" t="inlineStr">
        <is>
          <t>Source: Maine DOE Staff Historical Data (Dec 1 snapshots)</t>
        </is>
      </c>
    </row>
    <row r="71">
      <c r="A71" s="13" t="inlineStr">
        <is>
          <t>MDohle RSU 5 Staff by FTE.xlsx</t>
        </is>
      </c>
    </row>
  </sheetData>
  <mergeCells count="2">
    <mergeCell ref="A71:F71"/>
    <mergeCell ref="A70:F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INPUT: Budget History (from FY24 Handbook)</t>
        </is>
      </c>
    </row>
    <row r="3">
      <c r="A3" s="2" t="inlineStr">
        <is>
          <t>Using history from FY27 handbook (FY24 had none)</t>
        </is>
      </c>
    </row>
    <row r="4">
      <c r="A4" s="5" t="inlineStr">
        <is>
          <t>Fiscal Year</t>
        </is>
      </c>
      <c r="B4" s="5" t="inlineStr">
        <is>
          <t>Adopted Budget</t>
        </is>
      </c>
      <c r="C4" s="5" t="inlineStr">
        <is>
          <t>Difference</t>
        </is>
      </c>
      <c r="D4" s="5" t="inlineStr">
        <is>
          <t>% Increase</t>
        </is>
      </c>
    </row>
    <row r="5">
      <c r="A5" s="21" t="inlineStr">
        <is>
          <t>FY17</t>
        </is>
      </c>
      <c r="B5" s="15" t="n">
        <v>31008672</v>
      </c>
      <c r="C5" s="15" t="n">
        <v>1518469</v>
      </c>
      <c r="D5" s="25" t="n">
        <v>0.0515</v>
      </c>
    </row>
    <row r="6">
      <c r="A6" s="21" t="inlineStr">
        <is>
          <t>FY18</t>
        </is>
      </c>
      <c r="B6" s="15" t="n">
        <v>32310685</v>
      </c>
      <c r="C6" s="15" t="n">
        <v>1302013</v>
      </c>
      <c r="D6" s="25" t="n">
        <v>0.042</v>
      </c>
    </row>
    <row r="7">
      <c r="A7" s="21" t="inlineStr">
        <is>
          <t>FY19</t>
        </is>
      </c>
      <c r="B7" s="15" t="n">
        <v>33058025</v>
      </c>
      <c r="C7" s="15" t="n">
        <v>747340</v>
      </c>
      <c r="D7" s="25" t="n">
        <v>0.0231</v>
      </c>
    </row>
    <row r="8">
      <c r="A8" s="21" t="inlineStr">
        <is>
          <t>FY20</t>
        </is>
      </c>
      <c r="B8" s="15" t="n">
        <v>34192295</v>
      </c>
      <c r="C8" s="15" t="n">
        <v>1134270</v>
      </c>
      <c r="D8" s="25" t="n">
        <v>0.0343</v>
      </c>
    </row>
    <row r="9">
      <c r="A9" s="21" t="inlineStr">
        <is>
          <t>FY21</t>
        </is>
      </c>
      <c r="B9" s="15" t="n">
        <v>34984700</v>
      </c>
      <c r="C9" s="15" t="n">
        <v>792405</v>
      </c>
      <c r="D9" s="25" t="n">
        <v>0.0232</v>
      </c>
    </row>
    <row r="10">
      <c r="A10" s="21" t="inlineStr">
        <is>
          <t>FY22</t>
        </is>
      </c>
      <c r="B10" s="15" t="n">
        <v>35714863</v>
      </c>
      <c r="C10" s="15" t="n">
        <v>730163</v>
      </c>
      <c r="D10" s="25" t="n">
        <v>0.0209</v>
      </c>
    </row>
    <row r="11">
      <c r="A11" s="21" t="inlineStr">
        <is>
          <t>FY23</t>
        </is>
      </c>
      <c r="B11" s="15" t="n">
        <v>37223151</v>
      </c>
      <c r="C11" s="15" t="n">
        <v>1508288</v>
      </c>
      <c r="D11" s="25" t="n">
        <v>0.04219999999999999</v>
      </c>
    </row>
    <row r="12">
      <c r="A12" s="21" t="inlineStr">
        <is>
          <t>FY24</t>
        </is>
      </c>
      <c r="B12" s="15" t="n">
        <v>39080569</v>
      </c>
      <c r="C12" s="15" t="n">
        <v>1857418</v>
      </c>
      <c r="D12" s="25" t="n">
        <v>0.0499</v>
      </c>
    </row>
    <row r="13">
      <c r="A13" s="21" t="inlineStr">
        <is>
          <t>FY25</t>
        </is>
      </c>
      <c r="B13" s="15" t="n">
        <v>41612460</v>
      </c>
      <c r="C13" s="15" t="n">
        <v>2531891</v>
      </c>
      <c r="D13" s="25" t="n">
        <v>0.06480000000000001</v>
      </c>
    </row>
    <row r="14">
      <c r="A14" s="21" t="inlineStr">
        <is>
          <t>FY26</t>
        </is>
      </c>
      <c r="B14" s="15" t="n">
        <v>44455929</v>
      </c>
      <c r="C14" s="15" t="n">
        <v>2843469</v>
      </c>
      <c r="D14" s="25" t="n">
        <v>0.0683</v>
      </c>
    </row>
    <row r="16">
      <c r="A16" s="13" t="inlineStr">
        <is>
          <t>Source: RSU 5 Superintendent's Budget Handbook</t>
        </is>
      </c>
    </row>
    <row r="17">
      <c r="A17" s="13" t="inlineStr">
        <is>
          <t>10-Year Adopted Budget History table</t>
        </is>
      </c>
    </row>
  </sheetData>
  <mergeCells count="2">
    <mergeCell ref="A16:F16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CALC: Budget Growth Trends by Article</t>
        </is>
      </c>
    </row>
    <row r="2">
      <c r="A2" s="13" t="inlineStr">
        <is>
          <t>Article totals computed independently from parsed line-item data.</t>
        </is>
      </c>
    </row>
    <row r="3">
      <c r="A3" s="13" t="inlineStr">
        <is>
          <t>Growth and CAGR computed via Excel formulas.</t>
        </is>
      </c>
    </row>
    <row r="5">
      <c r="A5" s="5" t="inlineStr">
        <is>
          <t>Article</t>
        </is>
      </c>
      <c r="B5" s="5" t="inlineStr">
        <is>
          <t>FY22</t>
        </is>
      </c>
      <c r="C5" s="5" t="inlineStr">
        <is>
          <t>FY23</t>
        </is>
      </c>
      <c r="D5" s="5" t="inlineStr">
        <is>
          <t>FY24</t>
        </is>
      </c>
      <c r="E5" s="5" t="inlineStr">
        <is>
          <t>FY25</t>
        </is>
      </c>
      <c r="F5" s="5" t="inlineStr">
        <is>
          <t>FY26</t>
        </is>
      </c>
      <c r="G5" s="5" t="inlineStr">
        <is>
          <t>FY27</t>
        </is>
      </c>
      <c r="H5" s="5" t="inlineStr">
        <is>
          <t>Total Growth</t>
        </is>
      </c>
      <c r="I5" s="5" t="inlineStr">
        <is>
          <t>Avg Annual</t>
        </is>
      </c>
    </row>
    <row r="6">
      <c r="A6" s="14" t="inlineStr">
        <is>
          <t>Art 1 - Regular Instruction</t>
        </is>
      </c>
      <c r="B6" s="7" t="n">
        <v>15107880</v>
      </c>
      <c r="C6" s="7" t="n">
        <v>16356356</v>
      </c>
      <c r="D6" s="7" t="n">
        <v>17021480</v>
      </c>
      <c r="E6" s="7" t="n">
        <v>18390052</v>
      </c>
      <c r="F6" s="7" t="n">
        <v>19289106</v>
      </c>
      <c r="G6" s="7" t="n">
        <v>19860193</v>
      </c>
      <c r="H6" s="26">
        <f>IF(B6=0,0,G6/B6-1)</f>
        <v/>
      </c>
      <c r="I6" s="26">
        <f>IF(B6=0,0,(G6/B6)^(1/5)-1)</f>
        <v/>
      </c>
    </row>
    <row r="7">
      <c r="A7" s="14" t="inlineStr">
        <is>
          <t>Art 2 - Special Education</t>
        </is>
      </c>
      <c r="B7" s="7" t="n">
        <v>4688560</v>
      </c>
      <c r="C7" s="7" t="n">
        <v>4703567</v>
      </c>
      <c r="D7" s="7" t="n">
        <v>5074090</v>
      </c>
      <c r="E7" s="7" t="n">
        <v>5870507</v>
      </c>
      <c r="F7" s="7" t="n">
        <v>6513451</v>
      </c>
      <c r="G7" s="7" t="n">
        <v>7510422</v>
      </c>
      <c r="H7" s="26">
        <f>IF(B7=0,0,G7/B7-1)</f>
        <v/>
      </c>
      <c r="I7" s="26">
        <f>IF(B7=0,0,(G7/B7)^(1/5)-1)</f>
        <v/>
      </c>
    </row>
    <row r="8">
      <c r="A8" s="14" t="inlineStr">
        <is>
          <t>Art 3 - Career &amp; Technical Education</t>
        </is>
      </c>
      <c r="B8" s="7" t="n">
        <v>101706</v>
      </c>
      <c r="C8" s="7" t="n">
        <v>29.11</v>
      </c>
      <c r="D8" s="14" t="n"/>
      <c r="E8" s="7" t="n">
        <v>289668</v>
      </c>
      <c r="F8" s="7" t="n">
        <v>17977</v>
      </c>
      <c r="G8" s="7" t="n">
        <v>337282</v>
      </c>
      <c r="H8" s="26">
        <f>IF(B8=0,0,G8/B8-1)</f>
        <v/>
      </c>
      <c r="I8" s="26">
        <f>IF(B8=0,0,(G8/B8)^(1/5)-1)</f>
        <v/>
      </c>
    </row>
    <row r="9">
      <c r="A9" s="14" t="inlineStr">
        <is>
          <t>Art 4 - Other Instruction</t>
        </is>
      </c>
      <c r="B9" s="7" t="n">
        <v>832340</v>
      </c>
      <c r="C9" s="7" t="n">
        <v>856841</v>
      </c>
      <c r="D9" s="7" t="n">
        <v>1015667</v>
      </c>
      <c r="E9" s="7" t="n">
        <v>1006604</v>
      </c>
      <c r="F9" s="7" t="n">
        <v>1090110</v>
      </c>
      <c r="G9" s="7" t="n">
        <v>1142974</v>
      </c>
      <c r="H9" s="26">
        <f>IF(B9=0,0,G9/B9-1)</f>
        <v/>
      </c>
      <c r="I9" s="26">
        <f>IF(B9=0,0,(G9/B9)^(1/5)-1)</f>
        <v/>
      </c>
    </row>
    <row r="10">
      <c r="A10" s="14" t="inlineStr">
        <is>
          <t>Art 5 - Student &amp; Staff Support</t>
        </is>
      </c>
      <c r="B10" s="7" t="n">
        <v>3160872</v>
      </c>
      <c r="C10" s="7" t="n">
        <v>3594807</v>
      </c>
      <c r="D10" s="7" t="n">
        <v>3822402</v>
      </c>
      <c r="E10" s="7" t="n">
        <v>4371246</v>
      </c>
      <c r="F10" s="7" t="n">
        <v>4644307</v>
      </c>
      <c r="G10" s="7" t="n">
        <v>4906366</v>
      </c>
      <c r="H10" s="26">
        <f>IF(B10=0,0,G10/B10-1)</f>
        <v/>
      </c>
      <c r="I10" s="26">
        <f>IF(B10=0,0,(G10/B10)^(1/5)-1)</f>
        <v/>
      </c>
    </row>
    <row r="11">
      <c r="A11" s="14" t="inlineStr">
        <is>
          <t>Art 6 - System Administration</t>
        </is>
      </c>
      <c r="B11" s="7" t="n">
        <v>1013211</v>
      </c>
      <c r="C11" s="7" t="n">
        <v>990353</v>
      </c>
      <c r="D11" s="7" t="n">
        <v>1021441</v>
      </c>
      <c r="E11" s="7" t="n">
        <v>1179440</v>
      </c>
      <c r="F11" s="7" t="n">
        <v>1263587</v>
      </c>
      <c r="G11" s="7" t="n">
        <v>1308008</v>
      </c>
      <c r="H11" s="26">
        <f>IF(B11=0,0,G11/B11-1)</f>
        <v/>
      </c>
      <c r="I11" s="26">
        <f>IF(B11=0,0,(G11/B11)^(1/5)-1)</f>
        <v/>
      </c>
    </row>
    <row r="12">
      <c r="A12" s="14" t="inlineStr">
        <is>
          <t>Art 7 - School Administration</t>
        </is>
      </c>
      <c r="B12" s="7" t="n">
        <v>1727711</v>
      </c>
      <c r="C12" s="7" t="n">
        <v>1942616</v>
      </c>
      <c r="D12" s="7" t="n">
        <v>2067029</v>
      </c>
      <c r="E12" s="7" t="n">
        <v>2342210</v>
      </c>
      <c r="F12" s="7" t="n">
        <v>2514485</v>
      </c>
      <c r="G12" s="7" t="n">
        <v>2638024</v>
      </c>
      <c r="H12" s="26">
        <f>IF(B12=0,0,G12/B12-1)</f>
        <v/>
      </c>
      <c r="I12" s="26">
        <f>IF(B12=0,0,(G12/B12)^(1/5)-1)</f>
        <v/>
      </c>
    </row>
    <row r="13">
      <c r="A13" s="14" t="inlineStr">
        <is>
          <t>Art 8 - Transportation &amp; Buses</t>
        </is>
      </c>
      <c r="B13" s="7" t="n">
        <v>1473419</v>
      </c>
      <c r="C13" s="7" t="n">
        <v>1438023</v>
      </c>
      <c r="D13" s="7" t="n">
        <v>1551608</v>
      </c>
      <c r="E13" s="7" t="n">
        <v>1586682</v>
      </c>
      <c r="F13" s="7" t="n">
        <v>1931576</v>
      </c>
      <c r="G13" s="7" t="n">
        <v>2388457</v>
      </c>
      <c r="H13" s="26">
        <f>IF(B13=0,0,G13/B13-1)</f>
        <v/>
      </c>
      <c r="I13" s="26">
        <f>IF(B13=0,0,(G13/B13)^(1/5)-1)</f>
        <v/>
      </c>
    </row>
    <row r="14">
      <c r="A14" s="14" t="inlineStr">
        <is>
          <t>Art 9 - Facilities &amp; Maintenance</t>
        </is>
      </c>
      <c r="B14" s="7" t="n">
        <v>5028523</v>
      </c>
      <c r="C14" s="7" t="n">
        <v>5100232</v>
      </c>
      <c r="D14" s="7" t="n">
        <v>5167753.71</v>
      </c>
      <c r="E14" s="7" t="n">
        <v>5139408</v>
      </c>
      <c r="F14" s="7" t="n">
        <v>5490511</v>
      </c>
      <c r="G14" s="7" t="n">
        <v>5993777</v>
      </c>
      <c r="H14" s="26">
        <f>IF(B14=0,0,G14/B14-1)</f>
        <v/>
      </c>
      <c r="I14" s="26">
        <f>IF(B14=0,0,(G14/B14)^(1/5)-1)</f>
        <v/>
      </c>
    </row>
    <row r="15">
      <c r="A15" s="14" t="inlineStr">
        <is>
          <t>Art 10 - Debt Service</t>
        </is>
      </c>
      <c r="B15" s="7" t="n">
        <v>1427247</v>
      </c>
      <c r="C15" s="7" t="n">
        <v>-27346</v>
      </c>
      <c r="D15" s="7" t="n">
        <v>-42208</v>
      </c>
      <c r="E15" s="7" t="n">
        <v>1111064</v>
      </c>
      <c r="F15" s="7" t="n">
        <v>1087428</v>
      </c>
      <c r="G15" s="7" t="n">
        <v>1071577</v>
      </c>
      <c r="H15" s="26">
        <f>IF(B15=0,0,G15/B15-1)</f>
        <v/>
      </c>
      <c r="I15" s="26">
        <f>IF(B15=0,0,(G15/B15)^(1/5)-1)</f>
        <v/>
      </c>
    </row>
    <row r="16">
      <c r="A16" s="14" t="inlineStr">
        <is>
          <t>Art 11 - All Other Expenses</t>
        </is>
      </c>
      <c r="B16" s="7" t="n">
        <v>294645</v>
      </c>
      <c r="C16" s="14" t="n"/>
      <c r="D16" s="14" t="n"/>
      <c r="E16" s="7" t="n">
        <v>185334</v>
      </c>
      <c r="F16" s="7" t="n">
        <v>139591</v>
      </c>
      <c r="G16" s="7" t="n">
        <v>69796</v>
      </c>
      <c r="H16" s="26">
        <f>IF(B16=0,0,G16/B16-1)</f>
        <v/>
      </c>
      <c r="I16" s="26">
        <f>IF(B16=0,0,(G16/B16)^(1/5)-1)</f>
        <v/>
      </c>
    </row>
    <row r="17">
      <c r="A17" s="17" t="inlineStr">
        <is>
          <t>TOTAL EXPENDITURES</t>
        </is>
      </c>
      <c r="B17" s="18">
        <f>B6+B7+B8+B9+B10+B11+B12+B13+B14+B15+B16</f>
        <v/>
      </c>
      <c r="C17" s="18">
        <f>C6+C7+C8+C9+C10+C11+C12+C13+C14+C15+C16</f>
        <v/>
      </c>
      <c r="D17" s="18">
        <f>D6+D7+D8+D9+D10+D11+D12+D13+D14+D15+D16</f>
        <v/>
      </c>
      <c r="E17" s="18">
        <f>E6+E7+E8+E9+E10+E11+E12+E13+E14+E15+E16</f>
        <v/>
      </c>
      <c r="F17" s="18">
        <f>F6+F7+F8+F9+F10+F11+F12+F13+F14+F15+F16</f>
        <v/>
      </c>
      <c r="G17" s="18">
        <f>G6+G7+G8+G9+G10+G11+G12+G13+G14+G15+G16</f>
        <v/>
      </c>
      <c r="H17" s="27">
        <f>IF(B17=0,0,G17/B17-1)</f>
        <v/>
      </c>
      <c r="I17" s="27">
        <f>IF(B17=0,0,(G17/B17)^(1/5)-1)</f>
        <v/>
      </c>
    </row>
    <row r="19">
      <c r="A19" s="3" t="inlineStr">
        <is>
          <t>Year-over-Year Growth Rate</t>
        </is>
      </c>
    </row>
    <row r="20">
      <c r="A20" s="5" t="inlineStr">
        <is>
          <t>Article</t>
        </is>
      </c>
      <c r="B20" s="5" t="inlineStr">
        <is>
          <t>FY23</t>
        </is>
      </c>
      <c r="C20" s="5" t="inlineStr">
        <is>
          <t>FY24</t>
        </is>
      </c>
      <c r="D20" s="5" t="inlineStr">
        <is>
          <t>FY25</t>
        </is>
      </c>
      <c r="E20" s="5" t="inlineStr">
        <is>
          <t>FY26</t>
        </is>
      </c>
      <c r="F20" s="5" t="inlineStr">
        <is>
          <t>FY27</t>
        </is>
      </c>
    </row>
    <row r="21">
      <c r="A21" s="14" t="inlineStr">
        <is>
          <t>Art 1</t>
        </is>
      </c>
      <c r="B21" s="26">
        <f>IF(B6=0,0,C6/B6-1)</f>
        <v/>
      </c>
      <c r="C21" s="26">
        <f>IF(C6=0,0,D6/C6-1)</f>
        <v/>
      </c>
      <c r="D21" s="26">
        <f>IF(D6=0,0,E6/D6-1)</f>
        <v/>
      </c>
      <c r="E21" s="26">
        <f>IF(E6=0,0,F6/E6-1)</f>
        <v/>
      </c>
      <c r="F21" s="26">
        <f>IF(F6=0,0,G6/F6-1)</f>
        <v/>
      </c>
    </row>
    <row r="22">
      <c r="A22" s="14" t="inlineStr">
        <is>
          <t>Art 2</t>
        </is>
      </c>
      <c r="B22" s="26">
        <f>IF(B7=0,0,C7/B7-1)</f>
        <v/>
      </c>
      <c r="C22" s="26">
        <f>IF(C7=0,0,D7/C7-1)</f>
        <v/>
      </c>
      <c r="D22" s="26">
        <f>IF(D7=0,0,E7/D7-1)</f>
        <v/>
      </c>
      <c r="E22" s="26">
        <f>IF(E7=0,0,F7/E7-1)</f>
        <v/>
      </c>
      <c r="F22" s="26">
        <f>IF(F7=0,0,G7/F7-1)</f>
        <v/>
      </c>
    </row>
    <row r="23">
      <c r="A23" s="14" t="inlineStr">
        <is>
          <t>Art 3</t>
        </is>
      </c>
      <c r="B23" s="26">
        <f>IF(B8=0,0,C8/B8-1)</f>
        <v/>
      </c>
      <c r="C23" s="26">
        <f>IF(C8=0,0,D8/C8-1)</f>
        <v/>
      </c>
      <c r="D23" s="26">
        <f>IF(D8=0,0,E8/D8-1)</f>
        <v/>
      </c>
      <c r="E23" s="26">
        <f>IF(E8=0,0,F8/E8-1)</f>
        <v/>
      </c>
      <c r="F23" s="26">
        <f>IF(F8=0,0,G8/F8-1)</f>
        <v/>
      </c>
    </row>
    <row r="24">
      <c r="A24" s="14" t="inlineStr">
        <is>
          <t>Art 4</t>
        </is>
      </c>
      <c r="B24" s="26">
        <f>IF(B9=0,0,C9/B9-1)</f>
        <v/>
      </c>
      <c r="C24" s="26">
        <f>IF(C9=0,0,D9/C9-1)</f>
        <v/>
      </c>
      <c r="D24" s="26">
        <f>IF(D9=0,0,E9/D9-1)</f>
        <v/>
      </c>
      <c r="E24" s="26">
        <f>IF(E9=0,0,F9/E9-1)</f>
        <v/>
      </c>
      <c r="F24" s="26">
        <f>IF(F9=0,0,G9/F9-1)</f>
        <v/>
      </c>
    </row>
    <row r="25">
      <c r="A25" s="14" t="inlineStr">
        <is>
          <t>Art 5</t>
        </is>
      </c>
      <c r="B25" s="26">
        <f>IF(B10=0,0,C10/B10-1)</f>
        <v/>
      </c>
      <c r="C25" s="26">
        <f>IF(C10=0,0,D10/C10-1)</f>
        <v/>
      </c>
      <c r="D25" s="26">
        <f>IF(D10=0,0,E10/D10-1)</f>
        <v/>
      </c>
      <c r="E25" s="26">
        <f>IF(E10=0,0,F10/E10-1)</f>
        <v/>
      </c>
      <c r="F25" s="26">
        <f>IF(F10=0,0,G10/F10-1)</f>
        <v/>
      </c>
    </row>
    <row r="26">
      <c r="A26" s="14" t="inlineStr">
        <is>
          <t>Art 6</t>
        </is>
      </c>
      <c r="B26" s="26">
        <f>IF(B11=0,0,C11/B11-1)</f>
        <v/>
      </c>
      <c r="C26" s="26">
        <f>IF(C11=0,0,D11/C11-1)</f>
        <v/>
      </c>
      <c r="D26" s="26">
        <f>IF(D11=0,0,E11/D11-1)</f>
        <v/>
      </c>
      <c r="E26" s="26">
        <f>IF(E11=0,0,F11/E11-1)</f>
        <v/>
      </c>
      <c r="F26" s="26">
        <f>IF(F11=0,0,G11/F11-1)</f>
        <v/>
      </c>
    </row>
    <row r="27">
      <c r="A27" s="14" t="inlineStr">
        <is>
          <t>Art 7</t>
        </is>
      </c>
      <c r="B27" s="26">
        <f>IF(B12=0,0,C12/B12-1)</f>
        <v/>
      </c>
      <c r="C27" s="26">
        <f>IF(C12=0,0,D12/C12-1)</f>
        <v/>
      </c>
      <c r="D27" s="26">
        <f>IF(D12=0,0,E12/D12-1)</f>
        <v/>
      </c>
      <c r="E27" s="26">
        <f>IF(E12=0,0,F12/E12-1)</f>
        <v/>
      </c>
      <c r="F27" s="26">
        <f>IF(F12=0,0,G12/F12-1)</f>
        <v/>
      </c>
    </row>
    <row r="28">
      <c r="A28" s="14" t="inlineStr">
        <is>
          <t>Art 8</t>
        </is>
      </c>
      <c r="B28" s="26">
        <f>IF(B13=0,0,C13/B13-1)</f>
        <v/>
      </c>
      <c r="C28" s="26">
        <f>IF(C13=0,0,D13/C13-1)</f>
        <v/>
      </c>
      <c r="D28" s="26">
        <f>IF(D13=0,0,E13/D13-1)</f>
        <v/>
      </c>
      <c r="E28" s="26">
        <f>IF(E13=0,0,F13/E13-1)</f>
        <v/>
      </c>
      <c r="F28" s="26">
        <f>IF(F13=0,0,G13/F13-1)</f>
        <v/>
      </c>
    </row>
    <row r="29">
      <c r="A29" s="14" t="inlineStr">
        <is>
          <t>Art 9</t>
        </is>
      </c>
      <c r="B29" s="26">
        <f>IF(B14=0,0,C14/B14-1)</f>
        <v/>
      </c>
      <c r="C29" s="26">
        <f>IF(C14=0,0,D14/C14-1)</f>
        <v/>
      </c>
      <c r="D29" s="26">
        <f>IF(D14=0,0,E14/D14-1)</f>
        <v/>
      </c>
      <c r="E29" s="26">
        <f>IF(E14=0,0,F14/E14-1)</f>
        <v/>
      </c>
      <c r="F29" s="26">
        <f>IF(F14=0,0,G14/F14-1)</f>
        <v/>
      </c>
    </row>
    <row r="30">
      <c r="A30" s="14" t="inlineStr">
        <is>
          <t>Art 10</t>
        </is>
      </c>
      <c r="B30" s="26">
        <f>IF(B15=0,0,C15/B15-1)</f>
        <v/>
      </c>
      <c r="C30" s="26">
        <f>IF(C15=0,0,D15/C15-1)</f>
        <v/>
      </c>
      <c r="D30" s="26">
        <f>IF(D15=0,0,E15/D15-1)</f>
        <v/>
      </c>
      <c r="E30" s="26">
        <f>IF(E15=0,0,F15/E15-1)</f>
        <v/>
      </c>
      <c r="F30" s="26">
        <f>IF(F15=0,0,G15/F15-1)</f>
        <v/>
      </c>
    </row>
    <row r="31">
      <c r="A31" s="14" t="inlineStr">
        <is>
          <t>Art 11</t>
        </is>
      </c>
      <c r="B31" s="26">
        <f>IF(B16=0,0,C16/B16-1)</f>
        <v/>
      </c>
      <c r="C31" s="26">
        <f>IF(C16=0,0,D16/C16-1)</f>
        <v/>
      </c>
      <c r="D31" s="26">
        <f>IF(D16=0,0,E16/D16-1)</f>
        <v/>
      </c>
      <c r="E31" s="26">
        <f>IF(E16=0,0,F16/E16-1)</f>
        <v/>
      </c>
      <c r="F31" s="26">
        <f>IF(F16=0,0,G16/F16-1)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Cost Per Student (FY24)</t>
        </is>
      </c>
    </row>
    <row r="3">
      <c r="A3" s="2" t="inlineStr">
        <is>
          <t>No enrollment data available for cost-per-student analysis.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1 - Regular Instruction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1000.1100.1000.51010.010</t>
        </is>
      </c>
      <c r="B7" s="6" t="inlineStr">
        <is>
          <t>Teacher Salary</t>
        </is>
      </c>
      <c r="C7" s="24" t="n">
        <v>1688519.83</v>
      </c>
      <c r="D7" s="24" t="n">
        <v>1921742.54</v>
      </c>
      <c r="E7" s="24" t="n">
        <v>1791633.18</v>
      </c>
      <c r="F7" s="24" t="n">
        <v>2060580</v>
      </c>
      <c r="G7" s="24" t="n">
        <v>2179945</v>
      </c>
      <c r="H7" s="24">
        <f>G7-F7</f>
        <v/>
      </c>
      <c r="I7" s="8">
        <f>IF(F7=0,0,G7/F7-1)</f>
        <v/>
      </c>
    </row>
    <row r="8">
      <c r="A8" s="6" t="inlineStr">
        <is>
          <t>1000.1100.1000.51020.010</t>
        </is>
      </c>
      <c r="B8" s="6" t="inlineStr">
        <is>
          <t>Ed Tech Salaries</t>
        </is>
      </c>
      <c r="C8" s="24" t="n">
        <v>86416.39</v>
      </c>
      <c r="D8" s="24" t="n">
        <v>127074.41</v>
      </c>
      <c r="E8" s="24" t="n">
        <v>66891.89</v>
      </c>
      <c r="F8" s="24" t="n">
        <v>89990</v>
      </c>
      <c r="G8" s="24" t="n">
        <v>86896</v>
      </c>
      <c r="H8" s="24">
        <f>G8-F8</f>
        <v/>
      </c>
      <c r="I8" s="8">
        <f>IF(F8=0,0,G8/F8-1)</f>
        <v/>
      </c>
    </row>
    <row r="9">
      <c r="A9" s="6" t="inlineStr">
        <is>
          <t>1000.1100.1000.51230.010</t>
        </is>
      </c>
      <c r="B9" s="6" t="inlineStr">
        <is>
          <t>Salaries-Subs</t>
        </is>
      </c>
      <c r="C9" s="24" t="n">
        <v>54336.2</v>
      </c>
      <c r="D9" s="24" t="n">
        <v>151065.34</v>
      </c>
      <c r="E9" s="24" t="n">
        <v>97265.92</v>
      </c>
      <c r="F9" s="24" t="n">
        <v>65000</v>
      </c>
      <c r="G9" s="24" t="n">
        <v>65000</v>
      </c>
      <c r="H9" s="24">
        <f>G9-F9</f>
        <v/>
      </c>
      <c r="I9" s="8">
        <f>IF(F9=0,0,G9/F9-1)</f>
        <v/>
      </c>
    </row>
    <row r="10">
      <c r="A10" s="6" t="inlineStr">
        <is>
          <t>1000.1100.1000.51500.010</t>
        </is>
      </c>
      <c r="B10" s="6" t="inlineStr">
        <is>
          <t>Stipends</t>
        </is>
      </c>
      <c r="C10" s="24" t="n">
        <v>1107.07</v>
      </c>
      <c r="D10" s="24" t="n">
        <v>3045.47</v>
      </c>
      <c r="E10" s="24" t="n">
        <v>0</v>
      </c>
      <c r="F10" s="24" t="n">
        <v>32870</v>
      </c>
      <c r="G10" s="24" t="n">
        <v>0</v>
      </c>
      <c r="H10" s="24">
        <f>G10-F10</f>
        <v/>
      </c>
      <c r="I10" s="8">
        <f>IF(F10=0,0,G10/F10-1)</f>
        <v/>
      </c>
    </row>
    <row r="11">
      <c r="A11" s="6" t="inlineStr">
        <is>
          <t>1000.1100.1000.52000.010</t>
        </is>
      </c>
      <c r="B11" s="6" t="inlineStr">
        <is>
          <t>Stipend Benefit</t>
        </is>
      </c>
      <c r="C11" s="24" t="n">
        <v>468.94</v>
      </c>
      <c r="D11" s="24" t="n">
        <v>4.17</v>
      </c>
      <c r="E11" s="24" t="n">
        <v>0</v>
      </c>
      <c r="F11" s="24" t="n">
        <v>422</v>
      </c>
      <c r="G11" s="24" t="n">
        <v>0</v>
      </c>
      <c r="H11" s="24">
        <f>G11-F11</f>
        <v/>
      </c>
      <c r="I11" s="8">
        <f>IF(F11=0,0,G11/F11-1)</f>
        <v/>
      </c>
    </row>
    <row r="12">
      <c r="A12" s="6" t="inlineStr">
        <is>
          <t>1000.1100.1000.52010.010</t>
        </is>
      </c>
      <c r="B12" s="6" t="inlineStr">
        <is>
          <t>Teacher Benefits</t>
        </is>
      </c>
      <c r="C12" s="24" t="n">
        <v>433144.51</v>
      </c>
      <c r="D12" s="24" t="n">
        <v>112489.65</v>
      </c>
      <c r="E12" s="24" t="n">
        <v>429365.34</v>
      </c>
      <c r="F12" s="24" t="n">
        <v>472460</v>
      </c>
      <c r="G12" s="24" t="n">
        <v>525027</v>
      </c>
      <c r="H12" s="24">
        <f>G12-F12</f>
        <v/>
      </c>
      <c r="I12" s="8">
        <f>IF(F12=0,0,G12/F12-1)</f>
        <v/>
      </c>
    </row>
    <row r="13">
      <c r="A13" s="6" t="inlineStr">
        <is>
          <t>1000.1100.1000.52020.010</t>
        </is>
      </c>
      <c r="B13" s="6" t="inlineStr">
        <is>
          <t>Ed Tech Benefits</t>
        </is>
      </c>
      <c r="C13" s="24" t="n">
        <v>33990.57</v>
      </c>
      <c r="D13" s="24" t="n">
        <v>15543.29</v>
      </c>
      <c r="E13" s="24" t="n">
        <v>24178.63</v>
      </c>
      <c r="F13" s="24" t="n">
        <v>42408</v>
      </c>
      <c r="G13" s="24" t="n">
        <v>57114</v>
      </c>
      <c r="H13" s="24">
        <f>G13-F13</f>
        <v/>
      </c>
      <c r="I13" s="8">
        <f>IF(F13=0,0,G13/F13-1)</f>
        <v/>
      </c>
    </row>
    <row r="14">
      <c r="A14" s="6" t="inlineStr">
        <is>
          <t>1000.1100.1000.52030.010</t>
        </is>
      </c>
      <c r="B14" s="6" t="inlineStr">
        <is>
          <t>Benefits-Subs</t>
        </is>
      </c>
      <c r="C14" s="24" t="n">
        <v>2416.84</v>
      </c>
      <c r="D14" s="24" t="n">
        <v>145.72</v>
      </c>
      <c r="E14" s="24" t="n">
        <v>5111.41</v>
      </c>
      <c r="F14" s="24" t="n">
        <v>1007</v>
      </c>
      <c r="G14" s="24" t="n">
        <v>1007</v>
      </c>
      <c r="H14" s="24">
        <f>G14-F14</f>
        <v/>
      </c>
      <c r="I14" s="8">
        <f>IF(F14=0,0,G14/F14-1)</f>
        <v/>
      </c>
    </row>
    <row r="15">
      <c r="A15" s="6" t="inlineStr">
        <is>
          <t>1000.1100.1000.52300.010</t>
        </is>
      </c>
      <c r="B15" s="6" t="inlineStr">
        <is>
          <t>Retirement</t>
        </is>
      </c>
      <c r="C15" s="24" t="n">
        <v>39.63</v>
      </c>
      <c r="D15" s="24" t="n">
        <v>0</v>
      </c>
      <c r="E15" s="24" t="n">
        <v>0</v>
      </c>
      <c r="F15" s="24" t="n">
        <v>1213</v>
      </c>
      <c r="G15" s="24" t="n">
        <v>0</v>
      </c>
      <c r="H15" s="24">
        <f>G15-F15</f>
        <v/>
      </c>
      <c r="I15" s="8">
        <f>IF(F15=0,0,G15/F15-1)</f>
        <v/>
      </c>
    </row>
    <row r="16">
      <c r="A16" s="6" t="inlineStr">
        <is>
          <t>1000.1100.1000.52310.010</t>
        </is>
      </c>
      <c r="B16" s="6" t="inlineStr">
        <is>
          <t>Retirement</t>
        </is>
      </c>
      <c r="C16" s="24" t="n">
        <v>70712.55</v>
      </c>
      <c r="D16" s="24" t="n">
        <v>17764.62</v>
      </c>
      <c r="E16" s="24" t="n">
        <v>74706.66</v>
      </c>
      <c r="F16" s="24" t="n">
        <v>85779</v>
      </c>
      <c r="G16" s="24" t="n">
        <v>97444</v>
      </c>
      <c r="H16" s="24">
        <f>G16-F16</f>
        <v/>
      </c>
      <c r="I16" s="8">
        <f>IF(F16=0,0,G16/F16-1)</f>
        <v/>
      </c>
    </row>
    <row r="17">
      <c r="A17" s="6" t="inlineStr">
        <is>
          <t>1000.1100.1000.52320.010</t>
        </is>
      </c>
      <c r="B17" s="6" t="inlineStr">
        <is>
          <t>Retirement</t>
        </is>
      </c>
      <c r="C17" s="24" t="n">
        <v>2827</v>
      </c>
      <c r="D17" s="24" t="n">
        <v>997.74</v>
      </c>
      <c r="E17" s="24" t="n">
        <v>2568.61</v>
      </c>
      <c r="F17" s="24" t="n">
        <v>3629</v>
      </c>
      <c r="G17" s="24" t="n">
        <v>4156</v>
      </c>
      <c r="H17" s="24">
        <f>G17-F17</f>
        <v/>
      </c>
      <c r="I17" s="8">
        <f>IF(F17=0,0,G17/F17-1)</f>
        <v/>
      </c>
    </row>
    <row r="18">
      <c r="A18" s="6" t="inlineStr">
        <is>
          <t>1000.1100.1000.52330.010</t>
        </is>
      </c>
      <c r="B18" s="6" t="inlineStr">
        <is>
          <t>Retirement</t>
        </is>
      </c>
      <c r="C18" s="24" t="n">
        <v>692.8099999999999</v>
      </c>
      <c r="D18" s="24" t="n">
        <v>819.61</v>
      </c>
      <c r="E18" s="24" t="n">
        <v>2115.59</v>
      </c>
      <c r="F18" s="24" t="n">
        <v>2704</v>
      </c>
      <c r="G18" s="24" t="n">
        <v>2704</v>
      </c>
      <c r="H18" s="24">
        <f>G18-F18</f>
        <v/>
      </c>
      <c r="I18" s="8">
        <f>IF(F18=0,0,G18/F18-1)</f>
        <v/>
      </c>
    </row>
    <row r="19">
      <c r="A19" s="6" t="inlineStr">
        <is>
          <t>1000.1100.1000.53400.010</t>
        </is>
      </c>
      <c r="B19" s="6" t="inlineStr">
        <is>
          <t>Professional Services</t>
        </is>
      </c>
      <c r="C19" s="24" t="n">
        <v>6380.39</v>
      </c>
      <c r="D19" s="24" t="n">
        <v>11369.64</v>
      </c>
      <c r="E19" s="24" t="n">
        <v>19209.98</v>
      </c>
      <c r="F19" s="24" t="n">
        <v>20586.9</v>
      </c>
      <c r="G19" s="24" t="n">
        <v>23538</v>
      </c>
      <c r="H19" s="24">
        <f>G19-F19</f>
        <v/>
      </c>
      <c r="I19" s="8">
        <f>IF(F19=0,0,G19/F19-1)</f>
        <v/>
      </c>
    </row>
    <row r="20">
      <c r="A20" s="6" t="inlineStr">
        <is>
          <t>1000.1100.1000.54300.010</t>
        </is>
      </c>
      <c r="B20" s="6" t="inlineStr">
        <is>
          <t>Copiers- Equipment Maint</t>
        </is>
      </c>
      <c r="C20" s="24" t="n">
        <v>2997.18</v>
      </c>
      <c r="D20" s="24" t="n">
        <v>15303.48</v>
      </c>
      <c r="E20" s="24" t="n">
        <v>10625.64</v>
      </c>
      <c r="F20" s="24" t="n">
        <v>11100</v>
      </c>
      <c r="G20" s="24" t="n">
        <v>15600</v>
      </c>
      <c r="H20" s="24">
        <f>G20-F20</f>
        <v/>
      </c>
      <c r="I20" s="8">
        <f>IF(F20=0,0,G20/F20-1)</f>
        <v/>
      </c>
    </row>
    <row r="21">
      <c r="A21" s="6" t="inlineStr">
        <is>
          <t>1000.1100.1000.54330.010</t>
        </is>
      </c>
      <c r="B21" s="6" t="inlineStr">
        <is>
          <t>Software</t>
        </is>
      </c>
      <c r="C21" s="24" t="n">
        <v>962.87</v>
      </c>
      <c r="D21" s="24" t="n">
        <v>1313.13</v>
      </c>
      <c r="E21" s="24" t="n">
        <v>6123.43</v>
      </c>
      <c r="F21" s="24" t="n">
        <v>9360.65</v>
      </c>
      <c r="G21" s="24" t="n">
        <v>8038</v>
      </c>
      <c r="H21" s="24">
        <f>G21-F21</f>
        <v/>
      </c>
      <c r="I21" s="8">
        <f>IF(F21=0,0,G21/F21-1)</f>
        <v/>
      </c>
    </row>
    <row r="22">
      <c r="A22" s="6" t="inlineStr">
        <is>
          <t>1000.1100.1000.55800.010</t>
        </is>
      </c>
      <c r="B22" s="6" t="inlineStr">
        <is>
          <t>Travel</t>
        </is>
      </c>
      <c r="C22" s="24" t="n">
        <v>1838.67</v>
      </c>
      <c r="D22" s="24" t="n">
        <v>326.84</v>
      </c>
      <c r="E22" s="24" t="n">
        <v>700.8099999999999</v>
      </c>
      <c r="F22" s="24" t="n">
        <v>2000</v>
      </c>
      <c r="G22" s="24" t="n">
        <v>2000</v>
      </c>
      <c r="H22" s="24">
        <f>G22-F22</f>
        <v/>
      </c>
      <c r="I22" s="8">
        <f>IF(F22=0,0,G22/F22-1)</f>
        <v/>
      </c>
    </row>
    <row r="23">
      <c r="A23" s="6" t="inlineStr">
        <is>
          <t>1000.1100.1000.56100.010</t>
        </is>
      </c>
      <c r="B23" s="6" t="inlineStr">
        <is>
          <t>Supplies</t>
        </is>
      </c>
      <c r="C23" s="24" t="n">
        <v>54294.37</v>
      </c>
      <c r="D23" s="24" t="n">
        <v>48047.68</v>
      </c>
      <c r="E23" s="24" t="n">
        <v>53211.22</v>
      </c>
      <c r="F23" s="24" t="n">
        <v>63031.09</v>
      </c>
      <c r="G23" s="24" t="n">
        <v>66208</v>
      </c>
      <c r="H23" s="24">
        <f>G23-F23</f>
        <v/>
      </c>
      <c r="I23" s="8">
        <f>IF(F23=0,0,G23/F23-1)</f>
        <v/>
      </c>
    </row>
    <row r="24">
      <c r="A24" s="6" t="inlineStr">
        <is>
          <t>1000.1100.1000.56400.010</t>
        </is>
      </c>
      <c r="B24" s="6" t="inlineStr">
        <is>
          <t>Books</t>
        </is>
      </c>
      <c r="C24" s="24" t="n">
        <v>16969.07</v>
      </c>
      <c r="D24" s="24" t="n">
        <v>9515.23</v>
      </c>
      <c r="E24" s="24" t="n">
        <v>10643.6</v>
      </c>
      <c r="F24" s="24" t="n">
        <v>12194.64</v>
      </c>
      <c r="G24" s="24" t="n">
        <v>15800</v>
      </c>
      <c r="H24" s="24">
        <f>G24-F24</f>
        <v/>
      </c>
      <c r="I24" s="8">
        <f>IF(F24=0,0,G24/F24-1)</f>
        <v/>
      </c>
    </row>
    <row r="25">
      <c r="A25" s="6" t="inlineStr">
        <is>
          <t>1000.1100.1000.57300.010</t>
        </is>
      </c>
      <c r="B25" s="6" t="inlineStr">
        <is>
          <t>Equipment</t>
        </is>
      </c>
      <c r="C25" s="24" t="n">
        <v>17475.78</v>
      </c>
      <c r="D25" s="24" t="n">
        <v>20356.46</v>
      </c>
      <c r="E25" s="24" t="n">
        <v>5740.17</v>
      </c>
      <c r="F25" s="24" t="n">
        <v>14109.58</v>
      </c>
      <c r="G25" s="24" t="n">
        <v>7285</v>
      </c>
      <c r="H25" s="24">
        <f>G25-F25</f>
        <v/>
      </c>
      <c r="I25" s="8">
        <f>IF(F25=0,0,G25/F25-1)</f>
        <v/>
      </c>
    </row>
    <row r="26">
      <c r="A26" s="6" t="inlineStr">
        <is>
          <t>1000.1100.1000.58100.010</t>
        </is>
      </c>
      <c r="B26" s="6" t="inlineStr">
        <is>
          <t>Dues &amp; Fees</t>
        </is>
      </c>
      <c r="C26" s="24" t="n">
        <v>0</v>
      </c>
      <c r="D26" s="24" t="n">
        <v>409</v>
      </c>
      <c r="E26" s="24" t="n">
        <v>169</v>
      </c>
      <c r="F26" s="24" t="n">
        <v>585</v>
      </c>
      <c r="G26" s="24" t="n">
        <v>585</v>
      </c>
      <c r="H26" s="24">
        <f>G26-F26</f>
        <v/>
      </c>
      <c r="I26" s="8">
        <f>IF(F26=0,0,G26/F26-1)</f>
        <v/>
      </c>
    </row>
    <row r="27">
      <c r="A27" s="14" t="n"/>
      <c r="B27" s="28" t="inlineStr">
        <is>
          <t>Program 1100 Total</t>
        </is>
      </c>
      <c r="C27" s="29">
        <f>SUM(C7:C26)</f>
        <v/>
      </c>
      <c r="D27" s="29">
        <f>SUM(D7:D26)</f>
        <v/>
      </c>
      <c r="E27" s="29">
        <f>SUM(E7:E26)</f>
        <v/>
      </c>
      <c r="F27" s="29">
        <f>SUM(F7:F26)</f>
        <v/>
      </c>
      <c r="G27" s="29">
        <f>SUM(G7:G26)</f>
        <v/>
      </c>
      <c r="H27" s="29">
        <f>SUM(H7:H26)</f>
        <v/>
      </c>
      <c r="I27" s="29">
        <f>SUM(I7:I26)</f>
        <v/>
      </c>
    </row>
    <row r="28">
      <c r="A28" s="6" t="inlineStr">
        <is>
          <t>1000.1120.1000.51010.010</t>
        </is>
      </c>
      <c r="B28" s="6" t="inlineStr">
        <is>
          <t>Teacher Salaries</t>
        </is>
      </c>
      <c r="C28" s="24" t="n">
        <v>395275.58</v>
      </c>
      <c r="D28" s="24" t="n">
        <v>341025.42</v>
      </c>
      <c r="E28" s="24" t="n">
        <v>263958</v>
      </c>
      <c r="F28" s="24" t="n">
        <v>370997</v>
      </c>
      <c r="G28" s="24" t="n">
        <v>325484</v>
      </c>
      <c r="H28" s="24">
        <f>G28-F28</f>
        <v/>
      </c>
      <c r="I28" s="8">
        <f>IF(F28=0,0,G28/F28-1)</f>
        <v/>
      </c>
    </row>
    <row r="29">
      <c r="A29" s="6" t="inlineStr">
        <is>
          <t>1000.1120.1000.51020.010</t>
        </is>
      </c>
      <c r="B29" s="6" t="inlineStr">
        <is>
          <t>Ed Tech Salaries</t>
        </is>
      </c>
      <c r="C29" s="24" t="n">
        <v>58508.41</v>
      </c>
      <c r="D29" s="24" t="n">
        <v>33544.81</v>
      </c>
      <c r="E29" s="24" t="n">
        <v>23517.09</v>
      </c>
      <c r="F29" s="24" t="n">
        <v>37392</v>
      </c>
      <c r="G29" s="24" t="n">
        <v>34632</v>
      </c>
      <c r="H29" s="24">
        <f>G29-F29</f>
        <v/>
      </c>
      <c r="I29" s="8">
        <f>IF(F29=0,0,G29/F29-1)</f>
        <v/>
      </c>
    </row>
    <row r="30">
      <c r="A30" s="6" t="inlineStr">
        <is>
          <t>1000.1120.1000.52010.010</t>
        </is>
      </c>
      <c r="B30" s="6" t="inlineStr">
        <is>
          <t>Teacher Benefits</t>
        </is>
      </c>
      <c r="C30" s="24" t="n">
        <v>125817.07</v>
      </c>
      <c r="D30" s="24" t="n">
        <v>23001.86</v>
      </c>
      <c r="E30" s="24" t="n">
        <v>72006.83</v>
      </c>
      <c r="F30" s="24" t="n">
        <v>82923</v>
      </c>
      <c r="G30" s="24" t="n">
        <v>86643</v>
      </c>
      <c r="H30" s="24">
        <f>G30-F30</f>
        <v/>
      </c>
      <c r="I30" s="8">
        <f>IF(F30=0,0,G30/F30-1)</f>
        <v/>
      </c>
    </row>
    <row r="31">
      <c r="A31" s="6" t="inlineStr">
        <is>
          <t>1000.1120.1000.52020.010</t>
        </is>
      </c>
      <c r="B31" s="6" t="inlineStr">
        <is>
          <t>Ed Tech Benefits</t>
        </is>
      </c>
      <c r="C31" s="24" t="n">
        <v>20333.6</v>
      </c>
      <c r="D31" s="24" t="n">
        <v>14867.83</v>
      </c>
      <c r="E31" s="24" t="n">
        <v>8991.42</v>
      </c>
      <c r="F31" s="24" t="n">
        <v>15440</v>
      </c>
      <c r="G31" s="24" t="n">
        <v>11327</v>
      </c>
      <c r="H31" s="24">
        <f>G31-F31</f>
        <v/>
      </c>
      <c r="I31" s="8">
        <f>IF(F31=0,0,G31/F31-1)</f>
        <v/>
      </c>
    </row>
    <row r="32">
      <c r="A32" s="6" t="inlineStr">
        <is>
          <t>1000.1120.1000.52310.010</t>
        </is>
      </c>
      <c r="B32" s="6" t="inlineStr">
        <is>
          <t>Retirement</t>
        </is>
      </c>
      <c r="C32" s="24" t="n">
        <v>11597.56</v>
      </c>
      <c r="D32" s="24" t="n">
        <v>2943.45</v>
      </c>
      <c r="E32" s="24" t="n">
        <v>10153.24</v>
      </c>
      <c r="F32" s="24" t="n">
        <v>12827</v>
      </c>
      <c r="G32" s="24" t="n">
        <v>14549</v>
      </c>
      <c r="H32" s="24">
        <f>G32-F32</f>
        <v/>
      </c>
      <c r="I32" s="8">
        <f>IF(F32=0,0,G32/F32-1)</f>
        <v/>
      </c>
    </row>
    <row r="33">
      <c r="A33" s="6" t="inlineStr">
        <is>
          <t>1000.1120.1000.52320.010</t>
        </is>
      </c>
      <c r="B33" s="6" t="inlineStr">
        <is>
          <t>Retirement</t>
        </is>
      </c>
      <c r="C33" s="24" t="n">
        <v>2401.94</v>
      </c>
      <c r="D33" s="24" t="n">
        <v>572.08</v>
      </c>
      <c r="E33" s="24" t="n">
        <v>952.23</v>
      </c>
      <c r="F33" s="24" t="n">
        <v>2704</v>
      </c>
      <c r="G33" s="24" t="n">
        <v>1656</v>
      </c>
      <c r="H33" s="24">
        <f>G33-F33</f>
        <v/>
      </c>
      <c r="I33" s="8">
        <f>IF(F33=0,0,G33/F33-1)</f>
        <v/>
      </c>
    </row>
    <row r="34">
      <c r="A34" s="14" t="n"/>
      <c r="B34" s="28" t="inlineStr">
        <is>
          <t>Program 1120 Total</t>
        </is>
      </c>
      <c r="C34" s="29">
        <f>SUM(C28:C33)</f>
        <v/>
      </c>
      <c r="D34" s="29">
        <f>SUM(D28:D33)</f>
        <v/>
      </c>
      <c r="E34" s="29">
        <f>SUM(E28:E33)</f>
        <v/>
      </c>
      <c r="F34" s="29">
        <f>SUM(F28:F33)</f>
        <v/>
      </c>
      <c r="G34" s="29">
        <f>SUM(G28:G33)</f>
        <v/>
      </c>
      <c r="H34" s="29">
        <f>SUM(H28:H33)</f>
        <v/>
      </c>
      <c r="I34" s="29">
        <f>SUM(I28:I33)</f>
        <v/>
      </c>
    </row>
    <row r="35">
      <c r="A35" s="6" t="inlineStr">
        <is>
          <t>1000.4200.1000.53000.010</t>
        </is>
      </c>
      <c r="B35" s="6" t="inlineStr">
        <is>
          <t>Purchased Professional</t>
        </is>
      </c>
      <c r="C35" s="24" t="n">
        <v>25000</v>
      </c>
      <c r="D35" s="24" t="n">
        <v>25000</v>
      </c>
      <c r="E35" s="24" t="n">
        <v>25000</v>
      </c>
      <c r="F35" s="24" t="n">
        <v>25000</v>
      </c>
      <c r="G35" s="24" t="n">
        <v>27000</v>
      </c>
      <c r="H35" s="24">
        <f>G35-F35</f>
        <v/>
      </c>
      <c r="I35" s="8">
        <f>IF(F35=0,0,G35/F35-1)</f>
        <v/>
      </c>
    </row>
    <row r="36">
      <c r="A36" s="6" t="inlineStr">
        <is>
          <t>1000.4900.1000.51501.010</t>
        </is>
      </c>
      <c r="B36" s="6" t="inlineStr">
        <is>
          <t>GaTE Art Advisor Stipend - DCS</t>
        </is>
      </c>
      <c r="C36" s="24" t="n">
        <v>0</v>
      </c>
      <c r="D36" s="24" t="n">
        <v>0</v>
      </c>
      <c r="E36" s="24" t="n">
        <v>1272</v>
      </c>
      <c r="F36" s="24" t="n">
        <v>0</v>
      </c>
      <c r="G36" s="24" t="n">
        <v>0</v>
      </c>
      <c r="H36" s="24">
        <f>G36-F36</f>
        <v/>
      </c>
      <c r="I36" s="8">
        <f>IF(F36=0,0,G36/F36-1)</f>
        <v/>
      </c>
    </row>
    <row r="37">
      <c r="A37" s="6" t="inlineStr">
        <is>
          <t>1000.4900.1000.51502.010</t>
        </is>
      </c>
      <c r="B37" s="6" t="inlineStr">
        <is>
          <t>GaTE Music Advisor Stipend - DCS</t>
        </is>
      </c>
      <c r="C37" s="24" t="n">
        <v>0</v>
      </c>
      <c r="D37" s="24" t="n">
        <v>0</v>
      </c>
      <c r="E37" s="24" t="n">
        <v>1272</v>
      </c>
      <c r="F37" s="24" t="n">
        <v>0</v>
      </c>
      <c r="G37" s="24" t="n">
        <v>0</v>
      </c>
      <c r="H37" s="24">
        <f>G37-F37</f>
        <v/>
      </c>
      <c r="I37" s="8">
        <f>IF(F37=0,0,G37/F37-1)</f>
        <v/>
      </c>
    </row>
    <row r="38">
      <c r="A38" s="6" t="inlineStr">
        <is>
          <t>1000.4900.1000.52001.010</t>
        </is>
      </c>
      <c r="B38" s="6" t="inlineStr">
        <is>
          <t>GaTE Art Stipend Benefits - DCS</t>
        </is>
      </c>
      <c r="C38" s="24" t="n">
        <v>0</v>
      </c>
      <c r="D38" s="24" t="n">
        <v>0</v>
      </c>
      <c r="E38" s="24" t="n">
        <v>373.98</v>
      </c>
      <c r="F38" s="24" t="n">
        <v>0</v>
      </c>
      <c r="G38" s="24" t="n">
        <v>0</v>
      </c>
      <c r="H38" s="24">
        <f>G38-F38</f>
        <v/>
      </c>
      <c r="I38" s="8">
        <f>IF(F38=0,0,G38/F38-1)</f>
        <v/>
      </c>
    </row>
    <row r="39">
      <c r="A39" s="6" t="inlineStr">
        <is>
          <t>1000.4900.1000.52002.010</t>
        </is>
      </c>
      <c r="B39" s="6" t="inlineStr">
        <is>
          <t>GaTE Music Stipend Benefits - DCS</t>
        </is>
      </c>
      <c r="C39" s="24" t="n">
        <v>0</v>
      </c>
      <c r="D39" s="24" t="n">
        <v>0</v>
      </c>
      <c r="E39" s="24" t="n">
        <v>20.07</v>
      </c>
      <c r="F39" s="24" t="n">
        <v>0</v>
      </c>
      <c r="G39" s="24" t="n">
        <v>0</v>
      </c>
      <c r="H39" s="24">
        <f>G39-F39</f>
        <v/>
      </c>
      <c r="I39" s="8">
        <f>IF(F39=0,0,G39/F39-1)</f>
        <v/>
      </c>
    </row>
    <row r="40">
      <c r="A40" s="6" t="inlineStr">
        <is>
          <t>1000.4900.1000.52301.010</t>
        </is>
      </c>
      <c r="B40" s="6" t="inlineStr">
        <is>
          <t>GaTE Art Stipend Retirement - DCS</t>
        </is>
      </c>
      <c r="C40" s="24" t="n">
        <v>0</v>
      </c>
      <c r="D40" s="24" t="n">
        <v>0</v>
      </c>
      <c r="E40" s="24" t="n">
        <v>48.84</v>
      </c>
      <c r="F40" s="24" t="n">
        <v>0</v>
      </c>
      <c r="G40" s="24" t="n">
        <v>0</v>
      </c>
      <c r="H40" s="24">
        <f>G40-F40</f>
        <v/>
      </c>
      <c r="I40" s="8">
        <f>IF(F40=0,0,G40/F40-1)</f>
        <v/>
      </c>
    </row>
    <row r="41">
      <c r="A41" s="6" t="inlineStr">
        <is>
          <t>1000.4900.1000.52302.010</t>
        </is>
      </c>
      <c r="B41" s="6" t="inlineStr">
        <is>
          <t>GaTE Music Stipend Retirement - DCS</t>
        </is>
      </c>
      <c r="C41" s="24" t="n">
        <v>0</v>
      </c>
      <c r="D41" s="24" t="n">
        <v>0</v>
      </c>
      <c r="E41" s="24" t="n">
        <v>48.81</v>
      </c>
      <c r="F41" s="24" t="n">
        <v>0</v>
      </c>
      <c r="G41" s="24" t="n">
        <v>0</v>
      </c>
      <c r="H41" s="24">
        <f>G41-F41</f>
        <v/>
      </c>
      <c r="I41" s="8">
        <f>IF(F41=0,0,G41/F41-1)</f>
        <v/>
      </c>
    </row>
    <row r="42">
      <c r="A42" s="14" t="n"/>
      <c r="B42" s="28" t="inlineStr">
        <is>
          <t>Program 4900 Total</t>
        </is>
      </c>
      <c r="C42" s="29">
        <f>SUM(C36:C41)</f>
        <v/>
      </c>
      <c r="D42" s="29">
        <f>SUM(D36:D41)</f>
        <v/>
      </c>
      <c r="E42" s="29">
        <f>SUM(E36:E41)</f>
        <v/>
      </c>
      <c r="F42" s="29">
        <f>SUM(F36:F41)</f>
        <v/>
      </c>
      <c r="G42" s="29">
        <f>SUM(G36:G41)</f>
        <v/>
      </c>
      <c r="H42" s="29">
        <f>SUM(H36:H41)</f>
        <v/>
      </c>
      <c r="I42" s="29">
        <f>SUM(I36:I41)</f>
        <v/>
      </c>
    </row>
    <row r="43">
      <c r="A43" s="14" t="n"/>
      <c r="B43" s="30" t="inlineStr">
        <is>
          <t>Function 1000 Total</t>
        </is>
      </c>
      <c r="C43" s="31">
        <f>C27+C34+C42</f>
        <v/>
      </c>
      <c r="D43" s="31">
        <f>D27+D34+D42</f>
        <v/>
      </c>
      <c r="E43" s="31">
        <f>E27+E34+E42</f>
        <v/>
      </c>
      <c r="F43" s="31">
        <f>F27+F34+F42</f>
        <v/>
      </c>
      <c r="G43" s="31">
        <f>G27+G34+G42</f>
        <v/>
      </c>
      <c r="H43" s="31">
        <f>H27+H34+H42</f>
        <v/>
      </c>
      <c r="I43" s="31">
        <f>I27+I34+I42</f>
        <v/>
      </c>
    </row>
    <row r="44">
      <c r="A44" s="14" t="n"/>
      <c r="B44" s="17" t="inlineStr">
        <is>
          <t>Cost Center ('010',) Total</t>
        </is>
      </c>
      <c r="C44" s="32">
        <f>C43</f>
        <v/>
      </c>
      <c r="D44" s="32">
        <f>D43</f>
        <v/>
      </c>
      <c r="E44" s="32">
        <f>E43</f>
        <v/>
      </c>
      <c r="F44" s="32">
        <f>F43</f>
        <v/>
      </c>
      <c r="G44" s="32">
        <f>G43</f>
        <v/>
      </c>
      <c r="H44" s="32">
        <f>H43</f>
        <v/>
      </c>
      <c r="I44" s="32">
        <f>I43</f>
        <v/>
      </c>
    </row>
    <row r="46">
      <c r="A46" s="3" t="inlineStr">
        <is>
          <t>Cost Center: ('020',)</t>
        </is>
      </c>
    </row>
    <row r="47">
      <c r="A47" s="6" t="inlineStr">
        <is>
          <t>1000.1100.1000.51010.020</t>
        </is>
      </c>
      <c r="B47" s="6" t="inlineStr">
        <is>
          <t>Teacher Salary</t>
        </is>
      </c>
      <c r="C47" s="24" t="n">
        <v>969013.73</v>
      </c>
      <c r="D47" s="24" t="n">
        <v>803729.88</v>
      </c>
      <c r="E47" s="24" t="n">
        <v>1003897.93</v>
      </c>
      <c r="F47" s="24" t="n">
        <v>1016769</v>
      </c>
      <c r="G47" s="24" t="n">
        <v>1073063</v>
      </c>
      <c r="H47" s="24">
        <f>G47-F47</f>
        <v/>
      </c>
      <c r="I47" s="8">
        <f>IF(F47=0,0,G47/F47-1)</f>
        <v/>
      </c>
    </row>
    <row r="48">
      <c r="A48" s="6" t="inlineStr">
        <is>
          <t>1000.1100.1000.51020.020</t>
        </is>
      </c>
      <c r="B48" s="6" t="inlineStr">
        <is>
          <t>Ed Tech Salaries</t>
        </is>
      </c>
      <c r="C48" s="24" t="n">
        <v>73048.06</v>
      </c>
      <c r="D48" s="24" t="n">
        <v>81387.19</v>
      </c>
      <c r="E48" s="24" t="n">
        <v>74832.55</v>
      </c>
      <c r="F48" s="24" t="n">
        <v>82481</v>
      </c>
      <c r="G48" s="24" t="n">
        <v>110932</v>
      </c>
      <c r="H48" s="24">
        <f>G48-F48</f>
        <v/>
      </c>
      <c r="I48" s="8">
        <f>IF(F48=0,0,G48/F48-1)</f>
        <v/>
      </c>
    </row>
    <row r="49">
      <c r="A49" s="6" t="inlineStr">
        <is>
          <t>1000.1100.1000.51230.020</t>
        </is>
      </c>
      <c r="B49" s="6" t="inlineStr">
        <is>
          <t>Substitute Wages</t>
        </is>
      </c>
      <c r="C49" s="24" t="n">
        <v>31345.19</v>
      </c>
      <c r="D49" s="24" t="n">
        <v>14867.74</v>
      </c>
      <c r="E49" s="24" t="n">
        <v>60405.75</v>
      </c>
      <c r="F49" s="24" t="n">
        <v>30000</v>
      </c>
      <c r="G49" s="24" t="n">
        <v>30000</v>
      </c>
      <c r="H49" s="24">
        <f>G49-F49</f>
        <v/>
      </c>
      <c r="I49" s="8">
        <f>IF(F49=0,0,G49/F49-1)</f>
        <v/>
      </c>
    </row>
    <row r="50">
      <c r="A50" s="6" t="inlineStr">
        <is>
          <t>1000.1100.1000.51500.020</t>
        </is>
      </c>
      <c r="B50" s="6" t="inlineStr">
        <is>
          <t>Stipends</t>
        </is>
      </c>
      <c r="C50" s="24" t="n">
        <v>0</v>
      </c>
      <c r="D50" s="24" t="n">
        <v>0</v>
      </c>
      <c r="E50" s="24" t="n">
        <v>0</v>
      </c>
      <c r="F50" s="24" t="n">
        <v>11775</v>
      </c>
      <c r="G50" s="24" t="n">
        <v>0</v>
      </c>
      <c r="H50" s="24">
        <f>G50-F50</f>
        <v/>
      </c>
      <c r="I50" s="8">
        <f>IF(F50=0,0,G50/F50-1)</f>
        <v/>
      </c>
    </row>
    <row r="51">
      <c r="A51" s="6" t="inlineStr">
        <is>
          <t>1000.1100.1000.52000.020</t>
        </is>
      </c>
      <c r="B51" s="6" t="inlineStr">
        <is>
          <t>Stipend Benefits</t>
        </is>
      </c>
      <c r="C51" s="24" t="n">
        <v>0</v>
      </c>
      <c r="D51" s="24" t="n">
        <v>0</v>
      </c>
      <c r="E51" s="24" t="n">
        <v>0</v>
      </c>
      <c r="F51" s="24" t="n">
        <v>253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6" t="inlineStr">
        <is>
          <t>1000.1100.1000.52010.020</t>
        </is>
      </c>
      <c r="B52" s="6" t="inlineStr">
        <is>
          <t>Teacher Benefits</t>
        </is>
      </c>
      <c r="C52" s="24" t="n">
        <v>235748.36</v>
      </c>
      <c r="D52" s="24" t="n">
        <v>51067.52</v>
      </c>
      <c r="E52" s="24" t="n">
        <v>223605.81</v>
      </c>
      <c r="F52" s="24" t="n">
        <v>233494</v>
      </c>
      <c r="G52" s="24" t="n">
        <v>252972</v>
      </c>
      <c r="H52" s="24">
        <f>G52-F52</f>
        <v/>
      </c>
      <c r="I52" s="8">
        <f>IF(F52=0,0,G52/F52-1)</f>
        <v/>
      </c>
    </row>
    <row r="53">
      <c r="A53" s="6" t="inlineStr">
        <is>
          <t>1000.1100.1000.52020.020</t>
        </is>
      </c>
      <c r="B53" s="6" t="inlineStr">
        <is>
          <t>Ed Tech Benefits</t>
        </is>
      </c>
      <c r="C53" s="24" t="n">
        <v>16720.99</v>
      </c>
      <c r="D53" s="24" t="n">
        <v>7665.51</v>
      </c>
      <c r="E53" s="24" t="n">
        <v>16501.34</v>
      </c>
      <c r="F53" s="24" t="n">
        <v>38830</v>
      </c>
      <c r="G53" s="24" t="n">
        <v>55751</v>
      </c>
      <c r="H53" s="24">
        <f>G53-F53</f>
        <v/>
      </c>
      <c r="I53" s="8">
        <f>IF(F53=0,0,G53/F53-1)</f>
        <v/>
      </c>
    </row>
    <row r="54">
      <c r="A54" s="6" t="inlineStr">
        <is>
          <t>1000.1100.1000.52030.020</t>
        </is>
      </c>
      <c r="B54" s="6" t="inlineStr">
        <is>
          <t>Substitute Benefits</t>
        </is>
      </c>
      <c r="C54" s="24" t="n">
        <v>1642.63</v>
      </c>
      <c r="D54" s="24" t="n">
        <v>7.46</v>
      </c>
      <c r="E54" s="24" t="n">
        <v>4669.38</v>
      </c>
      <c r="F54" s="24" t="n">
        <v>585</v>
      </c>
      <c r="G54" s="24" t="n">
        <v>585</v>
      </c>
      <c r="H54" s="24">
        <f>G54-F54</f>
        <v/>
      </c>
      <c r="I54" s="8">
        <f>IF(F54=0,0,G54/F54-1)</f>
        <v/>
      </c>
    </row>
    <row r="55">
      <c r="A55" s="6" t="inlineStr">
        <is>
          <t>1000.1100.1000.52300.020</t>
        </is>
      </c>
      <c r="B55" s="6" t="inlineStr">
        <is>
          <t>Retirement</t>
        </is>
      </c>
      <c r="C55" s="24" t="n">
        <v>0</v>
      </c>
      <c r="D55" s="24" t="n">
        <v>0</v>
      </c>
      <c r="E55" s="24" t="n">
        <v>0</v>
      </c>
      <c r="F55" s="24" t="n">
        <v>540</v>
      </c>
      <c r="G55" s="24" t="n">
        <v>0</v>
      </c>
      <c r="H55" s="24">
        <f>G55-F55</f>
        <v/>
      </c>
      <c r="I55" s="8">
        <f>IF(F55=0,0,G55/F55-1)</f>
        <v/>
      </c>
    </row>
    <row r="56">
      <c r="A56" s="6" t="inlineStr">
        <is>
          <t>1000.1100.1000.52310.020</t>
        </is>
      </c>
      <c r="B56" s="6" t="inlineStr">
        <is>
          <t>Retirement</t>
        </is>
      </c>
      <c r="C56" s="24" t="n">
        <v>40191.09</v>
      </c>
      <c r="D56" s="24" t="n">
        <v>8167.5</v>
      </c>
      <c r="E56" s="24" t="n">
        <v>40834.16</v>
      </c>
      <c r="F56" s="24" t="n">
        <v>42297</v>
      </c>
      <c r="G56" s="24" t="n">
        <v>48083</v>
      </c>
      <c r="H56" s="24">
        <f>G56-F56</f>
        <v/>
      </c>
      <c r="I56" s="8">
        <f>IF(F56=0,0,G56/F56-1)</f>
        <v/>
      </c>
    </row>
    <row r="57">
      <c r="A57" s="6" t="inlineStr">
        <is>
          <t>1000.1100.1000.52320.020</t>
        </is>
      </c>
      <c r="B57" s="6" t="inlineStr">
        <is>
          <t>Retirement</t>
        </is>
      </c>
      <c r="C57" s="24" t="n">
        <v>2791.34</v>
      </c>
      <c r="D57" s="24" t="n">
        <v>712.3200000000001</v>
      </c>
      <c r="E57" s="24" t="n">
        <v>2963.43</v>
      </c>
      <c r="F57" s="24" t="n">
        <v>3431</v>
      </c>
      <c r="G57" s="24" t="n">
        <v>5306</v>
      </c>
      <c r="H57" s="24">
        <f>G57-F57</f>
        <v/>
      </c>
      <c r="I57" s="8">
        <f>IF(F57=0,0,G57/F57-1)</f>
        <v/>
      </c>
    </row>
    <row r="58">
      <c r="A58" s="6" t="inlineStr">
        <is>
          <t>1000.1100.1000.52330.020</t>
        </is>
      </c>
      <c r="B58" s="6" t="inlineStr">
        <is>
          <t>Retirement</t>
        </is>
      </c>
      <c r="C58" s="24" t="n">
        <v>60.62</v>
      </c>
      <c r="D58" s="24" t="n">
        <v>0</v>
      </c>
      <c r="E58" s="24" t="n">
        <v>78.25</v>
      </c>
      <c r="F58" s="24" t="n">
        <v>0</v>
      </c>
      <c r="G58" s="24" t="n">
        <v>0</v>
      </c>
      <c r="H58" s="24">
        <f>G58-F58</f>
        <v/>
      </c>
      <c r="I58" s="8">
        <f>IF(F58=0,0,G58/F58-1)</f>
        <v/>
      </c>
    </row>
    <row r="59">
      <c r="A59" s="6" t="inlineStr">
        <is>
          <t>1000.1100.1000.53400.020</t>
        </is>
      </c>
      <c r="B59" s="6" t="inlineStr">
        <is>
          <t>Professional Servics</t>
        </is>
      </c>
      <c r="C59" s="24" t="n">
        <v>2462.77</v>
      </c>
      <c r="D59" s="24" t="n">
        <v>1024.33</v>
      </c>
      <c r="E59" s="24" t="n">
        <v>465</v>
      </c>
      <c r="F59" s="24" t="n">
        <v>7960</v>
      </c>
      <c r="G59" s="24" t="n">
        <v>8150</v>
      </c>
      <c r="H59" s="24">
        <f>G59-F59</f>
        <v/>
      </c>
      <c r="I59" s="8">
        <f>IF(F59=0,0,G59/F59-1)</f>
        <v/>
      </c>
    </row>
    <row r="60">
      <c r="A60" s="6" t="inlineStr">
        <is>
          <t>1000.1100.1000.54300.020</t>
        </is>
      </c>
      <c r="B60" s="6" t="inlineStr">
        <is>
          <t>Copiers-Equipment Maint</t>
        </is>
      </c>
      <c r="C60" s="24" t="n">
        <v>8907.57</v>
      </c>
      <c r="D60" s="24" t="n">
        <v>10720.93</v>
      </c>
      <c r="E60" s="24" t="n">
        <v>10800.08</v>
      </c>
      <c r="F60" s="24" t="n">
        <v>11150</v>
      </c>
      <c r="G60" s="24" t="n">
        <v>13000</v>
      </c>
      <c r="H60" s="24">
        <f>G60-F60</f>
        <v/>
      </c>
      <c r="I60" s="8">
        <f>IF(F60=0,0,G60/F60-1)</f>
        <v/>
      </c>
    </row>
    <row r="61">
      <c r="A61" s="6" t="inlineStr">
        <is>
          <t>1000.1100.1000.54330.020</t>
        </is>
      </c>
      <c r="B61" s="6" t="inlineStr">
        <is>
          <t>Software</t>
        </is>
      </c>
      <c r="C61" s="24" t="n">
        <v>0</v>
      </c>
      <c r="D61" s="24" t="n">
        <v>0</v>
      </c>
      <c r="E61" s="24" t="n">
        <v>3750</v>
      </c>
      <c r="F61" s="24" t="n">
        <v>5520</v>
      </c>
      <c r="G61" s="24" t="n">
        <v>6381</v>
      </c>
      <c r="H61" s="24">
        <f>G61-F61</f>
        <v/>
      </c>
      <c r="I61" s="8">
        <f>IF(F61=0,0,G61/F61-1)</f>
        <v/>
      </c>
    </row>
    <row r="62">
      <c r="A62" s="6" t="inlineStr">
        <is>
          <t>1000.1100.1000.55800.020</t>
        </is>
      </c>
      <c r="B62" s="6" t="inlineStr">
        <is>
          <t>Travel</t>
        </is>
      </c>
      <c r="C62" s="24" t="n">
        <v>402.11</v>
      </c>
      <c r="D62" s="24" t="n">
        <v>45.55</v>
      </c>
      <c r="E62" s="24" t="n">
        <v>60.84</v>
      </c>
      <c r="F62" s="24" t="n">
        <v>540</v>
      </c>
      <c r="G62" s="24" t="n">
        <v>540</v>
      </c>
      <c r="H62" s="24">
        <f>G62-F62</f>
        <v/>
      </c>
      <c r="I62" s="8">
        <f>IF(F62=0,0,G62/F62-1)</f>
        <v/>
      </c>
    </row>
    <row r="63">
      <c r="A63" s="6" t="inlineStr">
        <is>
          <t>1000.1100.1000.56100.020</t>
        </is>
      </c>
      <c r="B63" s="6" t="inlineStr">
        <is>
          <t>Instructional Supplies</t>
        </is>
      </c>
      <c r="C63" s="24" t="n">
        <v>32219.5</v>
      </c>
      <c r="D63" s="24" t="n">
        <v>48394.89</v>
      </c>
      <c r="E63" s="24" t="n">
        <v>30583.92</v>
      </c>
      <c r="F63" s="24" t="n">
        <v>47087.08</v>
      </c>
      <c r="G63" s="24" t="n">
        <v>47090</v>
      </c>
      <c r="H63" s="24">
        <f>G63-F63</f>
        <v/>
      </c>
      <c r="I63" s="8">
        <f>IF(F63=0,0,G63/F63-1)</f>
        <v/>
      </c>
    </row>
    <row r="64">
      <c r="A64" s="6" t="inlineStr">
        <is>
          <t>1000.1100.1000.56400.020</t>
        </is>
      </c>
      <c r="B64" s="6" t="inlineStr">
        <is>
          <t>BOOKS</t>
        </is>
      </c>
      <c r="C64" s="24" t="n">
        <v>5937.65</v>
      </c>
      <c r="D64" s="24" t="n">
        <v>8096.29</v>
      </c>
      <c r="E64" s="24" t="n">
        <v>14817.52</v>
      </c>
      <c r="F64" s="24" t="n">
        <v>6774.8</v>
      </c>
      <c r="G64" s="24" t="n">
        <v>10000</v>
      </c>
      <c r="H64" s="24">
        <f>G64-F64</f>
        <v/>
      </c>
      <c r="I64" s="8">
        <f>IF(F64=0,0,G64/F64-1)</f>
        <v/>
      </c>
    </row>
    <row r="65">
      <c r="A65" s="6" t="inlineStr">
        <is>
          <t>1000.1100.1000.57300.020</t>
        </is>
      </c>
      <c r="B65" s="6" t="inlineStr">
        <is>
          <t>Equipment</t>
        </is>
      </c>
      <c r="C65" s="24" t="n">
        <v>10939.76</v>
      </c>
      <c r="D65" s="24" t="n">
        <v>18663.75</v>
      </c>
      <c r="E65" s="24" t="n">
        <v>5158.65</v>
      </c>
      <c r="F65" s="24" t="n">
        <v>4865.29</v>
      </c>
      <c r="G65" s="24" t="n">
        <v>0</v>
      </c>
      <c r="H65" s="24">
        <f>G65-F65</f>
        <v/>
      </c>
      <c r="I65" s="8">
        <f>IF(F65=0,0,G65/F65-1)</f>
        <v/>
      </c>
    </row>
    <row r="66">
      <c r="A66" s="14" t="n"/>
      <c r="B66" s="28" t="inlineStr">
        <is>
          <t>Program 1100 Total</t>
        </is>
      </c>
      <c r="C66" s="29">
        <f>SUM(C47:C65)</f>
        <v/>
      </c>
      <c r="D66" s="29">
        <f>SUM(D47:D65)</f>
        <v/>
      </c>
      <c r="E66" s="29">
        <f>SUM(E47:E65)</f>
        <v/>
      </c>
      <c r="F66" s="29">
        <f>SUM(F47:F65)</f>
        <v/>
      </c>
      <c r="G66" s="29">
        <f>SUM(G47:G65)</f>
        <v/>
      </c>
      <c r="H66" s="29">
        <f>SUM(H47:H65)</f>
        <v/>
      </c>
      <c r="I66" s="29">
        <f>SUM(I47:I65)</f>
        <v/>
      </c>
    </row>
    <row r="67">
      <c r="A67" s="6" t="inlineStr">
        <is>
          <t>1000.1120.1000.51010.020</t>
        </is>
      </c>
      <c r="B67" s="6" t="inlineStr">
        <is>
          <t>Salaries</t>
        </is>
      </c>
      <c r="C67" s="24" t="n">
        <v>222915.84</v>
      </c>
      <c r="D67" s="24" t="n">
        <v>540256.14</v>
      </c>
      <c r="E67" s="24" t="n">
        <v>325713.93</v>
      </c>
      <c r="F67" s="24" t="n">
        <v>531179</v>
      </c>
      <c r="G67" s="24" t="n">
        <v>468707</v>
      </c>
      <c r="H67" s="24">
        <f>G67-F67</f>
        <v/>
      </c>
      <c r="I67" s="8">
        <f>IF(F67=0,0,G67/F67-1)</f>
        <v/>
      </c>
    </row>
    <row r="68">
      <c r="A68" s="6" t="inlineStr">
        <is>
          <t>1000.1120.1000.51020.020</t>
        </is>
      </c>
      <c r="B68" s="6" t="inlineStr">
        <is>
          <t>Ed Tech Salaries</t>
        </is>
      </c>
      <c r="C68" s="24" t="n">
        <v>27167.58</v>
      </c>
      <c r="D68" s="24" t="n">
        <v>36967.67</v>
      </c>
      <c r="E68" s="24" t="n">
        <v>90080.12</v>
      </c>
      <c r="F68" s="24" t="n">
        <v>89426</v>
      </c>
      <c r="G68" s="24" t="n">
        <v>52228</v>
      </c>
      <c r="H68" s="24">
        <f>G68-F68</f>
        <v/>
      </c>
      <c r="I68" s="8">
        <f>IF(F68=0,0,G68/F68-1)</f>
        <v/>
      </c>
    </row>
    <row r="69">
      <c r="A69" s="6" t="inlineStr">
        <is>
          <t>1000.1120.1000.52010.020</t>
        </is>
      </c>
      <c r="B69" s="6" t="inlineStr">
        <is>
          <t>Benefits</t>
        </is>
      </c>
      <c r="C69" s="24" t="n">
        <v>41324.57</v>
      </c>
      <c r="D69" s="24" t="n">
        <v>16757.9</v>
      </c>
      <c r="E69" s="24" t="n">
        <v>68603.78999999999</v>
      </c>
      <c r="F69" s="24" t="n">
        <v>92086</v>
      </c>
      <c r="G69" s="24" t="n">
        <v>85425</v>
      </c>
      <c r="H69" s="24">
        <f>G69-F69</f>
        <v/>
      </c>
      <c r="I69" s="8">
        <f>IF(F69=0,0,G69/F69-1)</f>
        <v/>
      </c>
    </row>
    <row r="70">
      <c r="A70" s="6" t="inlineStr">
        <is>
          <t>1000.1120.1000.52020.020</t>
        </is>
      </c>
      <c r="B70" s="6" t="inlineStr">
        <is>
          <t>Ed Tech Benefit</t>
        </is>
      </c>
      <c r="C70" s="24" t="n">
        <v>12095.53</v>
      </c>
      <c r="D70" s="24" t="n">
        <v>1839.26</v>
      </c>
      <c r="E70" s="24" t="n">
        <v>27274.07</v>
      </c>
      <c r="F70" s="24" t="n">
        <v>45187</v>
      </c>
      <c r="G70" s="24" t="n">
        <v>11641</v>
      </c>
      <c r="H70" s="24">
        <f>G70-F70</f>
        <v/>
      </c>
      <c r="I70" s="8">
        <f>IF(F70=0,0,G70/F70-1)</f>
        <v/>
      </c>
    </row>
    <row r="71">
      <c r="A71" s="6" t="inlineStr">
        <is>
          <t>1000.1120.1000.52310.020</t>
        </is>
      </c>
      <c r="B71" s="6" t="inlineStr">
        <is>
          <t>Retirement</t>
        </is>
      </c>
      <c r="C71" s="24" t="n">
        <v>9459.58</v>
      </c>
      <c r="D71" s="24" t="n">
        <v>4268.16</v>
      </c>
      <c r="E71" s="24" t="n">
        <v>13002.36</v>
      </c>
      <c r="F71" s="24" t="n">
        <v>19392</v>
      </c>
      <c r="G71" s="24" t="n">
        <v>20912</v>
      </c>
      <c r="H71" s="24">
        <f>G71-F71</f>
        <v/>
      </c>
      <c r="I71" s="8">
        <f>IF(F71=0,0,G71/F71-1)</f>
        <v/>
      </c>
    </row>
    <row r="72">
      <c r="A72" s="6" t="inlineStr">
        <is>
          <t>1000.1120.1000.52320.020</t>
        </is>
      </c>
      <c r="B72" s="6" t="inlineStr">
        <is>
          <t>Retirement</t>
        </is>
      </c>
      <c r="C72" s="24" t="n">
        <v>0</v>
      </c>
      <c r="D72" s="24" t="n">
        <v>0</v>
      </c>
      <c r="E72" s="24" t="n">
        <v>2387.06</v>
      </c>
      <c r="F72" s="24" t="n">
        <v>3720</v>
      </c>
      <c r="G72" s="24" t="n">
        <v>2498</v>
      </c>
      <c r="H72" s="24">
        <f>G72-F72</f>
        <v/>
      </c>
      <c r="I72" s="8">
        <f>IF(F72=0,0,G72/F72-1)</f>
        <v/>
      </c>
    </row>
    <row r="73">
      <c r="A73" s="14" t="n"/>
      <c r="B73" s="28" t="inlineStr">
        <is>
          <t>Program 1120 Total</t>
        </is>
      </c>
      <c r="C73" s="29">
        <f>SUM(C67:C72)</f>
        <v/>
      </c>
      <c r="D73" s="29">
        <f>SUM(D67:D72)</f>
        <v/>
      </c>
      <c r="E73" s="29">
        <f>SUM(E67:E72)</f>
        <v/>
      </c>
      <c r="F73" s="29">
        <f>SUM(F67:F72)</f>
        <v/>
      </c>
      <c r="G73" s="29">
        <f>SUM(G67:G72)</f>
        <v/>
      </c>
      <c r="H73" s="29">
        <f>SUM(H67:H72)</f>
        <v/>
      </c>
      <c r="I73" s="29">
        <f>SUM(I67:I72)</f>
        <v/>
      </c>
    </row>
    <row r="74">
      <c r="A74" s="14" t="n"/>
      <c r="B74" s="30" t="inlineStr">
        <is>
          <t>Function 1000 Total</t>
        </is>
      </c>
      <c r="C74" s="31">
        <f>C66+C73</f>
        <v/>
      </c>
      <c r="D74" s="31">
        <f>D66+D73</f>
        <v/>
      </c>
      <c r="E74" s="31">
        <f>E66+E73</f>
        <v/>
      </c>
      <c r="F74" s="31">
        <f>F66+F73</f>
        <v/>
      </c>
      <c r="G74" s="31">
        <f>G66+G73</f>
        <v/>
      </c>
      <c r="H74" s="31">
        <f>H66+H73</f>
        <v/>
      </c>
      <c r="I74" s="31">
        <f>I66+I73</f>
        <v/>
      </c>
    </row>
    <row r="75">
      <c r="A75" s="14" t="n"/>
      <c r="B75" s="17" t="inlineStr">
        <is>
          <t>Cost Center ('020',) Total</t>
        </is>
      </c>
      <c r="C75" s="32">
        <f>C74</f>
        <v/>
      </c>
      <c r="D75" s="32">
        <f>D74</f>
        <v/>
      </c>
      <c r="E75" s="32">
        <f>E74</f>
        <v/>
      </c>
      <c r="F75" s="32">
        <f>F74</f>
        <v/>
      </c>
      <c r="G75" s="32">
        <f>G74</f>
        <v/>
      </c>
      <c r="H75" s="32">
        <f>H74</f>
        <v/>
      </c>
      <c r="I75" s="32">
        <f>I74</f>
        <v/>
      </c>
    </row>
    <row r="77">
      <c r="A77" s="3" t="inlineStr">
        <is>
          <t>Cost Center: ('030',)</t>
        </is>
      </c>
    </row>
    <row r="78">
      <c r="A78" s="6" t="inlineStr">
        <is>
          <t>1000.1100.1000.51010.030</t>
        </is>
      </c>
      <c r="B78" s="6" t="inlineStr">
        <is>
          <t>Teacher Salaries</t>
        </is>
      </c>
      <c r="C78" s="24" t="n">
        <v>387444.12</v>
      </c>
      <c r="D78" s="24" t="n">
        <v>560957.21</v>
      </c>
      <c r="E78" s="24" t="n">
        <v>510605.81</v>
      </c>
      <c r="F78" s="24" t="n">
        <v>556315</v>
      </c>
      <c r="G78" s="24" t="n">
        <v>574128</v>
      </c>
      <c r="H78" s="24">
        <f>G78-F78</f>
        <v/>
      </c>
      <c r="I78" s="8">
        <f>IF(F78=0,0,G78/F78-1)</f>
        <v/>
      </c>
    </row>
    <row r="79">
      <c r="A79" s="6" t="inlineStr">
        <is>
          <t>1000.1100.1000.51020.030</t>
        </is>
      </c>
      <c r="B79" s="6" t="inlineStr">
        <is>
          <t>Ed Tech Salaries</t>
        </is>
      </c>
      <c r="C79" s="24" t="n">
        <v>15580.47</v>
      </c>
      <c r="D79" s="24" t="n">
        <v>31525.17</v>
      </c>
      <c r="E79" s="24" t="n">
        <v>38385.84</v>
      </c>
      <c r="F79" s="24" t="n">
        <v>54294</v>
      </c>
      <c r="G79" s="24" t="n">
        <v>41136</v>
      </c>
      <c r="H79" s="24">
        <f>G79-F79</f>
        <v/>
      </c>
      <c r="I79" s="8">
        <f>IF(F79=0,0,G79/F79-1)</f>
        <v/>
      </c>
    </row>
    <row r="80">
      <c r="A80" s="6" t="inlineStr">
        <is>
          <t>1000.1100.1000.51230.030</t>
        </is>
      </c>
      <c r="B80" s="6" t="inlineStr">
        <is>
          <t>Sub Salaries</t>
        </is>
      </c>
      <c r="C80" s="24" t="n">
        <v>4258.96</v>
      </c>
      <c r="D80" s="24" t="n">
        <v>34679.32</v>
      </c>
      <c r="E80" s="24" t="n">
        <v>42859.19</v>
      </c>
      <c r="F80" s="24" t="n">
        <v>30000</v>
      </c>
      <c r="G80" s="24" t="n">
        <v>30000</v>
      </c>
      <c r="H80" s="24">
        <f>G80-F80</f>
        <v/>
      </c>
      <c r="I80" s="8">
        <f>IF(F80=0,0,G80/F80-1)</f>
        <v/>
      </c>
    </row>
    <row r="81">
      <c r="A81" s="6" t="inlineStr">
        <is>
          <t>1000.1100.1000.51500.030</t>
        </is>
      </c>
      <c r="B81" s="6" t="inlineStr">
        <is>
          <t>Stipends</t>
        </is>
      </c>
      <c r="C81" s="24" t="n">
        <v>0</v>
      </c>
      <c r="D81" s="24" t="n">
        <v>0</v>
      </c>
      <c r="E81" s="24" t="n">
        <v>0</v>
      </c>
      <c r="F81" s="24" t="n">
        <v>4710</v>
      </c>
      <c r="G81" s="24" t="n">
        <v>0</v>
      </c>
      <c r="H81" s="24">
        <f>G81-F81</f>
        <v/>
      </c>
      <c r="I81" s="8">
        <f>IF(F81=0,0,G81/F81-1)</f>
        <v/>
      </c>
    </row>
    <row r="82">
      <c r="A82" s="6" t="inlineStr">
        <is>
          <t>1000.1100.1000.52000.030</t>
        </is>
      </c>
      <c r="B82" s="6" t="inlineStr">
        <is>
          <t>Stipend Benefits</t>
        </is>
      </c>
      <c r="C82" s="24" t="n">
        <v>0</v>
      </c>
      <c r="D82" s="24" t="n">
        <v>0</v>
      </c>
      <c r="E82" s="24" t="n">
        <v>0</v>
      </c>
      <c r="F82" s="24" t="n">
        <v>89</v>
      </c>
      <c r="G82" s="24" t="n">
        <v>0</v>
      </c>
      <c r="H82" s="24">
        <f>G82-F82</f>
        <v/>
      </c>
      <c r="I82" s="8">
        <f>IF(F82=0,0,G82/F82-1)</f>
        <v/>
      </c>
    </row>
    <row r="83">
      <c r="A83" s="6" t="inlineStr">
        <is>
          <t>1000.1100.1000.52010.030</t>
        </is>
      </c>
      <c r="B83" s="6" t="inlineStr">
        <is>
          <t>Teacher Benefits</t>
        </is>
      </c>
      <c r="C83" s="24" t="n">
        <v>110243.61</v>
      </c>
      <c r="D83" s="24" t="n">
        <v>33104.35</v>
      </c>
      <c r="E83" s="24" t="n">
        <v>136480.43</v>
      </c>
      <c r="F83" s="24" t="n">
        <v>156866</v>
      </c>
      <c r="G83" s="24" t="n">
        <v>119785</v>
      </c>
      <c r="H83" s="24">
        <f>G83-F83</f>
        <v/>
      </c>
      <c r="I83" s="8">
        <f>IF(F83=0,0,G83/F83-1)</f>
        <v/>
      </c>
    </row>
    <row r="84">
      <c r="A84" s="6" t="inlineStr">
        <is>
          <t>1000.1100.1000.52020.030</t>
        </is>
      </c>
      <c r="B84" s="6" t="inlineStr">
        <is>
          <t>Ed Tech Benefits</t>
        </is>
      </c>
      <c r="C84" s="24" t="n">
        <v>6644.38</v>
      </c>
      <c r="D84" s="24" t="n">
        <v>6007.9</v>
      </c>
      <c r="E84" s="24" t="n">
        <v>1321.08</v>
      </c>
      <c r="F84" s="24" t="n">
        <v>13349</v>
      </c>
      <c r="G84" s="24" t="n">
        <v>10701</v>
      </c>
      <c r="H84" s="24">
        <f>G84-F84</f>
        <v/>
      </c>
      <c r="I84" s="8">
        <f>IF(F84=0,0,G84/F84-1)</f>
        <v/>
      </c>
    </row>
    <row r="85">
      <c r="A85" s="6" t="inlineStr">
        <is>
          <t>1000.1100.1000.52030.030</t>
        </is>
      </c>
      <c r="B85" s="6" t="inlineStr">
        <is>
          <t>Sub Benefits</t>
        </is>
      </c>
      <c r="C85" s="24" t="n">
        <v>176.93</v>
      </c>
      <c r="D85" s="24" t="n">
        <v>4.98</v>
      </c>
      <c r="E85" s="24" t="n">
        <v>1925.69</v>
      </c>
      <c r="F85" s="24" t="n">
        <v>585</v>
      </c>
      <c r="G85" s="24" t="n">
        <v>585</v>
      </c>
      <c r="H85" s="24">
        <f>G85-F85</f>
        <v/>
      </c>
      <c r="I85" s="8">
        <f>IF(F85=0,0,G85/F85-1)</f>
        <v/>
      </c>
    </row>
    <row r="86">
      <c r="A86" s="6" t="inlineStr">
        <is>
          <t>1000.1100.1000.52300.030</t>
        </is>
      </c>
      <c r="B86" s="6" t="inlineStr">
        <is>
          <t>Retirement</t>
        </is>
      </c>
      <c r="C86" s="24" t="n">
        <v>0</v>
      </c>
      <c r="D86" s="24" t="n">
        <v>0</v>
      </c>
      <c r="E86" s="24" t="n">
        <v>0</v>
      </c>
      <c r="F86" s="24" t="n">
        <v>190</v>
      </c>
      <c r="G86" s="24" t="n">
        <v>0</v>
      </c>
      <c r="H86" s="24">
        <f>G86-F86</f>
        <v/>
      </c>
      <c r="I86" s="8">
        <f>IF(F86=0,0,G86/F86-1)</f>
        <v/>
      </c>
    </row>
    <row r="87">
      <c r="A87" s="6" t="inlineStr">
        <is>
          <t>1000.1100.1000.52310.030</t>
        </is>
      </c>
      <c r="B87" s="6" t="inlineStr">
        <is>
          <t>Retirement</t>
        </is>
      </c>
      <c r="C87" s="24" t="n">
        <v>15341.89</v>
      </c>
      <c r="D87" s="24" t="n">
        <v>3863.87</v>
      </c>
      <c r="E87" s="24" t="n">
        <v>20451.7</v>
      </c>
      <c r="F87" s="24" t="n">
        <v>23524</v>
      </c>
      <c r="G87" s="24" t="n">
        <v>25664</v>
      </c>
      <c r="H87" s="24">
        <f>G87-F87</f>
        <v/>
      </c>
      <c r="I87" s="8">
        <f>IF(F87=0,0,G87/F87-1)</f>
        <v/>
      </c>
    </row>
    <row r="88">
      <c r="A88" s="6" t="inlineStr">
        <is>
          <t>1000.1100.1000.52320.030</t>
        </is>
      </c>
      <c r="B88" s="6" t="inlineStr">
        <is>
          <t>Retirement</t>
        </is>
      </c>
      <c r="C88" s="24" t="n">
        <v>669.8099999999999</v>
      </c>
      <c r="D88" s="24" t="n">
        <v>88.75</v>
      </c>
      <c r="E88" s="24" t="n">
        <v>1491.33</v>
      </c>
      <c r="F88" s="24" t="n">
        <v>2258</v>
      </c>
      <c r="G88" s="24" t="n">
        <v>1968</v>
      </c>
      <c r="H88" s="24">
        <f>G88-F88</f>
        <v/>
      </c>
      <c r="I88" s="8">
        <f>IF(F88=0,0,G88/F88-1)</f>
        <v/>
      </c>
    </row>
    <row r="89">
      <c r="A89" s="6" t="inlineStr">
        <is>
          <t>1000.1100.1000.52330.030</t>
        </is>
      </c>
      <c r="B89" s="6" t="inlineStr">
        <is>
          <t>Retirement</t>
        </is>
      </c>
      <c r="C89" s="24" t="n">
        <v>141.09</v>
      </c>
      <c r="D89" s="24" t="n">
        <v>10.16</v>
      </c>
      <c r="E89" s="24" t="n">
        <v>907.4299999999999</v>
      </c>
      <c r="F89" s="24" t="n">
        <v>1248</v>
      </c>
      <c r="G89" s="24" t="n">
        <v>1248</v>
      </c>
      <c r="H89" s="24">
        <f>G89-F89</f>
        <v/>
      </c>
      <c r="I89" s="8">
        <f>IF(F89=0,0,G89/F89-1)</f>
        <v/>
      </c>
    </row>
    <row r="90">
      <c r="A90" s="6" t="inlineStr">
        <is>
          <t>1000.1100.1000.53400.030</t>
        </is>
      </c>
      <c r="B90" s="6" t="inlineStr">
        <is>
          <t>Professional Services</t>
        </is>
      </c>
      <c r="C90" s="24" t="n">
        <v>6772.02</v>
      </c>
      <c r="D90" s="24" t="n">
        <v>3186.32</v>
      </c>
      <c r="E90" s="24" t="n">
        <v>6470.1</v>
      </c>
      <c r="F90" s="24" t="n">
        <v>8784.799999999999</v>
      </c>
      <c r="G90" s="24" t="n">
        <v>10000</v>
      </c>
      <c r="H90" s="24">
        <f>G90-F90</f>
        <v/>
      </c>
      <c r="I90" s="8">
        <f>IF(F90=0,0,G90/F90-1)</f>
        <v/>
      </c>
    </row>
    <row r="91">
      <c r="A91" s="6" t="inlineStr">
        <is>
          <t>1000.1100.1000.54300.030</t>
        </is>
      </c>
      <c r="B91" s="6" t="inlineStr">
        <is>
          <t>Copiers Repairs/Maint</t>
        </is>
      </c>
      <c r="C91" s="24" t="n">
        <v>1980.35</v>
      </c>
      <c r="D91" s="24" t="n">
        <v>2617.2</v>
      </c>
      <c r="E91" s="24" t="n">
        <v>4494.1</v>
      </c>
      <c r="F91" s="24" t="n">
        <v>8168</v>
      </c>
      <c r="G91" s="24" t="n">
        <v>9700</v>
      </c>
      <c r="H91" s="24">
        <f>G91-F91</f>
        <v/>
      </c>
      <c r="I91" s="8">
        <f>IF(F91=0,0,G91/F91-1)</f>
        <v/>
      </c>
    </row>
    <row r="92">
      <c r="A92" s="6" t="inlineStr">
        <is>
          <t>1000.1100.1000.54330.030</t>
        </is>
      </c>
      <c r="B92" s="6" t="inlineStr">
        <is>
          <t>Software</t>
        </is>
      </c>
      <c r="C92" s="24" t="n">
        <v>0</v>
      </c>
      <c r="D92" s="24" t="n">
        <v>96</v>
      </c>
      <c r="E92" s="24" t="n">
        <v>0</v>
      </c>
      <c r="F92" s="24" t="n">
        <v>5853</v>
      </c>
      <c r="G92" s="24" t="n">
        <v>5831</v>
      </c>
      <c r="H92" s="24">
        <f>G92-F92</f>
        <v/>
      </c>
      <c r="I92" s="8">
        <f>IF(F92=0,0,G92/F92-1)</f>
        <v/>
      </c>
    </row>
    <row r="93">
      <c r="A93" s="6" t="inlineStr">
        <is>
          <t>1000.1100.1000.55800.030</t>
        </is>
      </c>
      <c r="B93" s="6" t="inlineStr">
        <is>
          <t>Travel</t>
        </is>
      </c>
      <c r="C93" s="24" t="n">
        <v>1108.72</v>
      </c>
      <c r="D93" s="24" t="n">
        <v>701.1799999999999</v>
      </c>
      <c r="E93" s="24" t="n">
        <v>963.05</v>
      </c>
      <c r="F93" s="24" t="n">
        <v>1100</v>
      </c>
      <c r="G93" s="24" t="n">
        <v>1100</v>
      </c>
      <c r="H93" s="24">
        <f>G93-F93</f>
        <v/>
      </c>
      <c r="I93" s="8">
        <f>IF(F93=0,0,G93/F93-1)</f>
        <v/>
      </c>
    </row>
    <row r="94">
      <c r="A94" s="6" t="inlineStr">
        <is>
          <t>1000.1100.1000.56100.030</t>
        </is>
      </c>
      <c r="B94" s="6" t="inlineStr">
        <is>
          <t>Instructional Supplies</t>
        </is>
      </c>
      <c r="C94" s="24" t="n">
        <v>18666.61</v>
      </c>
      <c r="D94" s="24" t="n">
        <v>16799.21</v>
      </c>
      <c r="E94" s="24" t="n">
        <v>15007.55</v>
      </c>
      <c r="F94" s="24" t="n">
        <v>18357.33</v>
      </c>
      <c r="G94" s="24" t="n">
        <v>21915</v>
      </c>
      <c r="H94" s="24">
        <f>G94-F94</f>
        <v/>
      </c>
      <c r="I94" s="8">
        <f>IF(F94=0,0,G94/F94-1)</f>
        <v/>
      </c>
    </row>
    <row r="95">
      <c r="A95" s="6" t="inlineStr">
        <is>
          <t>1000.1100.1000.56110.030</t>
        </is>
      </c>
      <c r="B95" s="6" t="inlineStr">
        <is>
          <t>Equipment &amp; Furniture, Instructional</t>
        </is>
      </c>
      <c r="C95" s="24" t="n">
        <v>0</v>
      </c>
      <c r="D95" s="24" t="n">
        <v>0</v>
      </c>
      <c r="E95" s="24" t="n">
        <v>0</v>
      </c>
      <c r="F95" s="24" t="n">
        <v>1300</v>
      </c>
      <c r="G95" s="24" t="n">
        <v>3600</v>
      </c>
      <c r="H95" s="24">
        <f>G95-F95</f>
        <v/>
      </c>
      <c r="I95" s="8">
        <f>IF(F95=0,0,G95/F95-1)</f>
        <v/>
      </c>
    </row>
    <row r="96">
      <c r="A96" s="6" t="inlineStr">
        <is>
          <t>1000.1100.1000.56400.030</t>
        </is>
      </c>
      <c r="B96" s="6" t="inlineStr">
        <is>
          <t>Books</t>
        </is>
      </c>
      <c r="C96" s="24" t="n">
        <v>2193.62</v>
      </c>
      <c r="D96" s="24" t="n">
        <v>3255.2</v>
      </c>
      <c r="E96" s="24" t="n">
        <v>2381.95</v>
      </c>
      <c r="F96" s="24" t="n">
        <v>2817.18</v>
      </c>
      <c r="G96" s="24" t="n">
        <v>4300</v>
      </c>
      <c r="H96" s="24">
        <f>G96-F96</f>
        <v/>
      </c>
      <c r="I96" s="8">
        <f>IF(F96=0,0,G96/F96-1)</f>
        <v/>
      </c>
    </row>
    <row r="97">
      <c r="A97" s="6" t="inlineStr">
        <is>
          <t>1000.1100.1000.57300.030</t>
        </is>
      </c>
      <c r="B97" s="6" t="inlineStr">
        <is>
          <t>Equipment</t>
        </is>
      </c>
      <c r="C97" s="24" t="n">
        <v>4088.95</v>
      </c>
      <c r="D97" s="24" t="n">
        <v>4818.72</v>
      </c>
      <c r="E97" s="24" t="n">
        <v>2761.99</v>
      </c>
      <c r="F97" s="24" t="n">
        <v>0</v>
      </c>
      <c r="G97" s="24" t="n">
        <v>0</v>
      </c>
      <c r="H97" s="24">
        <f>G97-F97</f>
        <v/>
      </c>
      <c r="I97" s="8">
        <f>IF(F97=0,0,G97/F97-1)</f>
        <v/>
      </c>
    </row>
    <row r="98">
      <c r="A98" s="6" t="inlineStr">
        <is>
          <t>1000.1100.1000.58100.030</t>
        </is>
      </c>
      <c r="B98" s="6" t="inlineStr">
        <is>
          <t>Dues and Fees</t>
        </is>
      </c>
      <c r="C98" s="24" t="n">
        <v>0</v>
      </c>
      <c r="D98" s="24" t="n">
        <v>0</v>
      </c>
      <c r="E98" s="24" t="n">
        <v>0</v>
      </c>
      <c r="F98" s="24" t="n">
        <v>210</v>
      </c>
      <c r="G98" s="24" t="n">
        <v>210</v>
      </c>
      <c r="H98" s="24">
        <f>G98-F98</f>
        <v/>
      </c>
      <c r="I98" s="8">
        <f>IF(F98=0,0,G98/F98-1)</f>
        <v/>
      </c>
    </row>
    <row r="99">
      <c r="A99" s="14" t="n"/>
      <c r="B99" s="28" t="inlineStr">
        <is>
          <t>Program 1100 Total</t>
        </is>
      </c>
      <c r="C99" s="29">
        <f>SUM(C78:C98)</f>
        <v/>
      </c>
      <c r="D99" s="29">
        <f>SUM(D78:D98)</f>
        <v/>
      </c>
      <c r="E99" s="29">
        <f>SUM(E78:E98)</f>
        <v/>
      </c>
      <c r="F99" s="29">
        <f>SUM(F78:F98)</f>
        <v/>
      </c>
      <c r="G99" s="29">
        <f>SUM(G78:G98)</f>
        <v/>
      </c>
      <c r="H99" s="29">
        <f>SUM(H78:H98)</f>
        <v/>
      </c>
      <c r="I99" s="29">
        <f>SUM(I78:I98)</f>
        <v/>
      </c>
    </row>
    <row r="100">
      <c r="A100" s="6" t="inlineStr">
        <is>
          <t>1000.1120.1000.51010.030</t>
        </is>
      </c>
      <c r="B100" s="6" t="inlineStr">
        <is>
          <t>Teacher Salaries</t>
        </is>
      </c>
      <c r="C100" s="24" t="n">
        <v>55451.5</v>
      </c>
      <c r="D100" s="24" t="n">
        <v>64475.38</v>
      </c>
      <c r="E100" s="24" t="n">
        <v>143179.57</v>
      </c>
      <c r="F100" s="24" t="n">
        <v>116823</v>
      </c>
      <c r="G100" s="24" t="n">
        <v>116507</v>
      </c>
      <c r="H100" s="24">
        <f>G100-F100</f>
        <v/>
      </c>
      <c r="I100" s="8">
        <f>IF(F100=0,0,G100/F100-1)</f>
        <v/>
      </c>
    </row>
    <row r="101">
      <c r="A101" s="6" t="inlineStr">
        <is>
          <t>1000.1120.1000.51020.030</t>
        </is>
      </c>
      <c r="B101" s="6" t="inlineStr">
        <is>
          <t>Ed Tech Salaries</t>
        </is>
      </c>
      <c r="C101" s="24" t="n">
        <v>0</v>
      </c>
      <c r="D101" s="24" t="n">
        <v>0</v>
      </c>
      <c r="E101" s="24" t="n">
        <v>13934.78</v>
      </c>
      <c r="F101" s="24" t="n">
        <v>23836</v>
      </c>
      <c r="G101" s="24" t="n">
        <v>15038</v>
      </c>
      <c r="H101" s="24">
        <f>G101-F101</f>
        <v/>
      </c>
      <c r="I101" s="8">
        <f>IF(F101=0,0,G101/F101-1)</f>
        <v/>
      </c>
    </row>
    <row r="102">
      <c r="A102" s="6" t="inlineStr">
        <is>
          <t>1000.1120.1000.52010.030</t>
        </is>
      </c>
      <c r="B102" s="6" t="inlineStr">
        <is>
          <t>Teacher Benefits</t>
        </is>
      </c>
      <c r="C102" s="24" t="n">
        <v>20993.07</v>
      </c>
      <c r="D102" s="24" t="n">
        <v>4862.22</v>
      </c>
      <c r="E102" s="24" t="n">
        <v>24403.41</v>
      </c>
      <c r="F102" s="24" t="n">
        <v>24397</v>
      </c>
      <c r="G102" s="24" t="n">
        <v>26588</v>
      </c>
      <c r="H102" s="24">
        <f>G102-F102</f>
        <v/>
      </c>
      <c r="I102" s="8">
        <f>IF(F102=0,0,G102/F102-1)</f>
        <v/>
      </c>
    </row>
    <row r="103">
      <c r="A103" s="6" t="inlineStr">
        <is>
          <t>1000.1120.1000.52020.030</t>
        </is>
      </c>
      <c r="B103" s="6" t="inlineStr">
        <is>
          <t>Ed Tech Benefits</t>
        </is>
      </c>
      <c r="C103" s="24" t="n">
        <v>0</v>
      </c>
      <c r="D103" s="24" t="n">
        <v>0</v>
      </c>
      <c r="E103" s="24" t="n">
        <v>7831.99</v>
      </c>
      <c r="F103" s="24" t="n">
        <v>3461</v>
      </c>
      <c r="G103" s="24" t="n">
        <v>3332</v>
      </c>
      <c r="H103" s="24">
        <f>G103-F103</f>
        <v/>
      </c>
      <c r="I103" s="8">
        <f>IF(F103=0,0,G103/F103-1)</f>
        <v/>
      </c>
    </row>
    <row r="104">
      <c r="A104" s="6" t="inlineStr">
        <is>
          <t>1000.1120.1000.52310.030</t>
        </is>
      </c>
      <c r="B104" s="6" t="inlineStr">
        <is>
          <t>Retirement</t>
        </is>
      </c>
      <c r="C104" s="24" t="n">
        <v>2306.72</v>
      </c>
      <c r="D104" s="24" t="n">
        <v>562.5599999999999</v>
      </c>
      <c r="E104" s="24" t="n">
        <v>5498.18</v>
      </c>
      <c r="F104" s="24" t="n">
        <v>4208</v>
      </c>
      <c r="G104" s="24" t="n">
        <v>5208</v>
      </c>
      <c r="H104" s="24">
        <f>G104-F104</f>
        <v/>
      </c>
      <c r="I104" s="8">
        <f>IF(F104=0,0,G104/F104-1)</f>
        <v/>
      </c>
    </row>
    <row r="105">
      <c r="A105" s="6" t="inlineStr">
        <is>
          <t>1000.1120.1000.52320.030</t>
        </is>
      </c>
      <c r="B105" s="6" t="inlineStr">
        <is>
          <t>Retirement</t>
        </is>
      </c>
      <c r="C105" s="24" t="n">
        <v>0</v>
      </c>
      <c r="D105" s="24" t="n">
        <v>0</v>
      </c>
      <c r="E105" s="24" t="n">
        <v>668.14</v>
      </c>
      <c r="F105" s="24" t="n">
        <v>526</v>
      </c>
      <c r="G105" s="24" t="n">
        <v>719</v>
      </c>
      <c r="H105" s="24">
        <f>G105-F105</f>
        <v/>
      </c>
      <c r="I105" s="8">
        <f>IF(F105=0,0,G105/F105-1)</f>
        <v/>
      </c>
    </row>
    <row r="106">
      <c r="A106" s="14" t="n"/>
      <c r="B106" s="28" t="inlineStr">
        <is>
          <t>Program 1120 Total</t>
        </is>
      </c>
      <c r="C106" s="29">
        <f>SUM(C100:C105)</f>
        <v/>
      </c>
      <c r="D106" s="29">
        <f>SUM(D100:D105)</f>
        <v/>
      </c>
      <c r="E106" s="29">
        <f>SUM(E100:E105)</f>
        <v/>
      </c>
      <c r="F106" s="29">
        <f>SUM(F100:F105)</f>
        <v/>
      </c>
      <c r="G106" s="29">
        <f>SUM(G100:G105)</f>
        <v/>
      </c>
      <c r="H106" s="29">
        <f>SUM(H100:H105)</f>
        <v/>
      </c>
      <c r="I106" s="29">
        <f>SUM(I100:I105)</f>
        <v/>
      </c>
    </row>
    <row r="107">
      <c r="A107" s="14" t="n"/>
      <c r="B107" s="30" t="inlineStr">
        <is>
          <t>Function 1000 Total</t>
        </is>
      </c>
      <c r="C107" s="31">
        <f>C99+C106</f>
        <v/>
      </c>
      <c r="D107" s="31">
        <f>D99+D106</f>
        <v/>
      </c>
      <c r="E107" s="31">
        <f>E99+E106</f>
        <v/>
      </c>
      <c r="F107" s="31">
        <f>F99+F106</f>
        <v/>
      </c>
      <c r="G107" s="31">
        <f>G99+G106</f>
        <v/>
      </c>
      <c r="H107" s="31">
        <f>H99+H106</f>
        <v/>
      </c>
      <c r="I107" s="31">
        <f>I99+I106</f>
        <v/>
      </c>
    </row>
    <row r="108">
      <c r="A108" s="14" t="n"/>
      <c r="B108" s="17" t="inlineStr">
        <is>
          <t>Cost Center ('030',) Total</t>
        </is>
      </c>
      <c r="C108" s="32">
        <f>C107</f>
        <v/>
      </c>
      <c r="D108" s="32">
        <f>D107</f>
        <v/>
      </c>
      <c r="E108" s="32">
        <f>E107</f>
        <v/>
      </c>
      <c r="F108" s="32">
        <f>F107</f>
        <v/>
      </c>
      <c r="G108" s="32">
        <f>G107</f>
        <v/>
      </c>
      <c r="H108" s="32">
        <f>H107</f>
        <v/>
      </c>
      <c r="I108" s="32">
        <f>I107</f>
        <v/>
      </c>
    </row>
    <row r="110">
      <c r="A110" s="3" t="inlineStr">
        <is>
          <t>Cost Center: ('040',)</t>
        </is>
      </c>
    </row>
    <row r="111">
      <c r="A111" s="6" t="inlineStr">
        <is>
          <t>1000.1100.1000.51010.040</t>
        </is>
      </c>
      <c r="B111" s="6" t="inlineStr">
        <is>
          <t>Teacher Salaries</t>
        </is>
      </c>
      <c r="C111" s="24" t="n">
        <v>1151488.93</v>
      </c>
      <c r="D111" s="24" t="n">
        <v>1253810.5</v>
      </c>
      <c r="E111" s="24" t="n">
        <v>1184827.65</v>
      </c>
      <c r="F111" s="24" t="n">
        <v>1309025</v>
      </c>
      <c r="G111" s="24" t="n">
        <v>1406802</v>
      </c>
      <c r="H111" s="24">
        <f>G111-F111</f>
        <v/>
      </c>
      <c r="I111" s="8">
        <f>IF(F111=0,0,G111/F111-1)</f>
        <v/>
      </c>
    </row>
    <row r="112">
      <c r="A112" s="6" t="inlineStr">
        <is>
          <t>1000.1100.1000.51020.040</t>
        </is>
      </c>
      <c r="B112" s="6" t="inlineStr">
        <is>
          <t>Ed Tech Salaries</t>
        </is>
      </c>
      <c r="C112" s="24" t="n">
        <v>70349.86</v>
      </c>
      <c r="D112" s="24" t="n">
        <v>16965.01</v>
      </c>
      <c r="E112" s="24" t="n">
        <v>23299.13</v>
      </c>
      <c r="F112" s="24" t="n">
        <v>46363</v>
      </c>
      <c r="G112" s="24" t="n">
        <v>53403</v>
      </c>
      <c r="H112" s="24">
        <f>G112-F112</f>
        <v/>
      </c>
      <c r="I112" s="8">
        <f>IF(F112=0,0,G112/F112-1)</f>
        <v/>
      </c>
    </row>
    <row r="113">
      <c r="A113" s="6" t="inlineStr">
        <is>
          <t>1000.1100.1000.51230.040</t>
        </is>
      </c>
      <c r="B113" s="6" t="inlineStr">
        <is>
          <t>Substitute Wages</t>
        </is>
      </c>
      <c r="C113" s="24" t="n">
        <v>22319.86</v>
      </c>
      <c r="D113" s="24" t="n">
        <v>24137.53</v>
      </c>
      <c r="E113" s="24" t="n">
        <v>31591.73</v>
      </c>
      <c r="F113" s="24" t="n">
        <v>30000</v>
      </c>
      <c r="G113" s="24" t="n">
        <v>30000</v>
      </c>
      <c r="H113" s="24">
        <f>G113-F113</f>
        <v/>
      </c>
      <c r="I113" s="8">
        <f>IF(F113=0,0,G113/F113-1)</f>
        <v/>
      </c>
    </row>
    <row r="114">
      <c r="A114" s="6" t="inlineStr">
        <is>
          <t>1000.1100.1000.51500.040</t>
        </is>
      </c>
      <c r="B114" s="6" t="inlineStr">
        <is>
          <t>Stipends</t>
        </is>
      </c>
      <c r="C114" s="24" t="n">
        <v>0</v>
      </c>
      <c r="D114" s="24" t="n">
        <v>0</v>
      </c>
      <c r="E114" s="24" t="n">
        <v>0</v>
      </c>
      <c r="F114" s="24" t="n">
        <v>13002</v>
      </c>
      <c r="G114" s="24" t="n">
        <v>0</v>
      </c>
      <c r="H114" s="24">
        <f>G114-F114</f>
        <v/>
      </c>
      <c r="I114" s="8">
        <f>IF(F114=0,0,G114/F114-1)</f>
        <v/>
      </c>
    </row>
    <row r="115">
      <c r="A115" s="6" t="inlineStr">
        <is>
          <t>1000.1100.1000.52000.040</t>
        </is>
      </c>
      <c r="B115" s="6" t="inlineStr">
        <is>
          <t>Stipend Benefits</t>
        </is>
      </c>
      <c r="C115" s="24" t="n">
        <v>0</v>
      </c>
      <c r="D115" s="24" t="n">
        <v>0</v>
      </c>
      <c r="E115" s="24" t="n">
        <v>0</v>
      </c>
      <c r="F115" s="24" t="n">
        <v>253</v>
      </c>
      <c r="G115" s="24" t="n">
        <v>0</v>
      </c>
      <c r="H115" s="24">
        <f>G115-F115</f>
        <v/>
      </c>
      <c r="I115" s="8">
        <f>IF(F115=0,0,G115/F115-1)</f>
        <v/>
      </c>
    </row>
    <row r="116">
      <c r="A116" s="6" t="inlineStr">
        <is>
          <t>1000.1100.1000.52010.040</t>
        </is>
      </c>
      <c r="B116" s="6" t="inlineStr">
        <is>
          <t>Teacher Benefits</t>
        </is>
      </c>
      <c r="C116" s="24" t="n">
        <v>272388.55</v>
      </c>
      <c r="D116" s="24" t="n">
        <v>68093.75999999999</v>
      </c>
      <c r="E116" s="24" t="n">
        <v>270920.75</v>
      </c>
      <c r="F116" s="24" t="n">
        <v>302714</v>
      </c>
      <c r="G116" s="24" t="n">
        <v>351352</v>
      </c>
      <c r="H116" s="24">
        <f>G116-F116</f>
        <v/>
      </c>
      <c r="I116" s="8">
        <f>IF(F116=0,0,G116/F116-1)</f>
        <v/>
      </c>
    </row>
    <row r="117">
      <c r="A117" s="6" t="inlineStr">
        <is>
          <t>1000.1100.1000.52020.040</t>
        </is>
      </c>
      <c r="B117" s="6" t="inlineStr">
        <is>
          <t>Ed Tech Benefits</t>
        </is>
      </c>
      <c r="C117" s="24" t="n">
        <v>18864.07</v>
      </c>
      <c r="D117" s="24" t="n">
        <v>1487.01</v>
      </c>
      <c r="E117" s="24" t="n">
        <v>8231.459999999999</v>
      </c>
      <c r="F117" s="24" t="n">
        <v>23185</v>
      </c>
      <c r="G117" s="24" t="n">
        <v>16402</v>
      </c>
      <c r="H117" s="24">
        <f>G117-F117</f>
        <v/>
      </c>
      <c r="I117" s="8">
        <f>IF(F117=0,0,G117/F117-1)</f>
        <v/>
      </c>
    </row>
    <row r="118">
      <c r="A118" s="6" t="inlineStr">
        <is>
          <t>1000.1100.1000.52030.040</t>
        </is>
      </c>
      <c r="B118" s="6" t="inlineStr">
        <is>
          <t>Substitute Benefits</t>
        </is>
      </c>
      <c r="C118" s="24" t="n">
        <v>848.22</v>
      </c>
      <c r="D118" s="24" t="n">
        <v>230.22</v>
      </c>
      <c r="E118" s="24" t="n">
        <v>1943.35</v>
      </c>
      <c r="F118" s="24" t="n">
        <v>585</v>
      </c>
      <c r="G118" s="24" t="n">
        <v>585</v>
      </c>
      <c r="H118" s="24">
        <f>G118-F118</f>
        <v/>
      </c>
      <c r="I118" s="8">
        <f>IF(F118=0,0,G118/F118-1)</f>
        <v/>
      </c>
    </row>
    <row r="119">
      <c r="A119" s="6" t="inlineStr">
        <is>
          <t>1000.1100.1000.52300.040</t>
        </is>
      </c>
      <c r="B119" s="6" t="inlineStr">
        <is>
          <t>Retirement - Stipends</t>
        </is>
      </c>
      <c r="C119" s="24" t="n">
        <v>0</v>
      </c>
      <c r="D119" s="24" t="n">
        <v>0</v>
      </c>
      <c r="E119" s="24" t="n">
        <v>0</v>
      </c>
      <c r="F119" s="24" t="n">
        <v>540</v>
      </c>
      <c r="G119" s="24" t="n">
        <v>0</v>
      </c>
      <c r="H119" s="24">
        <f>G119-F119</f>
        <v/>
      </c>
      <c r="I119" s="8">
        <f>IF(F119=0,0,G119/F119-1)</f>
        <v/>
      </c>
    </row>
    <row r="120">
      <c r="A120" s="6" t="inlineStr">
        <is>
          <t>1000.1100.1000.52310.040</t>
        </is>
      </c>
      <c r="B120" s="6" t="inlineStr">
        <is>
          <t>Retirement</t>
        </is>
      </c>
      <c r="C120" s="24" t="n">
        <v>45464.33</v>
      </c>
      <c r="D120" s="24" t="n">
        <v>9772.16</v>
      </c>
      <c r="E120" s="24" t="n">
        <v>49389.79</v>
      </c>
      <c r="F120" s="24" t="n">
        <v>54455</v>
      </c>
      <c r="G120" s="24" t="n">
        <v>65062</v>
      </c>
      <c r="H120" s="24">
        <f>G120-F120</f>
        <v/>
      </c>
      <c r="I120" s="8">
        <f>IF(F120=0,0,G120/F120-1)</f>
        <v/>
      </c>
    </row>
    <row r="121">
      <c r="A121" s="6" t="inlineStr">
        <is>
          <t>1000.1100.1000.52320.040</t>
        </is>
      </c>
      <c r="B121" s="6" t="inlineStr">
        <is>
          <t>Retirement</t>
        </is>
      </c>
      <c r="C121" s="24" t="n">
        <v>2887.9</v>
      </c>
      <c r="D121" s="24" t="n">
        <v>4.89</v>
      </c>
      <c r="E121" s="24" t="n">
        <v>905.36</v>
      </c>
      <c r="F121" s="24" t="n">
        <v>1928</v>
      </c>
      <c r="G121" s="24" t="n">
        <v>2554</v>
      </c>
      <c r="H121" s="24">
        <f>G121-F121</f>
        <v/>
      </c>
      <c r="I121" s="8">
        <f>IF(F121=0,0,G121/F121-1)</f>
        <v/>
      </c>
    </row>
    <row r="122">
      <c r="A122" s="6" t="inlineStr">
        <is>
          <t>1000.1100.1000.52330.040</t>
        </is>
      </c>
      <c r="B122" s="6" t="inlineStr">
        <is>
          <t>Retirement</t>
        </is>
      </c>
      <c r="C122" s="24" t="n">
        <v>418.23</v>
      </c>
      <c r="D122" s="24" t="n">
        <v>156.32</v>
      </c>
      <c r="E122" s="24" t="n">
        <v>141.49</v>
      </c>
      <c r="F122" s="24" t="n">
        <v>1248</v>
      </c>
      <c r="G122" s="24" t="n">
        <v>1248</v>
      </c>
      <c r="H122" s="24">
        <f>G122-F122</f>
        <v/>
      </c>
      <c r="I122" s="8">
        <f>IF(F122=0,0,G122/F122-1)</f>
        <v/>
      </c>
    </row>
    <row r="123">
      <c r="A123" s="6" t="inlineStr">
        <is>
          <t>1000.1100.1000.53400.040</t>
        </is>
      </c>
      <c r="B123" s="6" t="inlineStr">
        <is>
          <t>Purchased Professional</t>
        </is>
      </c>
      <c r="C123" s="24" t="n">
        <v>6374</v>
      </c>
      <c r="D123" s="24" t="n">
        <v>6127.63</v>
      </c>
      <c r="E123" s="24" t="n">
        <v>13258.23</v>
      </c>
      <c r="F123" s="24" t="n">
        <v>18578.5</v>
      </c>
      <c r="G123" s="24" t="n">
        <v>20965</v>
      </c>
      <c r="H123" s="24">
        <f>G123-F123</f>
        <v/>
      </c>
      <c r="I123" s="8">
        <f>IF(F123=0,0,G123/F123-1)</f>
        <v/>
      </c>
    </row>
    <row r="124">
      <c r="A124" s="6" t="inlineStr">
        <is>
          <t>1000.1100.1000.54300.040</t>
        </is>
      </c>
      <c r="B124" s="6" t="inlineStr">
        <is>
          <t>Copiers Repair/Maint</t>
        </is>
      </c>
      <c r="C124" s="24" t="n">
        <v>8921.09</v>
      </c>
      <c r="D124" s="24" t="n">
        <v>5483.2</v>
      </c>
      <c r="E124" s="24" t="n">
        <v>8026.36</v>
      </c>
      <c r="F124" s="24" t="n">
        <v>11500</v>
      </c>
      <c r="G124" s="24" t="n">
        <v>11800</v>
      </c>
      <c r="H124" s="24">
        <f>G124-F124</f>
        <v/>
      </c>
      <c r="I124" s="8">
        <f>IF(F124=0,0,G124/F124-1)</f>
        <v/>
      </c>
    </row>
    <row r="125">
      <c r="A125" s="6" t="inlineStr">
        <is>
          <t>1000.1100.1000.54330.040</t>
        </is>
      </c>
      <c r="B125" s="6" t="inlineStr">
        <is>
          <t>Software</t>
        </is>
      </c>
      <c r="C125" s="24" t="n">
        <v>0</v>
      </c>
      <c r="D125" s="24" t="n">
        <v>17.99</v>
      </c>
      <c r="E125" s="24" t="n">
        <v>3516.98</v>
      </c>
      <c r="F125" s="24" t="n">
        <v>4175</v>
      </c>
      <c r="G125" s="24" t="n">
        <v>5395</v>
      </c>
      <c r="H125" s="24">
        <f>G125-F125</f>
        <v/>
      </c>
      <c r="I125" s="8">
        <f>IF(F125=0,0,G125/F125-1)</f>
        <v/>
      </c>
    </row>
    <row r="126">
      <c r="A126" s="6" t="inlineStr">
        <is>
          <t>1000.1100.1000.55800.040</t>
        </is>
      </c>
      <c r="B126" s="6" t="inlineStr">
        <is>
          <t>Travel</t>
        </is>
      </c>
      <c r="C126" s="24" t="n">
        <v>1730.88</v>
      </c>
      <c r="D126" s="24" t="n">
        <v>146.14</v>
      </c>
      <c r="E126" s="24" t="n">
        <v>744.15</v>
      </c>
      <c r="F126" s="24" t="n">
        <v>590</v>
      </c>
      <c r="G126" s="24" t="n">
        <v>580</v>
      </c>
      <c r="H126" s="24">
        <f>G126-F126</f>
        <v/>
      </c>
      <c r="I126" s="8">
        <f>IF(F126=0,0,G126/F126-1)</f>
        <v/>
      </c>
    </row>
    <row r="127">
      <c r="A127" s="6" t="inlineStr">
        <is>
          <t>1000.1100.1000.56100.040</t>
        </is>
      </c>
      <c r="B127" s="6" t="inlineStr">
        <is>
          <t>Instructional Supplies</t>
        </is>
      </c>
      <c r="C127" s="24" t="n">
        <v>27099.97</v>
      </c>
      <c r="D127" s="24" t="n">
        <v>20330.22</v>
      </c>
      <c r="E127" s="24" t="n">
        <v>28391.27</v>
      </c>
      <c r="F127" s="24" t="n">
        <v>37205.88</v>
      </c>
      <c r="G127" s="24" t="n">
        <v>40183</v>
      </c>
      <c r="H127" s="24">
        <f>G127-F127</f>
        <v/>
      </c>
      <c r="I127" s="8">
        <f>IF(F127=0,0,G127/F127-1)</f>
        <v/>
      </c>
    </row>
    <row r="128">
      <c r="A128" s="6" t="inlineStr">
        <is>
          <t>1000.1100.1000.56400.040</t>
        </is>
      </c>
      <c r="B128" s="6" t="inlineStr">
        <is>
          <t>Books</t>
        </is>
      </c>
      <c r="C128" s="24" t="n">
        <v>9628.51</v>
      </c>
      <c r="D128" s="24" t="n">
        <v>8309.469999999999</v>
      </c>
      <c r="E128" s="24" t="n">
        <v>5536.65</v>
      </c>
      <c r="F128" s="24" t="n">
        <v>6597.32</v>
      </c>
      <c r="G128" s="24" t="n">
        <v>6800</v>
      </c>
      <c r="H128" s="24">
        <f>G128-F128</f>
        <v/>
      </c>
      <c r="I128" s="8">
        <f>IF(F128=0,0,G128/F128-1)</f>
        <v/>
      </c>
    </row>
    <row r="129">
      <c r="A129" s="6" t="inlineStr">
        <is>
          <t>1000.1100.1000.57300.040</t>
        </is>
      </c>
      <c r="B129" s="6" t="inlineStr">
        <is>
          <t>Equipment</t>
        </is>
      </c>
      <c r="C129" s="24" t="n">
        <v>12170.2</v>
      </c>
      <c r="D129" s="24" t="n">
        <v>8317.870000000001</v>
      </c>
      <c r="E129" s="24" t="n">
        <v>5378.82</v>
      </c>
      <c r="F129" s="24" t="n">
        <v>7164.29</v>
      </c>
      <c r="G129" s="24" t="n">
        <v>5300</v>
      </c>
      <c r="H129" s="24">
        <f>G129-F129</f>
        <v/>
      </c>
      <c r="I129" s="8">
        <f>IF(F129=0,0,G129/F129-1)</f>
        <v/>
      </c>
    </row>
    <row r="130">
      <c r="A130" s="6" t="inlineStr">
        <is>
          <t>1000.1100.1000.58100.040</t>
        </is>
      </c>
      <c r="B130" s="6" t="inlineStr">
        <is>
          <t>Dues and Fees</t>
        </is>
      </c>
      <c r="C130" s="24" t="n">
        <v>0</v>
      </c>
      <c r="D130" s="24" t="n">
        <v>50</v>
      </c>
      <c r="E130" s="24" t="n">
        <v>50</v>
      </c>
      <c r="F130" s="24" t="n">
        <v>0</v>
      </c>
      <c r="G130" s="24" t="n">
        <v>385</v>
      </c>
      <c r="H130" s="24">
        <f>G130-F130</f>
        <v/>
      </c>
      <c r="I130" s="8">
        <f>IF(F130=0,0,G130/F130-1)</f>
        <v/>
      </c>
    </row>
    <row r="131">
      <c r="A131" s="14" t="n"/>
      <c r="B131" s="28" t="inlineStr">
        <is>
          <t>Program 1100 Total</t>
        </is>
      </c>
      <c r="C131" s="29">
        <f>SUM(C111:C130)</f>
        <v/>
      </c>
      <c r="D131" s="29">
        <f>SUM(D111:D130)</f>
        <v/>
      </c>
      <c r="E131" s="29">
        <f>SUM(E111:E130)</f>
        <v/>
      </c>
      <c r="F131" s="29">
        <f>SUM(F111:F130)</f>
        <v/>
      </c>
      <c r="G131" s="29">
        <f>SUM(G111:G130)</f>
        <v/>
      </c>
      <c r="H131" s="29">
        <f>SUM(H111:H130)</f>
        <v/>
      </c>
      <c r="I131" s="29">
        <f>SUM(I111:I130)</f>
        <v/>
      </c>
    </row>
    <row r="132">
      <c r="A132" s="14" t="n"/>
      <c r="B132" s="17" t="inlineStr">
        <is>
          <t>Cost Center ('040',) Total</t>
        </is>
      </c>
      <c r="C132" s="32">
        <f>C131</f>
        <v/>
      </c>
      <c r="D132" s="32">
        <f>D131</f>
        <v/>
      </c>
      <c r="E132" s="32">
        <f>E131</f>
        <v/>
      </c>
      <c r="F132" s="32">
        <f>F131</f>
        <v/>
      </c>
      <c r="G132" s="32">
        <f>G131</f>
        <v/>
      </c>
      <c r="H132" s="32">
        <f>H131</f>
        <v/>
      </c>
      <c r="I132" s="32">
        <f>I131</f>
        <v/>
      </c>
    </row>
    <row r="134">
      <c r="A134" s="3" t="inlineStr">
        <is>
          <t>Cost Center: ('050',)</t>
        </is>
      </c>
    </row>
    <row r="135">
      <c r="A135" s="6" t="inlineStr">
        <is>
          <t>1000.1100.1000.51010.050</t>
        </is>
      </c>
      <c r="B135" s="6" t="inlineStr">
        <is>
          <t>Teacher Salaries</t>
        </is>
      </c>
      <c r="C135" s="24" t="n">
        <v>1711234.97</v>
      </c>
      <c r="D135" s="24" t="n">
        <v>1751006.03</v>
      </c>
      <c r="E135" s="24" t="n">
        <v>1666819.07</v>
      </c>
      <c r="F135" s="24" t="n">
        <v>1686356</v>
      </c>
      <c r="G135" s="24" t="n">
        <v>1887891</v>
      </c>
      <c r="H135" s="24">
        <f>G135-F135</f>
        <v/>
      </c>
      <c r="I135" s="8">
        <f>IF(F135=0,0,G135/F135-1)</f>
        <v/>
      </c>
    </row>
    <row r="136">
      <c r="A136" s="6" t="inlineStr">
        <is>
          <t>1000.1100.1000.51020.050</t>
        </is>
      </c>
      <c r="B136" s="6" t="inlineStr">
        <is>
          <t>Ed Tech Salaries</t>
        </is>
      </c>
      <c r="C136" s="24" t="n">
        <v>85223.84</v>
      </c>
      <c r="D136" s="24" t="n">
        <v>81971.62</v>
      </c>
      <c r="E136" s="24" t="n">
        <v>91828.8</v>
      </c>
      <c r="F136" s="24" t="n">
        <v>107011</v>
      </c>
      <c r="G136" s="24" t="n">
        <v>112077</v>
      </c>
      <c r="H136" s="24">
        <f>G136-F136</f>
        <v/>
      </c>
      <c r="I136" s="8">
        <f>IF(F136=0,0,G136/F136-1)</f>
        <v/>
      </c>
    </row>
    <row r="137">
      <c r="A137" s="6" t="inlineStr">
        <is>
          <t>1000.1100.1000.51230.050</t>
        </is>
      </c>
      <c r="B137" s="6" t="inlineStr">
        <is>
          <t>Substitute Wages</t>
        </is>
      </c>
      <c r="C137" s="24" t="n">
        <v>18906.98</v>
      </c>
      <c r="D137" s="24" t="n">
        <v>62395.04</v>
      </c>
      <c r="E137" s="24" t="n">
        <v>25245</v>
      </c>
      <c r="F137" s="24" t="n">
        <v>65000</v>
      </c>
      <c r="G137" s="24" t="n">
        <v>65000</v>
      </c>
      <c r="H137" s="24">
        <f>G137-F137</f>
        <v/>
      </c>
      <c r="I137" s="8">
        <f>IF(F137=0,0,G137/F137-1)</f>
        <v/>
      </c>
    </row>
    <row r="138">
      <c r="A138" s="6" t="inlineStr">
        <is>
          <t>1000.1100.1000.51500.050</t>
        </is>
      </c>
      <c r="B138" s="6" t="inlineStr">
        <is>
          <t>Stipends</t>
        </is>
      </c>
      <c r="C138" s="24" t="n">
        <v>2565</v>
      </c>
      <c r="D138" s="24" t="n">
        <v>0</v>
      </c>
      <c r="E138" s="24" t="n">
        <v>0</v>
      </c>
      <c r="F138" s="24" t="n">
        <v>27723</v>
      </c>
      <c r="G138" s="24" t="n">
        <v>0</v>
      </c>
      <c r="H138" s="24">
        <f>G138-F138</f>
        <v/>
      </c>
      <c r="I138" s="8">
        <f>IF(F138=0,0,G138/F138-1)</f>
        <v/>
      </c>
    </row>
    <row r="139">
      <c r="A139" s="6" t="inlineStr">
        <is>
          <t>1000.1100.1000.52000.050</t>
        </is>
      </c>
      <c r="B139" s="6" t="inlineStr">
        <is>
          <t>Stipend Benefits</t>
        </is>
      </c>
      <c r="C139" s="24" t="n">
        <v>7926.52</v>
      </c>
      <c r="D139" s="24" t="n">
        <v>0</v>
      </c>
      <c r="E139" s="24" t="n">
        <v>0</v>
      </c>
      <c r="F139" s="24" t="n">
        <v>401</v>
      </c>
      <c r="G139" s="24" t="n">
        <v>0</v>
      </c>
      <c r="H139" s="24">
        <f>G139-F139</f>
        <v/>
      </c>
      <c r="I139" s="8">
        <f>IF(F139=0,0,G139/F139-1)</f>
        <v/>
      </c>
    </row>
    <row r="140">
      <c r="A140" s="6" t="inlineStr">
        <is>
          <t>1000.1100.1000.52010.050</t>
        </is>
      </c>
      <c r="B140" s="6" t="inlineStr">
        <is>
          <t>Teacher Benefits</t>
        </is>
      </c>
      <c r="C140" s="24" t="n">
        <v>407266.52</v>
      </c>
      <c r="D140" s="24" t="n">
        <v>95631.67999999999</v>
      </c>
      <c r="E140" s="24" t="n">
        <v>409037.84</v>
      </c>
      <c r="F140" s="24" t="n">
        <v>424331</v>
      </c>
      <c r="G140" s="24" t="n">
        <v>472255</v>
      </c>
      <c r="H140" s="24">
        <f>G140-F140</f>
        <v/>
      </c>
      <c r="I140" s="8">
        <f>IF(F140=0,0,G140/F140-1)</f>
        <v/>
      </c>
    </row>
    <row r="141">
      <c r="A141" s="6" t="inlineStr">
        <is>
          <t>1000.1100.1000.52020.050</t>
        </is>
      </c>
      <c r="B141" s="6" t="inlineStr">
        <is>
          <t>Ed Tech Benefits</t>
        </is>
      </c>
      <c r="C141" s="24" t="n">
        <v>27830.97</v>
      </c>
      <c r="D141" s="24" t="n">
        <v>4173.23</v>
      </c>
      <c r="E141" s="24" t="n">
        <v>22149.71</v>
      </c>
      <c r="F141" s="24" t="n">
        <v>68385</v>
      </c>
      <c r="G141" s="24" t="n">
        <v>61952</v>
      </c>
      <c r="H141" s="24">
        <f>G141-F141</f>
        <v/>
      </c>
      <c r="I141" s="8">
        <f>IF(F141=0,0,G141/F141-1)</f>
        <v/>
      </c>
    </row>
    <row r="142">
      <c r="A142" s="6" t="inlineStr">
        <is>
          <t>1000.1100.1000.52030.050</t>
        </is>
      </c>
      <c r="B142" s="6" t="inlineStr">
        <is>
          <t>Substitute Benefits</t>
        </is>
      </c>
      <c r="C142" s="24" t="n">
        <v>1106.35</v>
      </c>
      <c r="D142" s="24" t="n">
        <v>169.56</v>
      </c>
      <c r="E142" s="24" t="n">
        <v>1057.49</v>
      </c>
      <c r="F142" s="24" t="n">
        <v>780</v>
      </c>
      <c r="G142" s="24" t="n">
        <v>780</v>
      </c>
      <c r="H142" s="24">
        <f>G142-F142</f>
        <v/>
      </c>
      <c r="I142" s="8">
        <f>IF(F142=0,0,G142/F142-1)</f>
        <v/>
      </c>
    </row>
    <row r="143">
      <c r="A143" s="6" t="inlineStr">
        <is>
          <t>1000.1100.1000.52300.050</t>
        </is>
      </c>
      <c r="B143" s="6" t="inlineStr">
        <is>
          <t>Retirement</t>
        </is>
      </c>
      <c r="C143" s="24" t="n">
        <v>107.53</v>
      </c>
      <c r="D143" s="24" t="n">
        <v>0</v>
      </c>
      <c r="E143" s="24" t="n">
        <v>0</v>
      </c>
      <c r="F143" s="24" t="n">
        <v>1153</v>
      </c>
      <c r="G143" s="24" t="n">
        <v>0</v>
      </c>
      <c r="H143" s="24">
        <f>G143-F143</f>
        <v/>
      </c>
      <c r="I143" s="8">
        <f>IF(F143=0,0,G143/F143-1)</f>
        <v/>
      </c>
    </row>
    <row r="144">
      <c r="A144" s="6" t="inlineStr">
        <is>
          <t>1000.1100.1000.52310.050</t>
        </is>
      </c>
      <c r="B144" s="6" t="inlineStr">
        <is>
          <t>Retirement</t>
        </is>
      </c>
      <c r="C144" s="24" t="n">
        <v>89119.67999999999</v>
      </c>
      <c r="D144" s="24" t="n">
        <v>15689.64</v>
      </c>
      <c r="E144" s="24" t="n">
        <v>66089.34</v>
      </c>
      <c r="F144" s="24" t="n">
        <v>71910</v>
      </c>
      <c r="G144" s="24" t="n">
        <v>88495</v>
      </c>
      <c r="H144" s="24">
        <f>G144-F144</f>
        <v/>
      </c>
      <c r="I144" s="8">
        <f>IF(F144=0,0,G144/F144-1)</f>
        <v/>
      </c>
    </row>
    <row r="145">
      <c r="A145" s="6" t="inlineStr">
        <is>
          <t>1000.1100.1000.52320.050</t>
        </is>
      </c>
      <c r="B145" s="6" t="inlineStr">
        <is>
          <t>Retirement</t>
        </is>
      </c>
      <c r="C145" s="24" t="n">
        <v>3611.55</v>
      </c>
      <c r="D145" s="24" t="n">
        <v>742.02</v>
      </c>
      <c r="E145" s="24" t="n">
        <v>3273.3</v>
      </c>
      <c r="F145" s="24" t="n">
        <v>4452</v>
      </c>
      <c r="G145" s="24" t="n">
        <v>5361</v>
      </c>
      <c r="H145" s="24">
        <f>G145-F145</f>
        <v/>
      </c>
      <c r="I145" s="8">
        <f>IF(F145=0,0,G145/F145-1)</f>
        <v/>
      </c>
    </row>
    <row r="146">
      <c r="A146" s="6" t="inlineStr">
        <is>
          <t>1000.1100.1000.52330.050</t>
        </is>
      </c>
      <c r="B146" s="6" t="inlineStr">
        <is>
          <t>Retirement</t>
        </is>
      </c>
      <c r="C146" s="24" t="n">
        <v>409.58</v>
      </c>
      <c r="D146" s="24" t="n">
        <v>517.6900000000001</v>
      </c>
      <c r="E146" s="24" t="n">
        <v>447.91</v>
      </c>
      <c r="F146" s="24" t="n">
        <v>1664</v>
      </c>
      <c r="G146" s="24" t="n">
        <v>1664</v>
      </c>
      <c r="H146" s="24">
        <f>G146-F146</f>
        <v/>
      </c>
      <c r="I146" s="8">
        <f>IF(F146=0,0,G146/F146-1)</f>
        <v/>
      </c>
    </row>
    <row r="147">
      <c r="A147" s="6" t="inlineStr">
        <is>
          <t>1000.1100.1000.53400.050</t>
        </is>
      </c>
      <c r="B147" s="6" t="inlineStr">
        <is>
          <t>Purchased Professional</t>
        </is>
      </c>
      <c r="C147" s="24" t="n">
        <v>30545.28</v>
      </c>
      <c r="D147" s="24" t="n">
        <v>25810.86</v>
      </c>
      <c r="E147" s="24" t="n">
        <v>21353.74</v>
      </c>
      <c r="F147" s="24" t="n">
        <v>21768</v>
      </c>
      <c r="G147" s="24" t="n">
        <v>22168</v>
      </c>
      <c r="H147" s="24">
        <f>G147-F147</f>
        <v/>
      </c>
      <c r="I147" s="8">
        <f>IF(F147=0,0,G147/F147-1)</f>
        <v/>
      </c>
    </row>
    <row r="148">
      <c r="A148" s="6" t="inlineStr">
        <is>
          <t>1000.1100.1000.54300.050</t>
        </is>
      </c>
      <c r="B148" s="6" t="inlineStr">
        <is>
          <t>Copiers Repair/Maint</t>
        </is>
      </c>
      <c r="C148" s="24" t="n">
        <v>24214.25</v>
      </c>
      <c r="D148" s="24" t="n">
        <v>9699.540000000001</v>
      </c>
      <c r="E148" s="24" t="n">
        <v>10064.41</v>
      </c>
      <c r="F148" s="24" t="n">
        <v>16500</v>
      </c>
      <c r="G148" s="24" t="n">
        <v>16100</v>
      </c>
      <c r="H148" s="24">
        <f>G148-F148</f>
        <v/>
      </c>
      <c r="I148" s="8">
        <f>IF(F148=0,0,G148/F148-1)</f>
        <v/>
      </c>
    </row>
    <row r="149">
      <c r="A149" s="6" t="inlineStr">
        <is>
          <t>1000.1100.1000.54330.050</t>
        </is>
      </c>
      <c r="B149" s="6" t="inlineStr">
        <is>
          <t>Software</t>
        </is>
      </c>
      <c r="C149" s="24" t="n">
        <v>4457.43</v>
      </c>
      <c r="D149" s="24" t="n">
        <v>6149.3</v>
      </c>
      <c r="E149" s="24" t="n">
        <v>5904.87</v>
      </c>
      <c r="F149" s="24" t="n">
        <v>5907.61</v>
      </c>
      <c r="G149" s="24" t="n">
        <v>5908</v>
      </c>
      <c r="H149" s="24">
        <f>G149-F149</f>
        <v/>
      </c>
      <c r="I149" s="8">
        <f>IF(F149=0,0,G149/F149-1)</f>
        <v/>
      </c>
    </row>
    <row r="150">
      <c r="A150" s="6" t="inlineStr">
        <is>
          <t>1000.1100.1000.55800.050</t>
        </is>
      </c>
      <c r="B150" s="6" t="inlineStr">
        <is>
          <t>Travel</t>
        </is>
      </c>
      <c r="C150" s="24" t="n">
        <v>2121.11</v>
      </c>
      <c r="D150" s="24" t="n">
        <v>889.29</v>
      </c>
      <c r="E150" s="24" t="n">
        <v>900.64</v>
      </c>
      <c r="F150" s="24" t="n">
        <v>3000</v>
      </c>
      <c r="G150" s="24" t="n">
        <v>3000</v>
      </c>
      <c r="H150" s="24">
        <f>G150-F150</f>
        <v/>
      </c>
      <c r="I150" s="8">
        <f>IF(F150=0,0,G150/F150-1)</f>
        <v/>
      </c>
    </row>
    <row r="151">
      <c r="A151" s="6" t="inlineStr">
        <is>
          <t>1000.1100.1000.56000.050</t>
        </is>
      </c>
      <c r="B151" s="6" t="inlineStr">
        <is>
          <t>Supplies</t>
        </is>
      </c>
      <c r="C151" s="24" t="n">
        <v>0</v>
      </c>
      <c r="D151" s="24" t="n">
        <v>48.64</v>
      </c>
      <c r="E151" s="24" t="n">
        <v>0</v>
      </c>
      <c r="F151" s="24" t="n">
        <v>0</v>
      </c>
      <c r="G151" s="24" t="n">
        <v>0</v>
      </c>
      <c r="H151" s="24">
        <f>G151-F151</f>
        <v/>
      </c>
      <c r="I151" s="8">
        <f>IF(F151=0,0,G151/F151-1)</f>
        <v/>
      </c>
    </row>
    <row r="152">
      <c r="A152" s="6" t="inlineStr">
        <is>
          <t>1000.1100.1000.56100.050</t>
        </is>
      </c>
      <c r="B152" s="6" t="inlineStr">
        <is>
          <t>Instructional Supplies</t>
        </is>
      </c>
      <c r="C152" s="24" t="n">
        <v>36679.93</v>
      </c>
      <c r="D152" s="24" t="n">
        <v>53561.7</v>
      </c>
      <c r="E152" s="24" t="n">
        <v>42472.07</v>
      </c>
      <c r="F152" s="24" t="n">
        <v>43312.61</v>
      </c>
      <c r="G152" s="24" t="n">
        <v>43313</v>
      </c>
      <c r="H152" s="24">
        <f>G152-F152</f>
        <v/>
      </c>
      <c r="I152" s="8">
        <f>IF(F152=0,0,G152/F152-1)</f>
        <v/>
      </c>
    </row>
    <row r="153">
      <c r="A153" s="6" t="inlineStr">
        <is>
          <t>1000.1100.1000.56400.050</t>
        </is>
      </c>
      <c r="B153" s="6" t="inlineStr">
        <is>
          <t>Books</t>
        </is>
      </c>
      <c r="C153" s="24" t="n">
        <v>7414.25</v>
      </c>
      <c r="D153" s="24" t="n">
        <v>9695.74</v>
      </c>
      <c r="E153" s="24" t="n">
        <v>8433.799999999999</v>
      </c>
      <c r="F153" s="24" t="n">
        <v>9823.459999999999</v>
      </c>
      <c r="G153" s="24" t="n">
        <v>12000</v>
      </c>
      <c r="H153" s="24">
        <f>G153-F153</f>
        <v/>
      </c>
      <c r="I153" s="8">
        <f>IF(F153=0,0,G153/F153-1)</f>
        <v/>
      </c>
    </row>
    <row r="154">
      <c r="A154" s="6" t="inlineStr">
        <is>
          <t>1000.1100.1000.57300.050</t>
        </is>
      </c>
      <c r="B154" s="6" t="inlineStr">
        <is>
          <t>Equipment</t>
        </is>
      </c>
      <c r="C154" s="24" t="n">
        <v>19869.71</v>
      </c>
      <c r="D154" s="24" t="n">
        <v>27377.14</v>
      </c>
      <c r="E154" s="24" t="n">
        <v>18169.65</v>
      </c>
      <c r="F154" s="24" t="n">
        <v>21466</v>
      </c>
      <c r="G154" s="24" t="n">
        <v>21466</v>
      </c>
      <c r="H154" s="24">
        <f>G154-F154</f>
        <v/>
      </c>
      <c r="I154" s="8">
        <f>IF(F154=0,0,G154/F154-1)</f>
        <v/>
      </c>
    </row>
    <row r="155">
      <c r="A155" s="6" t="inlineStr">
        <is>
          <t>1000.1100.1000.58100.050</t>
        </is>
      </c>
      <c r="B155" s="6" t="inlineStr">
        <is>
          <t>Dues &amp; Fees</t>
        </is>
      </c>
      <c r="C155" s="24" t="n">
        <v>2419</v>
      </c>
      <c r="D155" s="24" t="n">
        <v>45</v>
      </c>
      <c r="E155" s="24" t="n">
        <v>2247.2</v>
      </c>
      <c r="F155" s="24" t="n">
        <v>2750</v>
      </c>
      <c r="G155" s="24" t="n">
        <v>2120</v>
      </c>
      <c r="H155" s="24">
        <f>G155-F155</f>
        <v/>
      </c>
      <c r="I155" s="8">
        <f>IF(F155=0,0,G155/F155-1)</f>
        <v/>
      </c>
    </row>
    <row r="156">
      <c r="A156" s="14" t="n"/>
      <c r="B156" s="28" t="inlineStr">
        <is>
          <t>Program 1100 Total</t>
        </is>
      </c>
      <c r="C156" s="29">
        <f>SUM(C135:C155)</f>
        <v/>
      </c>
      <c r="D156" s="29">
        <f>SUM(D135:D155)</f>
        <v/>
      </c>
      <c r="E156" s="29">
        <f>SUM(E135:E155)</f>
        <v/>
      </c>
      <c r="F156" s="29">
        <f>SUM(F135:F155)</f>
        <v/>
      </c>
      <c r="G156" s="29">
        <f>SUM(G135:G155)</f>
        <v/>
      </c>
      <c r="H156" s="29">
        <f>SUM(H135:H155)</f>
        <v/>
      </c>
      <c r="I156" s="29">
        <f>SUM(I135:I155)</f>
        <v/>
      </c>
    </row>
    <row r="157">
      <c r="A157" s="6" t="inlineStr">
        <is>
          <t>1000.4200.1000.53000.050</t>
        </is>
      </c>
      <c r="B157" s="6" t="inlineStr">
        <is>
          <t>Purchased Professional</t>
        </is>
      </c>
      <c r="C157" s="24" t="n">
        <v>25000</v>
      </c>
      <c r="D157" s="24" t="n">
        <v>25000</v>
      </c>
      <c r="E157" s="24" t="n">
        <v>25000</v>
      </c>
      <c r="F157" s="24" t="n">
        <v>25000</v>
      </c>
      <c r="G157" s="24" t="n">
        <v>27000</v>
      </c>
      <c r="H157" s="24">
        <f>G157-F157</f>
        <v/>
      </c>
      <c r="I157" s="8">
        <f>IF(F157=0,0,G157/F157-1)</f>
        <v/>
      </c>
    </row>
    <row r="158">
      <c r="A158" s="6" t="inlineStr">
        <is>
          <t>1000.4900.1000.51501.050</t>
        </is>
      </c>
      <c r="B158" s="6" t="inlineStr">
        <is>
          <t>GaTE Art Advisor Stipend - FMS</t>
        </is>
      </c>
      <c r="C158" s="24" t="n">
        <v>0</v>
      </c>
      <c r="D158" s="24" t="n">
        <v>0</v>
      </c>
      <c r="E158" s="24" t="n">
        <v>1272</v>
      </c>
      <c r="F158" s="24" t="n">
        <v>0</v>
      </c>
      <c r="G158" s="24" t="n">
        <v>0</v>
      </c>
      <c r="H158" s="24">
        <f>G158-F158</f>
        <v/>
      </c>
      <c r="I158" s="8">
        <f>IF(F158=0,0,G158/F158-1)</f>
        <v/>
      </c>
    </row>
    <row r="159">
      <c r="A159" s="6" t="inlineStr">
        <is>
          <t>1000.4900.1000.51502.050</t>
        </is>
      </c>
      <c r="B159" s="6" t="inlineStr">
        <is>
          <t>GaTE Music Advisor Stipend - FMS</t>
        </is>
      </c>
      <c r="C159" s="24" t="n">
        <v>0</v>
      </c>
      <c r="D159" s="24" t="n">
        <v>0</v>
      </c>
      <c r="E159" s="24" t="n">
        <v>1272</v>
      </c>
      <c r="F159" s="24" t="n">
        <v>0</v>
      </c>
      <c r="G159" s="24" t="n">
        <v>0</v>
      </c>
      <c r="H159" s="24">
        <f>G159-F159</f>
        <v/>
      </c>
      <c r="I159" s="8">
        <f>IF(F159=0,0,G159/F159-1)</f>
        <v/>
      </c>
    </row>
    <row r="160">
      <c r="A160" s="6" t="inlineStr">
        <is>
          <t>1000.4900.1000.52001.050</t>
        </is>
      </c>
      <c r="B160" s="6" t="inlineStr">
        <is>
          <t>GaTE Art Stipend Benefits - FMS</t>
        </is>
      </c>
      <c r="C160" s="24" t="n">
        <v>0</v>
      </c>
      <c r="D160" s="24" t="n">
        <v>0</v>
      </c>
      <c r="E160" s="24" t="n">
        <v>21.02</v>
      </c>
      <c r="F160" s="24" t="n">
        <v>0</v>
      </c>
      <c r="G160" s="24" t="n">
        <v>0</v>
      </c>
      <c r="H160" s="24">
        <f>G160-F160</f>
        <v/>
      </c>
      <c r="I160" s="8">
        <f>IF(F160=0,0,G160/F160-1)</f>
        <v/>
      </c>
    </row>
    <row r="161">
      <c r="A161" s="6" t="inlineStr">
        <is>
          <t>1000.4900.1000.52002.050</t>
        </is>
      </c>
      <c r="B161" s="6" t="inlineStr">
        <is>
          <t>GaTE Music Advisor Benefits - FMS</t>
        </is>
      </c>
      <c r="C161" s="24" t="n">
        <v>0</v>
      </c>
      <c r="D161" s="24" t="n">
        <v>0</v>
      </c>
      <c r="E161" s="24" t="n">
        <v>20.72</v>
      </c>
      <c r="F161" s="24" t="n">
        <v>0</v>
      </c>
      <c r="G161" s="24" t="n">
        <v>0</v>
      </c>
      <c r="H161" s="24">
        <f>G161-F161</f>
        <v/>
      </c>
      <c r="I161" s="8">
        <f>IF(F161=0,0,G161/F161-1)</f>
        <v/>
      </c>
    </row>
    <row r="162">
      <c r="A162" s="6" t="inlineStr">
        <is>
          <t>1000.4900.1000.52301.050</t>
        </is>
      </c>
      <c r="B162" s="6" t="inlineStr">
        <is>
          <t>GaTE Art Stipend Retirement - FMS</t>
        </is>
      </c>
      <c r="C162" s="24" t="n">
        <v>0</v>
      </c>
      <c r="D162" s="24" t="n">
        <v>0</v>
      </c>
      <c r="E162" s="24" t="n">
        <v>48.84</v>
      </c>
      <c r="F162" s="24" t="n">
        <v>0</v>
      </c>
      <c r="G162" s="24" t="n">
        <v>0</v>
      </c>
      <c r="H162" s="24">
        <f>G162-F162</f>
        <v/>
      </c>
      <c r="I162" s="8">
        <f>IF(F162=0,0,G162/F162-1)</f>
        <v/>
      </c>
    </row>
    <row r="163">
      <c r="A163" s="6" t="inlineStr">
        <is>
          <t>1000.4900.1000.52302.050</t>
        </is>
      </c>
      <c r="B163" s="6" t="inlineStr">
        <is>
          <t>GaTE Music Advisor Retirement - FMS</t>
        </is>
      </c>
      <c r="C163" s="24" t="n">
        <v>0</v>
      </c>
      <c r="D163" s="24" t="n">
        <v>0</v>
      </c>
      <c r="E163" s="24" t="n">
        <v>48.76</v>
      </c>
      <c r="F163" s="24" t="n">
        <v>0</v>
      </c>
      <c r="G163" s="24" t="n">
        <v>0</v>
      </c>
      <c r="H163" s="24">
        <f>G163-F163</f>
        <v/>
      </c>
      <c r="I163" s="8">
        <f>IF(F163=0,0,G163/F163-1)</f>
        <v/>
      </c>
    </row>
    <row r="164">
      <c r="A164" s="14" t="n"/>
      <c r="B164" s="28" t="inlineStr">
        <is>
          <t>Program 4900 Total</t>
        </is>
      </c>
      <c r="C164" s="29">
        <f>SUM(C158:C163)</f>
        <v/>
      </c>
      <c r="D164" s="29">
        <f>SUM(D158:D163)</f>
        <v/>
      </c>
      <c r="E164" s="29">
        <f>SUM(E158:E163)</f>
        <v/>
      </c>
      <c r="F164" s="29">
        <f>SUM(F158:F163)</f>
        <v/>
      </c>
      <c r="G164" s="29">
        <f>SUM(G158:G163)</f>
        <v/>
      </c>
      <c r="H164" s="29">
        <f>SUM(H158:H163)</f>
        <v/>
      </c>
      <c r="I164" s="29">
        <f>SUM(I158:I163)</f>
        <v/>
      </c>
    </row>
    <row r="165">
      <c r="A165" s="14" t="n"/>
      <c r="B165" s="30" t="inlineStr">
        <is>
          <t>Function 1000 Total</t>
        </is>
      </c>
      <c r="C165" s="31">
        <f>C156+C164</f>
        <v/>
      </c>
      <c r="D165" s="31">
        <f>D156+D164</f>
        <v/>
      </c>
      <c r="E165" s="31">
        <f>E156+E164</f>
        <v/>
      </c>
      <c r="F165" s="31">
        <f>F156+F164</f>
        <v/>
      </c>
      <c r="G165" s="31">
        <f>G156+G164</f>
        <v/>
      </c>
      <c r="H165" s="31">
        <f>H156+H164</f>
        <v/>
      </c>
      <c r="I165" s="31">
        <f>I156+I164</f>
        <v/>
      </c>
    </row>
    <row r="166">
      <c r="A166" s="14" t="n"/>
      <c r="B166" s="17" t="inlineStr">
        <is>
          <t>Cost Center ('050',) Total</t>
        </is>
      </c>
      <c r="C166" s="32">
        <f>C165</f>
        <v/>
      </c>
      <c r="D166" s="32">
        <f>D165</f>
        <v/>
      </c>
      <c r="E166" s="32">
        <f>E165</f>
        <v/>
      </c>
      <c r="F166" s="32">
        <f>F165</f>
        <v/>
      </c>
      <c r="G166" s="32">
        <f>G165</f>
        <v/>
      </c>
      <c r="H166" s="32">
        <f>H165</f>
        <v/>
      </c>
      <c r="I166" s="32">
        <f>I165</f>
        <v/>
      </c>
    </row>
    <row r="168">
      <c r="A168" s="3" t="inlineStr">
        <is>
          <t>Cost Center: ('300',)</t>
        </is>
      </c>
    </row>
    <row r="169">
      <c r="A169" s="6" t="inlineStr">
        <is>
          <t>1000.1200.1000.51010.300</t>
        </is>
      </c>
      <c r="B169" s="6" t="inlineStr">
        <is>
          <t>Teacher Salaries</t>
        </is>
      </c>
      <c r="C169" s="24" t="n">
        <v>2690866.22</v>
      </c>
      <c r="D169" s="24" t="n">
        <v>2941303.2</v>
      </c>
      <c r="E169" s="24" t="n">
        <v>2877812.11</v>
      </c>
      <c r="F169" s="24" t="n">
        <v>3047678</v>
      </c>
      <c r="G169" s="24" t="n">
        <v>3157132</v>
      </c>
      <c r="H169" s="24">
        <f>G169-F169</f>
        <v/>
      </c>
      <c r="I169" s="8">
        <f>IF(F169=0,0,G169/F169-1)</f>
        <v/>
      </c>
    </row>
    <row r="170">
      <c r="A170" s="6" t="inlineStr">
        <is>
          <t>1000.1200.1000.51020.300</t>
        </is>
      </c>
      <c r="B170" s="6" t="inlineStr">
        <is>
          <t>Ed Tech Salaries</t>
        </is>
      </c>
      <c r="C170" s="24" t="n">
        <v>171639.32</v>
      </c>
      <c r="D170" s="24" t="n">
        <v>168633.52</v>
      </c>
      <c r="E170" s="24" t="n">
        <v>101930.34</v>
      </c>
      <c r="F170" s="24" t="n">
        <v>118487</v>
      </c>
      <c r="G170" s="24" t="n">
        <v>96274</v>
      </c>
      <c r="H170" s="24">
        <f>G170-F170</f>
        <v/>
      </c>
      <c r="I170" s="8">
        <f>IF(F170=0,0,G170/F170-1)</f>
        <v/>
      </c>
    </row>
    <row r="171">
      <c r="A171" s="6" t="inlineStr">
        <is>
          <t>1000.1200.1000.51230.300</t>
        </is>
      </c>
      <c r="B171" s="6" t="inlineStr">
        <is>
          <t>Substitute Wages</t>
        </is>
      </c>
      <c r="C171" s="24" t="n">
        <v>58933.18</v>
      </c>
      <c r="D171" s="24" t="n">
        <v>46359.25</v>
      </c>
      <c r="E171" s="24" t="n">
        <v>58146.5</v>
      </c>
      <c r="F171" s="24" t="n">
        <v>60000</v>
      </c>
      <c r="G171" s="24" t="n">
        <v>60000</v>
      </c>
      <c r="H171" s="24">
        <f>G171-F171</f>
        <v/>
      </c>
      <c r="I171" s="8">
        <f>IF(F171=0,0,G171/F171-1)</f>
        <v/>
      </c>
    </row>
    <row r="172">
      <c r="A172" s="6" t="inlineStr">
        <is>
          <t>1000.1200.1000.51500.300</t>
        </is>
      </c>
      <c r="B172" s="6" t="inlineStr">
        <is>
          <t>Stipends</t>
        </is>
      </c>
      <c r="C172" s="24" t="n">
        <v>5708</v>
      </c>
      <c r="D172" s="24" t="n">
        <v>3173.07</v>
      </c>
      <c r="E172" s="24" t="n">
        <v>648</v>
      </c>
      <c r="F172" s="24" t="n">
        <v>23610</v>
      </c>
      <c r="G172" s="24" t="n">
        <v>0</v>
      </c>
      <c r="H172" s="24">
        <f>G172-F172</f>
        <v/>
      </c>
      <c r="I172" s="8">
        <f>IF(F172=0,0,G172/F172-1)</f>
        <v/>
      </c>
    </row>
    <row r="173">
      <c r="A173" s="6" t="inlineStr">
        <is>
          <t>1000.1200.1000.52000.300</t>
        </is>
      </c>
      <c r="B173" s="6" t="inlineStr">
        <is>
          <t>Stipend Benefits</t>
        </is>
      </c>
      <c r="C173" s="24" t="n">
        <v>85.45</v>
      </c>
      <c r="D173" s="24" t="n">
        <v>1.18</v>
      </c>
      <c r="E173" s="24" t="n">
        <v>10.79</v>
      </c>
      <c r="F173" s="24" t="n">
        <v>419.31</v>
      </c>
      <c r="G173" s="24" t="n">
        <v>0</v>
      </c>
      <c r="H173" s="24">
        <f>G173-F173</f>
        <v/>
      </c>
      <c r="I173" s="8">
        <f>IF(F173=0,0,G173/F173-1)</f>
        <v/>
      </c>
    </row>
    <row r="174">
      <c r="A174" s="6" t="inlineStr">
        <is>
          <t>1000.1200.1000.52010.300</t>
        </is>
      </c>
      <c r="B174" s="6" t="inlineStr">
        <is>
          <t>Teacher Benefits</t>
        </is>
      </c>
      <c r="C174" s="24" t="n">
        <v>616867.38</v>
      </c>
      <c r="D174" s="24" t="n">
        <v>173760.03</v>
      </c>
      <c r="E174" s="24" t="n">
        <v>633677.97</v>
      </c>
      <c r="F174" s="24" t="n">
        <v>653221</v>
      </c>
      <c r="G174" s="24" t="n">
        <v>724910</v>
      </c>
      <c r="H174" s="24">
        <f>G174-F174</f>
        <v/>
      </c>
      <c r="I174" s="8">
        <f>IF(F174=0,0,G174/F174-1)</f>
        <v/>
      </c>
    </row>
    <row r="175">
      <c r="A175" s="6" t="inlineStr">
        <is>
          <t>1000.1200.1000.52020.300</t>
        </is>
      </c>
      <c r="B175" s="6" t="inlineStr">
        <is>
          <t>Ed Tech Benefits</t>
        </is>
      </c>
      <c r="C175" s="24" t="n">
        <v>57825.68</v>
      </c>
      <c r="D175" s="24" t="n">
        <v>24878.49</v>
      </c>
      <c r="E175" s="24" t="n">
        <v>32585.31</v>
      </c>
      <c r="F175" s="24" t="n">
        <v>44159</v>
      </c>
      <c r="G175" s="24" t="n">
        <v>31867</v>
      </c>
      <c r="H175" s="24">
        <f>G175-F175</f>
        <v/>
      </c>
      <c r="I175" s="8">
        <f>IF(F175=0,0,G175/F175-1)</f>
        <v/>
      </c>
    </row>
    <row r="176">
      <c r="A176" s="6" t="inlineStr">
        <is>
          <t>1000.1200.1000.52030.300</t>
        </is>
      </c>
      <c r="B176" s="6" t="inlineStr">
        <is>
          <t>Substitute Benefits</t>
        </is>
      </c>
      <c r="C176" s="24" t="n">
        <v>2450.48</v>
      </c>
      <c r="D176" s="24" t="n">
        <v>157.34</v>
      </c>
      <c r="E176" s="24" t="n">
        <v>3701.89</v>
      </c>
      <c r="F176" s="24" t="n">
        <v>3498</v>
      </c>
      <c r="G176" s="24" t="n">
        <v>3498</v>
      </c>
      <c r="H176" s="24">
        <f>G176-F176</f>
        <v/>
      </c>
      <c r="I176" s="8">
        <f>IF(F176=0,0,G176/F176-1)</f>
        <v/>
      </c>
    </row>
    <row r="177">
      <c r="A177" s="6" t="inlineStr">
        <is>
          <t>1000.1200.1000.52300.300</t>
        </is>
      </c>
      <c r="B177" s="6" t="inlineStr">
        <is>
          <t>Retirement</t>
        </is>
      </c>
      <c r="C177" s="24" t="n">
        <v>12.49</v>
      </c>
      <c r="D177" s="24" t="n">
        <v>0</v>
      </c>
      <c r="E177" s="24" t="n">
        <v>24.89</v>
      </c>
      <c r="F177" s="24" t="n">
        <v>299.52</v>
      </c>
      <c r="G177" s="24" t="n">
        <v>300</v>
      </c>
      <c r="H177" s="24">
        <f>G177-F177</f>
        <v/>
      </c>
      <c r="I177" s="8">
        <f>IF(F177=0,0,G177/F177-1)</f>
        <v/>
      </c>
    </row>
    <row r="178">
      <c r="A178" s="6" t="inlineStr">
        <is>
          <t>1000.1200.1000.52310.300</t>
        </is>
      </c>
      <c r="B178" s="6" t="inlineStr">
        <is>
          <t>Retirement</t>
        </is>
      </c>
      <c r="C178" s="24" t="n">
        <v>114086.67</v>
      </c>
      <c r="D178" s="24" t="n">
        <v>27685.15</v>
      </c>
      <c r="E178" s="24" t="n">
        <v>113936.18</v>
      </c>
      <c r="F178" s="24" t="n">
        <v>126863</v>
      </c>
      <c r="G178" s="24" t="n">
        <v>141324</v>
      </c>
      <c r="H178" s="24">
        <f>G178-F178</f>
        <v/>
      </c>
      <c r="I178" s="8">
        <f>IF(F178=0,0,G178/F178-1)</f>
        <v/>
      </c>
    </row>
    <row r="179">
      <c r="A179" s="6" t="inlineStr">
        <is>
          <t>1000.1200.1000.52320.300</t>
        </is>
      </c>
      <c r="B179" s="6" t="inlineStr">
        <is>
          <t>Retirement</t>
        </is>
      </c>
      <c r="C179" s="24" t="n">
        <v>6396.76</v>
      </c>
      <c r="D179" s="24" t="n">
        <v>981.65</v>
      </c>
      <c r="E179" s="24" t="n">
        <v>3415.15</v>
      </c>
      <c r="F179" s="24" t="n">
        <v>4662</v>
      </c>
      <c r="G179" s="24" t="n">
        <v>4531</v>
      </c>
      <c r="H179" s="24">
        <f>G179-F179</f>
        <v/>
      </c>
      <c r="I179" s="8">
        <f>IF(F179=0,0,G179/F179-1)</f>
        <v/>
      </c>
    </row>
    <row r="180">
      <c r="A180" s="6" t="inlineStr">
        <is>
          <t>1000.1200.1000.52330.300</t>
        </is>
      </c>
      <c r="B180" s="6" t="inlineStr">
        <is>
          <t>Retirement</t>
        </is>
      </c>
      <c r="C180" s="24" t="n">
        <v>1372.75</v>
      </c>
      <c r="D180" s="24" t="n">
        <v>35.57</v>
      </c>
      <c r="E180" s="24" t="n">
        <v>1360.27</v>
      </c>
      <c r="F180" s="24" t="n">
        <v>2496</v>
      </c>
      <c r="G180" s="24" t="n">
        <v>2496</v>
      </c>
      <c r="H180" s="24">
        <f>G180-F180</f>
        <v/>
      </c>
      <c r="I180" s="8">
        <f>IF(F180=0,0,G180/F180-1)</f>
        <v/>
      </c>
    </row>
    <row r="181">
      <c r="A181" s="6" t="inlineStr">
        <is>
          <t>1000.1200.1000.53000.300</t>
        </is>
      </c>
      <c r="B181" s="6" t="inlineStr">
        <is>
          <t>School Resource Officer</t>
        </is>
      </c>
      <c r="C181" s="24" t="n">
        <v>32104.8</v>
      </c>
      <c r="D181" s="24" t="n">
        <v>32966.4</v>
      </c>
      <c r="E181" s="24" t="n">
        <v>32666.4</v>
      </c>
      <c r="F181" s="24" t="n">
        <v>31830</v>
      </c>
      <c r="G181" s="24" t="n">
        <v>35000</v>
      </c>
      <c r="H181" s="24">
        <f>G181-F181</f>
        <v/>
      </c>
      <c r="I181" s="8">
        <f>IF(F181=0,0,G181/F181-1)</f>
        <v/>
      </c>
    </row>
    <row r="182">
      <c r="A182" s="6" t="inlineStr">
        <is>
          <t>1000.1200.1000.53400.300</t>
        </is>
      </c>
      <c r="B182" s="6" t="inlineStr">
        <is>
          <t>Purchased Professional Services</t>
        </is>
      </c>
      <c r="C182" s="24" t="n">
        <v>21743.85</v>
      </c>
      <c r="D182" s="24" t="n">
        <v>33713.99</v>
      </c>
      <c r="E182" s="24" t="n">
        <v>19336.71</v>
      </c>
      <c r="F182" s="24" t="n">
        <v>49865</v>
      </c>
      <c r="G182" s="24" t="n">
        <v>55980</v>
      </c>
      <c r="H182" s="24">
        <f>G182-F182</f>
        <v/>
      </c>
      <c r="I182" s="8">
        <f>IF(F182=0,0,G182/F182-1)</f>
        <v/>
      </c>
    </row>
    <row r="183">
      <c r="A183" s="6" t="inlineStr">
        <is>
          <t>1000.1200.1000.54300.300</t>
        </is>
      </c>
      <c r="B183" s="6" t="inlineStr">
        <is>
          <t>Copier Repair/Maint</t>
        </is>
      </c>
      <c r="C183" s="24" t="n">
        <v>42666.75</v>
      </c>
      <c r="D183" s="24" t="n">
        <v>37944.5</v>
      </c>
      <c r="E183" s="24" t="n">
        <v>29157.37</v>
      </c>
      <c r="F183" s="24" t="n">
        <v>42882</v>
      </c>
      <c r="G183" s="24" t="n">
        <v>40000</v>
      </c>
      <c r="H183" s="24">
        <f>G183-F183</f>
        <v/>
      </c>
      <c r="I183" s="8">
        <f>IF(F183=0,0,G183/F183-1)</f>
        <v/>
      </c>
    </row>
    <row r="184">
      <c r="A184" s="6" t="inlineStr">
        <is>
          <t>1000.1200.1000.54330.300</t>
        </is>
      </c>
      <c r="B184" s="6" t="inlineStr">
        <is>
          <t>Software</t>
        </is>
      </c>
      <c r="C184" s="24" t="n">
        <v>0</v>
      </c>
      <c r="D184" s="24" t="n">
        <v>0</v>
      </c>
      <c r="E184" s="24" t="n">
        <v>0</v>
      </c>
      <c r="F184" s="24" t="n">
        <v>0</v>
      </c>
      <c r="G184" s="24" t="n">
        <v>200</v>
      </c>
      <c r="H184" s="24">
        <f>G184-F184</f>
        <v/>
      </c>
      <c r="I184" s="8">
        <f>IF(F184=0,0,G184/F184-1)</f>
        <v/>
      </c>
    </row>
    <row r="185">
      <c r="A185" s="6" t="inlineStr">
        <is>
          <t>1000.1200.1000.55630.300</t>
        </is>
      </c>
      <c r="B185" s="6" t="inlineStr">
        <is>
          <t>Secondary Tuition Paid To Private Scho$o1l5,000.00</t>
        </is>
      </c>
      <c r="C185" s="24" t="n">
        <v>18000</v>
      </c>
      <c r="D185" s="24" t="n">
        <v>0</v>
      </c>
      <c r="E185" s="24" t="n">
        <v>0</v>
      </c>
      <c r="F185" s="24" t="n">
        <v>0</v>
      </c>
      <c r="G185" s="24" t="n">
        <v>0</v>
      </c>
      <c r="H185" s="24">
        <f>G185-F185</f>
        <v/>
      </c>
      <c r="I185" s="8">
        <f>IF(F185=0,0,G185/F185-1)</f>
        <v/>
      </c>
    </row>
    <row r="186">
      <c r="A186" s="6" t="inlineStr">
        <is>
          <t>1000.1200.1000.55800.300</t>
        </is>
      </c>
      <c r="B186" s="6" t="inlineStr">
        <is>
          <t>Travel</t>
        </is>
      </c>
      <c r="C186" s="24" t="n">
        <v>469.68</v>
      </c>
      <c r="D186" s="24" t="n">
        <v>0</v>
      </c>
      <c r="E186" s="24" t="n">
        <v>603.42</v>
      </c>
      <c r="F186" s="24" t="n">
        <v>1000</v>
      </c>
      <c r="G186" s="24" t="n">
        <v>1000</v>
      </c>
      <c r="H186" s="24">
        <f>G186-F186</f>
        <v/>
      </c>
      <c r="I186" s="8">
        <f>IF(F186=0,0,G186/F186-1)</f>
        <v/>
      </c>
    </row>
    <row r="187">
      <c r="A187" s="6" t="inlineStr">
        <is>
          <t>1000.1200.1000.56000.300</t>
        </is>
      </c>
      <c r="B187" s="6" t="inlineStr">
        <is>
          <t>Supplies High School</t>
        </is>
      </c>
      <c r="C187" s="24" t="n">
        <v>0</v>
      </c>
      <c r="D187" s="24" t="n">
        <v>0</v>
      </c>
      <c r="E187" s="24" t="n">
        <v>41.99</v>
      </c>
      <c r="F187" s="24" t="n">
        <v>0</v>
      </c>
      <c r="G187" s="24" t="n">
        <v>0</v>
      </c>
      <c r="H187" s="24">
        <f>G187-F187</f>
        <v/>
      </c>
      <c r="I187" s="8">
        <f>IF(F187=0,0,G187/F187-1)</f>
        <v/>
      </c>
    </row>
    <row r="188">
      <c r="A188" s="6" t="inlineStr">
        <is>
          <t>1000.1200.1000.56100.300</t>
        </is>
      </c>
      <c r="B188" s="6" t="inlineStr">
        <is>
          <t>Instructional Supplies High School $40,211.58</t>
        </is>
      </c>
      <c r="C188" s="24" t="n">
        <v>49191.5</v>
      </c>
      <c r="D188" s="24" t="n">
        <v>37921.27</v>
      </c>
      <c r="E188" s="24" t="n">
        <v>51279</v>
      </c>
      <c r="F188" s="24" t="n">
        <v>51069</v>
      </c>
      <c r="G188" s="24" t="n">
        <v>-210</v>
      </c>
      <c r="H188" s="24">
        <f>G188-F188</f>
        <v/>
      </c>
      <c r="I188" s="8">
        <f>IF(F188=0,0,G188/F188-1)</f>
        <v/>
      </c>
    </row>
    <row r="189">
      <c r="A189" s="6" t="inlineStr">
        <is>
          <t>1000.1200.1000.56400.300</t>
        </is>
      </c>
      <c r="B189" s="6" t="inlineStr">
        <is>
          <t>Books High School</t>
        </is>
      </c>
      <c r="C189" s="24" t="n">
        <v>6753.91</v>
      </c>
      <c r="D189" s="24" t="n">
        <v>19267.79</v>
      </c>
      <c r="E189" s="24" t="n">
        <v>26004.54</v>
      </c>
      <c r="F189" s="24" t="n">
        <v>13280</v>
      </c>
      <c r="G189" s="24" t="n">
        <v>8643</v>
      </c>
      <c r="H189" s="24">
        <f>G189-F189</f>
        <v/>
      </c>
      <c r="I189" s="8">
        <f>IF(F189=0,0,G189/F189-1)</f>
        <v/>
      </c>
    </row>
    <row r="190">
      <c r="A190" s="6" t="inlineStr">
        <is>
          <t>1000.1200.1000.57300.300</t>
        </is>
      </c>
      <c r="B190" s="6" t="inlineStr">
        <is>
          <t>Equipment High School</t>
        </is>
      </c>
      <c r="C190" s="24" t="n">
        <v>18914.96</v>
      </c>
      <c r="D190" s="24" t="n">
        <v>19587.15</v>
      </c>
      <c r="E190" s="24" t="n">
        <v>15791.45</v>
      </c>
      <c r="F190" s="24" t="n">
        <v>23275</v>
      </c>
      <c r="G190" s="24" t="n">
        <v>21327</v>
      </c>
      <c r="H190" s="24">
        <f>G190-F190</f>
        <v/>
      </c>
      <c r="I190" s="8">
        <f>IF(F190=0,0,G190/F190-1)</f>
        <v/>
      </c>
    </row>
    <row r="191">
      <c r="A191" s="6" t="inlineStr">
        <is>
          <t>1000.1200.1000.58100.300</t>
        </is>
      </c>
      <c r="B191" s="6" t="inlineStr">
        <is>
          <t>Dues and Fees</t>
        </is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1414</v>
      </c>
      <c r="H191" s="24">
        <f>G191-F191</f>
        <v/>
      </c>
      <c r="I191" s="8">
        <f>IF(F191=0,0,G191/F191-1)</f>
        <v/>
      </c>
    </row>
    <row r="192">
      <c r="A192" s="6" t="inlineStr">
        <is>
          <t>1000.1200.1000.58900.300</t>
        </is>
      </c>
      <c r="B192" s="6" t="inlineStr">
        <is>
          <t>Regular Instruction Miscellaneous Expenditure$s0.00</t>
        </is>
      </c>
      <c r="C192" s="24" t="n">
        <v>0</v>
      </c>
      <c r="D192" s="24" t="n">
        <v>404</v>
      </c>
      <c r="E192" s="24" t="n">
        <v>0</v>
      </c>
      <c r="F192" s="24" t="n">
        <v>0</v>
      </c>
      <c r="G192" s="24" t="n">
        <v>0</v>
      </c>
      <c r="H192" s="24">
        <f>G192-F192</f>
        <v/>
      </c>
      <c r="I192" s="8">
        <f>IF(F192=0,0,G192/F192-1)</f>
        <v/>
      </c>
    </row>
    <row r="193">
      <c r="A193" s="14" t="n"/>
      <c r="B193" s="28" t="inlineStr">
        <is>
          <t>Program 1200 Total</t>
        </is>
      </c>
      <c r="C193" s="29">
        <f>SUM(C169:C192)</f>
        <v/>
      </c>
      <c r="D193" s="29">
        <f>SUM(D169:D192)</f>
        <v/>
      </c>
      <c r="E193" s="29">
        <f>SUM(E169:E192)</f>
        <v/>
      </c>
      <c r="F193" s="29">
        <f>SUM(F169:F192)</f>
        <v/>
      </c>
      <c r="G193" s="29">
        <f>SUM(G169:G192)</f>
        <v/>
      </c>
      <c r="H193" s="29">
        <f>SUM(H169:H192)</f>
        <v/>
      </c>
      <c r="I193" s="29">
        <f>SUM(I169:I192)</f>
        <v/>
      </c>
    </row>
    <row r="194">
      <c r="A194" s="6" t="inlineStr">
        <is>
          <t>1000.4200.1000.53000.300</t>
        </is>
      </c>
      <c r="B194" s="6" t="inlineStr">
        <is>
          <t>JMG</t>
        </is>
      </c>
      <c r="C194" s="24" t="n">
        <v>25000</v>
      </c>
      <c r="D194" s="24" t="n">
        <v>25000</v>
      </c>
      <c r="E194" s="24" t="n">
        <v>25000</v>
      </c>
      <c r="F194" s="24" t="n">
        <v>25000</v>
      </c>
      <c r="G194" s="24" t="n">
        <v>27000</v>
      </c>
      <c r="H194" s="24">
        <f>G194-F194</f>
        <v/>
      </c>
      <c r="I194" s="8">
        <f>IF(F194=0,0,G194/F194-1)</f>
        <v/>
      </c>
    </row>
    <row r="195">
      <c r="A195" s="14" t="n"/>
      <c r="B195" s="30" t="inlineStr">
        <is>
          <t>Function 1000 Total</t>
        </is>
      </c>
      <c r="C195" s="31">
        <f>C193</f>
        <v/>
      </c>
      <c r="D195" s="31">
        <f>D193</f>
        <v/>
      </c>
      <c r="E195" s="31">
        <f>E193</f>
        <v/>
      </c>
      <c r="F195" s="31">
        <f>F193</f>
        <v/>
      </c>
      <c r="G195" s="31">
        <f>G193</f>
        <v/>
      </c>
      <c r="H195" s="31">
        <f>H193</f>
        <v/>
      </c>
      <c r="I195" s="31">
        <f>I193</f>
        <v/>
      </c>
    </row>
    <row r="196">
      <c r="A196" s="14" t="n"/>
      <c r="B196" s="17" t="inlineStr">
        <is>
          <t>Cost Center ('300',) Total</t>
        </is>
      </c>
      <c r="C196" s="32">
        <f>C195</f>
        <v/>
      </c>
      <c r="D196" s="32">
        <f>D195</f>
        <v/>
      </c>
      <c r="E196" s="32">
        <f>E195</f>
        <v/>
      </c>
      <c r="F196" s="32">
        <f>F195</f>
        <v/>
      </c>
      <c r="G196" s="32">
        <f>G195</f>
        <v/>
      </c>
      <c r="H196" s="32">
        <f>H195</f>
        <v/>
      </c>
      <c r="I196" s="32">
        <f>I195</f>
        <v/>
      </c>
    </row>
    <row r="198">
      <c r="A198" s="3" t="inlineStr">
        <is>
          <t>Cost Center: ('900',)</t>
        </is>
      </c>
    </row>
    <row r="199">
      <c r="A199" s="6" t="inlineStr">
        <is>
          <t>1000.1100.1000.51010.900</t>
        </is>
      </c>
      <c r="B199" s="6" t="inlineStr">
        <is>
          <t>TEACHER ADDITIONAL PAY CLEARING $0.00</t>
        </is>
      </c>
      <c r="C199" s="24" t="n">
        <v>6225.02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>
        <f>G199-F199</f>
        <v/>
      </c>
      <c r="I199" s="8">
        <f>IF(F199=0,0,G199/F199-1)</f>
        <v/>
      </c>
    </row>
    <row r="200">
      <c r="A200" s="6" t="inlineStr">
        <is>
          <t>1000.1100.1000.59000.900</t>
        </is>
      </c>
      <c r="B200" s="6" t="inlineStr">
        <is>
          <t>Contingency</t>
        </is>
      </c>
      <c r="C200" s="24" t="n">
        <v>0</v>
      </c>
      <c r="D200" s="24" t="n">
        <v>0</v>
      </c>
      <c r="E200" s="24" t="n">
        <v>0</v>
      </c>
      <c r="F200" s="24" t="n">
        <v>177000</v>
      </c>
      <c r="G200" s="24" t="n">
        <v>177000</v>
      </c>
      <c r="H200" s="24">
        <f>G200-F200</f>
        <v/>
      </c>
      <c r="I200" s="8">
        <f>IF(F200=0,0,G200/F200-1)</f>
        <v/>
      </c>
    </row>
    <row r="201">
      <c r="A201" s="14" t="n"/>
      <c r="B201" s="28" t="inlineStr">
        <is>
          <t>Program 1100 Total</t>
        </is>
      </c>
      <c r="C201" s="29">
        <f>SUM(C199:C200)</f>
        <v/>
      </c>
      <c r="D201" s="29">
        <f>SUM(D199:D200)</f>
        <v/>
      </c>
      <c r="E201" s="29">
        <f>SUM(E199:E200)</f>
        <v/>
      </c>
      <c r="F201" s="29">
        <f>SUM(F199:F200)</f>
        <v/>
      </c>
      <c r="G201" s="29">
        <f>SUM(G199:G200)</f>
        <v/>
      </c>
      <c r="H201" s="29">
        <f>SUM(H199:H200)</f>
        <v/>
      </c>
      <c r="I201" s="29">
        <f>SUM(I199:I200)</f>
        <v/>
      </c>
    </row>
    <row r="202">
      <c r="A202" s="6" t="inlineStr">
        <is>
          <t>1000.4100.1000.53000.900</t>
        </is>
      </c>
      <c r="B202" s="6" t="inlineStr">
        <is>
          <t>Purchased Professional Services</t>
        </is>
      </c>
      <c r="C202" s="24" t="n">
        <v>0</v>
      </c>
      <c r="D202" s="24" t="n">
        <v>0</v>
      </c>
      <c r="E202" s="24" t="n">
        <v>0</v>
      </c>
      <c r="F202" s="24" t="n">
        <v>0</v>
      </c>
      <c r="G202" s="24" t="n">
        <v>6300</v>
      </c>
      <c r="H202" s="24">
        <f>G202-F202</f>
        <v/>
      </c>
      <c r="I202" s="8">
        <f>IF(F202=0,0,G202/F202-1)</f>
        <v/>
      </c>
    </row>
    <row r="203">
      <c r="A203" s="6" t="inlineStr">
        <is>
          <t>1000.4100.1000.53300.900</t>
        </is>
      </c>
      <c r="B203" s="6" t="inlineStr">
        <is>
          <t>Employee Training &amp; Development</t>
        </is>
      </c>
      <c r="C203" s="24" t="n">
        <v>0</v>
      </c>
      <c r="D203" s="24" t="n">
        <v>0</v>
      </c>
      <c r="E203" s="24" t="n">
        <v>0</v>
      </c>
      <c r="F203" s="24" t="n">
        <v>0</v>
      </c>
      <c r="G203" s="24" t="n">
        <v>2500</v>
      </c>
      <c r="H203" s="24">
        <f>G203-F203</f>
        <v/>
      </c>
      <c r="I203" s="8">
        <f>IF(F203=0,0,G203/F203-1)</f>
        <v/>
      </c>
    </row>
    <row r="204">
      <c r="A204" s="6" t="inlineStr">
        <is>
          <t>1000.4100.1000.55800.900</t>
        </is>
      </c>
      <c r="B204" s="6" t="inlineStr">
        <is>
          <t>Travel - district wide</t>
        </is>
      </c>
      <c r="C204" s="24" t="n">
        <v>0</v>
      </c>
      <c r="D204" s="24" t="n">
        <v>0</v>
      </c>
      <c r="E204" s="24" t="n">
        <v>0</v>
      </c>
      <c r="F204" s="24" t="n">
        <v>0</v>
      </c>
      <c r="G204" s="24" t="n">
        <v>200</v>
      </c>
      <c r="H204" s="24">
        <f>G204-F204</f>
        <v/>
      </c>
      <c r="I204" s="8">
        <f>IF(F204=0,0,G204/F204-1)</f>
        <v/>
      </c>
    </row>
    <row r="205">
      <c r="A205" s="14" t="n"/>
      <c r="B205" s="28" t="inlineStr">
        <is>
          <t>Program 4100 Total</t>
        </is>
      </c>
      <c r="C205" s="29">
        <f>SUM(C202:C204)</f>
        <v/>
      </c>
      <c r="D205" s="29">
        <f>SUM(D202:D204)</f>
        <v/>
      </c>
      <c r="E205" s="29">
        <f>SUM(E202:E204)</f>
        <v/>
      </c>
      <c r="F205" s="29">
        <f>SUM(F202:F204)</f>
        <v/>
      </c>
      <c r="G205" s="29">
        <f>SUM(G202:G204)</f>
        <v/>
      </c>
      <c r="H205" s="29">
        <f>SUM(H202:H204)</f>
        <v/>
      </c>
      <c r="I205" s="29">
        <f>SUM(I202:I204)</f>
        <v/>
      </c>
    </row>
    <row r="206">
      <c r="A206" s="14" t="n"/>
      <c r="B206" s="30" t="inlineStr">
        <is>
          <t>Function 1000 Total</t>
        </is>
      </c>
      <c r="C206" s="31">
        <f>C201+C205</f>
        <v/>
      </c>
      <c r="D206" s="31">
        <f>D201+D205</f>
        <v/>
      </c>
      <c r="E206" s="31">
        <f>E201+E205</f>
        <v/>
      </c>
      <c r="F206" s="31">
        <f>F201+F205</f>
        <v/>
      </c>
      <c r="G206" s="31">
        <f>G201+G205</f>
        <v/>
      </c>
      <c r="H206" s="31">
        <f>H201+H205</f>
        <v/>
      </c>
      <c r="I206" s="31">
        <f>I201+I205</f>
        <v/>
      </c>
    </row>
    <row r="207">
      <c r="A207" s="14" t="n"/>
      <c r="B207" s="17" t="inlineStr">
        <is>
          <t>Cost Center ('900',) Total</t>
        </is>
      </c>
      <c r="C207" s="32">
        <f>C206</f>
        <v/>
      </c>
      <c r="D207" s="32">
        <f>D206</f>
        <v/>
      </c>
      <c r="E207" s="32">
        <f>E206</f>
        <v/>
      </c>
      <c r="F207" s="32">
        <f>F206</f>
        <v/>
      </c>
      <c r="G207" s="32">
        <f>G206</f>
        <v/>
      </c>
      <c r="H207" s="32">
        <f>H206</f>
        <v/>
      </c>
      <c r="I207" s="32">
        <f>I206</f>
        <v/>
      </c>
    </row>
    <row r="209">
      <c r="A209" s="3" t="inlineStr">
        <is>
          <t>Cost Center: ('950',)</t>
        </is>
      </c>
    </row>
    <row r="210">
      <c r="A210" s="6" t="inlineStr">
        <is>
          <t>1000.4100.1000.51010.950</t>
        </is>
      </c>
      <c r="B210" s="6" t="inlineStr">
        <is>
          <t>Teachers Salary</t>
        </is>
      </c>
      <c r="C210" s="24" t="n">
        <v>52617.4</v>
      </c>
      <c r="D210" s="24" t="n">
        <v>22960.67</v>
      </c>
      <c r="E210" s="24" t="n">
        <v>68262.2</v>
      </c>
      <c r="F210" s="24" t="n">
        <v>141542.47</v>
      </c>
      <c r="G210" s="24" t="n">
        <v>98482</v>
      </c>
      <c r="H210" s="24">
        <f>G210-F210</f>
        <v/>
      </c>
      <c r="I210" s="8">
        <f>IF(F210=0,0,G210/F210-1)</f>
        <v/>
      </c>
    </row>
    <row r="211">
      <c r="A211" s="6" t="inlineStr">
        <is>
          <t>1000.4100.1000.52010.950</t>
        </is>
      </c>
      <c r="B211" s="6" t="inlineStr">
        <is>
          <t>Teacher Benefits</t>
        </is>
      </c>
      <c r="C211" s="24" t="n">
        <v>7980.55</v>
      </c>
      <c r="D211" s="24" t="n">
        <v>1115.22</v>
      </c>
      <c r="E211" s="24" t="n">
        <v>6322.03</v>
      </c>
      <c r="F211" s="24" t="n">
        <v>27709</v>
      </c>
      <c r="G211" s="24" t="n">
        <v>5500</v>
      </c>
      <c r="H211" s="24">
        <f>G211-F211</f>
        <v/>
      </c>
      <c r="I211" s="8">
        <f>IF(F211=0,0,G211/F211-1)</f>
        <v/>
      </c>
    </row>
    <row r="212">
      <c r="A212" s="6" t="inlineStr">
        <is>
          <t>1000.4100.1000.52310.950</t>
        </is>
      </c>
      <c r="B212" s="6" t="inlineStr">
        <is>
          <t>Retirement</t>
        </is>
      </c>
      <c r="C212" s="24" t="n">
        <v>2189.02</v>
      </c>
      <c r="D212" s="24" t="n">
        <v>176.54</v>
      </c>
      <c r="E212" s="24" t="n">
        <v>2656.51</v>
      </c>
      <c r="F212" s="24" t="n">
        <v>5888</v>
      </c>
      <c r="G212" s="24" t="n">
        <v>3463</v>
      </c>
      <c r="H212" s="24">
        <f>G212-F212</f>
        <v/>
      </c>
      <c r="I212" s="8">
        <f>IF(F212=0,0,G212/F212-1)</f>
        <v/>
      </c>
    </row>
    <row r="213">
      <c r="A213" s="6" t="inlineStr">
        <is>
          <t>1000.4100.1000.53000.950</t>
        </is>
      </c>
      <c r="B213" s="6" t="inlineStr">
        <is>
          <t>Purchased Professional Services</t>
        </is>
      </c>
      <c r="C213" s="24" t="n">
        <v>0</v>
      </c>
      <c r="D213" s="24" t="n">
        <v>0</v>
      </c>
      <c r="E213" s="24" t="n">
        <v>0</v>
      </c>
      <c r="F213" s="24" t="n">
        <v>200</v>
      </c>
      <c r="G213" s="24" t="n">
        <v>0</v>
      </c>
      <c r="H213" s="24">
        <f>G213-F213</f>
        <v/>
      </c>
      <c r="I213" s="8">
        <f>IF(F213=0,0,G213/F213-1)</f>
        <v/>
      </c>
    </row>
    <row r="214">
      <c r="A214" s="6" t="inlineStr">
        <is>
          <t>1000.4100.1000.53400.950</t>
        </is>
      </c>
      <c r="B214" s="6" t="inlineStr">
        <is>
          <t>Professional Services</t>
        </is>
      </c>
      <c r="C214" s="24" t="n">
        <v>642.7</v>
      </c>
      <c r="D214" s="24" t="n">
        <v>0</v>
      </c>
      <c r="E214" s="24" t="n">
        <v>8812.799999999999</v>
      </c>
      <c r="F214" s="24" t="n">
        <v>250</v>
      </c>
      <c r="G214" s="24" t="n">
        <v>0</v>
      </c>
      <c r="H214" s="24">
        <f>G214-F214</f>
        <v/>
      </c>
      <c r="I214" s="8">
        <f>IF(F214=0,0,G214/F214-1)</f>
        <v/>
      </c>
    </row>
    <row r="215">
      <c r="A215" s="6" t="inlineStr">
        <is>
          <t>1000.4100.1000.55800.950</t>
        </is>
      </c>
      <c r="B215" s="6" t="inlineStr">
        <is>
          <t>Travel</t>
        </is>
      </c>
      <c r="C215" s="24" t="n">
        <v>164.29</v>
      </c>
      <c r="D215" s="24" t="n">
        <v>0</v>
      </c>
      <c r="E215" s="24" t="n">
        <v>0</v>
      </c>
      <c r="F215" s="24" t="n">
        <v>200</v>
      </c>
      <c r="G215" s="24" t="n">
        <v>0</v>
      </c>
      <c r="H215" s="24">
        <f>G215-F215</f>
        <v/>
      </c>
      <c r="I215" s="8">
        <f>IF(F215=0,0,G215/F215-1)</f>
        <v/>
      </c>
    </row>
    <row r="216">
      <c r="A216" s="6" t="inlineStr">
        <is>
          <t>1000.4100.1000.56100.950</t>
        </is>
      </c>
      <c r="B216" s="6" t="inlineStr">
        <is>
          <t>Instructional Supplies</t>
        </is>
      </c>
      <c r="C216" s="24" t="n">
        <v>264.25</v>
      </c>
      <c r="D216" s="24" t="n">
        <v>223.35</v>
      </c>
      <c r="E216" s="24" t="n">
        <v>349.34</v>
      </c>
      <c r="F216" s="24" t="n">
        <v>350</v>
      </c>
      <c r="G216" s="24" t="n">
        <v>500</v>
      </c>
      <c r="H216" s="24">
        <f>G216-F216</f>
        <v/>
      </c>
      <c r="I216" s="8">
        <f>IF(F216=0,0,G216/F216-1)</f>
        <v/>
      </c>
    </row>
    <row r="217">
      <c r="A217" s="14" t="n"/>
      <c r="B217" s="28" t="inlineStr">
        <is>
          <t>Program 4100 Total</t>
        </is>
      </c>
      <c r="C217" s="29">
        <f>SUM(C210:C216)</f>
        <v/>
      </c>
      <c r="D217" s="29">
        <f>SUM(D210:D216)</f>
        <v/>
      </c>
      <c r="E217" s="29">
        <f>SUM(E210:E216)</f>
        <v/>
      </c>
      <c r="F217" s="29">
        <f>SUM(F210:F216)</f>
        <v/>
      </c>
      <c r="G217" s="29">
        <f>SUM(G210:G216)</f>
        <v/>
      </c>
      <c r="H217" s="29">
        <f>SUM(H210:H216)</f>
        <v/>
      </c>
      <c r="I217" s="29">
        <f>SUM(I210:I216)</f>
        <v/>
      </c>
    </row>
    <row r="218">
      <c r="A218" s="6" t="inlineStr">
        <is>
          <t>1000.4900.1000.51010.950</t>
        </is>
      </c>
      <c r="B218" s="6" t="inlineStr">
        <is>
          <t>Teacher Salaries</t>
        </is>
      </c>
      <c r="C218" s="24" t="n">
        <v>126717.76</v>
      </c>
      <c r="D218" s="24" t="n">
        <v>179841.78</v>
      </c>
      <c r="E218" s="24" t="n">
        <v>193428.73</v>
      </c>
      <c r="F218" s="24" t="n">
        <v>206642</v>
      </c>
      <c r="G218" s="24" t="n">
        <v>211493</v>
      </c>
      <c r="H218" s="24">
        <f>G218-F218</f>
        <v/>
      </c>
      <c r="I218" s="8">
        <f>IF(F218=0,0,G218/F218-1)</f>
        <v/>
      </c>
    </row>
    <row r="219">
      <c r="A219" s="6" t="inlineStr">
        <is>
          <t>1000.4900.1000.51500.950</t>
        </is>
      </c>
      <c r="B219" s="6" t="inlineStr">
        <is>
          <t>Stipends</t>
        </is>
      </c>
      <c r="C219" s="24" t="n">
        <v>3000</v>
      </c>
      <c r="D219" s="24" t="n">
        <v>3208.64</v>
      </c>
      <c r="E219" s="24" t="n">
        <v>3000</v>
      </c>
      <c r="F219" s="24" t="n">
        <v>15444</v>
      </c>
      <c r="G219" s="24" t="n">
        <v>12876</v>
      </c>
      <c r="H219" s="24">
        <f>G219-F219</f>
        <v/>
      </c>
      <c r="I219" s="8">
        <f>IF(F219=0,0,G219/F219-1)</f>
        <v/>
      </c>
    </row>
    <row r="220">
      <c r="A220" s="6" t="inlineStr">
        <is>
          <t>1000.4900.1000.52000.950</t>
        </is>
      </c>
      <c r="B220" s="6" t="inlineStr">
        <is>
          <t>Stipends</t>
        </is>
      </c>
      <c r="C220" s="24" t="n">
        <v>15</v>
      </c>
      <c r="D220" s="24" t="n">
        <v>0</v>
      </c>
      <c r="E220" s="24" t="n">
        <v>47.78</v>
      </c>
      <c r="F220" s="24" t="n">
        <v>772</v>
      </c>
      <c r="G220" s="24" t="n">
        <v>0</v>
      </c>
      <c r="H220" s="24">
        <f>G220-F220</f>
        <v/>
      </c>
      <c r="I220" s="8">
        <f>IF(F220=0,0,G220/F220-1)</f>
        <v/>
      </c>
    </row>
    <row r="221">
      <c r="A221" s="6" t="inlineStr">
        <is>
          <t>1000.4900.1000.52010.950</t>
        </is>
      </c>
      <c r="B221" s="6" t="inlineStr">
        <is>
          <t>Teacher Benefits</t>
        </is>
      </c>
      <c r="C221" s="24" t="n">
        <v>29456.62</v>
      </c>
      <c r="D221" s="24" t="n">
        <v>4115.68</v>
      </c>
      <c r="E221" s="24" t="n">
        <v>24321.66</v>
      </c>
      <c r="F221" s="24" t="n">
        <v>32865</v>
      </c>
      <c r="G221" s="24" t="n">
        <v>48225</v>
      </c>
      <c r="H221" s="24">
        <f>G221-F221</f>
        <v/>
      </c>
      <c r="I221" s="8">
        <f>IF(F221=0,0,G221/F221-1)</f>
        <v/>
      </c>
    </row>
    <row r="222">
      <c r="A222" s="6" t="inlineStr">
        <is>
          <t>1000.4900.1000.52300.950</t>
        </is>
      </c>
      <c r="B222" s="6" t="inlineStr">
        <is>
          <t>Retirement</t>
        </is>
      </c>
      <c r="C222" s="24" t="n">
        <v>0</v>
      </c>
      <c r="D222" s="24" t="n">
        <v>0</v>
      </c>
      <c r="E222" s="24" t="n">
        <v>115.2</v>
      </c>
      <c r="F222" s="24" t="n">
        <v>642</v>
      </c>
      <c r="G222" s="24" t="n">
        <v>632</v>
      </c>
      <c r="H222" s="24">
        <f>G222-F222</f>
        <v/>
      </c>
      <c r="I222" s="8">
        <f>IF(F222=0,0,G222/F222-1)</f>
        <v/>
      </c>
    </row>
    <row r="223">
      <c r="A223" s="6" t="inlineStr">
        <is>
          <t>1000.4900.1000.52310.950</t>
        </is>
      </c>
      <c r="B223" s="6" t="inlineStr">
        <is>
          <t>Retirement</t>
        </is>
      </c>
      <c r="C223" s="24" t="n">
        <v>5580.2</v>
      </c>
      <c r="D223" s="24" t="n">
        <v>1387.55</v>
      </c>
      <c r="E223" s="24" t="n">
        <v>7486.35</v>
      </c>
      <c r="F223" s="24" t="n">
        <v>8596</v>
      </c>
      <c r="G223" s="24" t="n">
        <v>9454</v>
      </c>
      <c r="H223" s="24">
        <f>G223-F223</f>
        <v/>
      </c>
      <c r="I223" s="8">
        <f>IF(F223=0,0,G223/F223-1)</f>
        <v/>
      </c>
    </row>
    <row r="224">
      <c r="A224" s="6" t="inlineStr">
        <is>
          <t>1000.4900.1000.53000.950</t>
        </is>
      </c>
      <c r="B224" s="6" t="inlineStr">
        <is>
          <t>Purchased Professional Services</t>
        </is>
      </c>
      <c r="C224" s="24" t="n">
        <v>0</v>
      </c>
      <c r="D224" s="24" t="n">
        <v>1822.24</v>
      </c>
      <c r="E224" s="24" t="n">
        <v>300</v>
      </c>
      <c r="F224" s="24" t="n">
        <v>4514.81</v>
      </c>
      <c r="G224" s="24" t="n">
        <v>3970</v>
      </c>
      <c r="H224" s="24">
        <f>G224-F224</f>
        <v/>
      </c>
      <c r="I224" s="8">
        <f>IF(F224=0,0,G224/F224-1)</f>
        <v/>
      </c>
    </row>
    <row r="225">
      <c r="A225" s="6" t="inlineStr">
        <is>
          <t>1000.4900.1000.53400.950</t>
        </is>
      </c>
      <c r="B225" s="6" t="inlineStr">
        <is>
          <t>Professional Services Testing</t>
        </is>
      </c>
      <c r="C225" s="24" t="n">
        <v>1403.64</v>
      </c>
      <c r="D225" s="24" t="n">
        <v>0</v>
      </c>
      <c r="E225" s="24" t="n">
        <v>0</v>
      </c>
      <c r="F225" s="24" t="n">
        <v>0</v>
      </c>
      <c r="G225" s="24" t="n">
        <v>1120</v>
      </c>
      <c r="H225" s="24">
        <f>G225-F225</f>
        <v/>
      </c>
      <c r="I225" s="8">
        <f>IF(F225=0,0,G225/F225-1)</f>
        <v/>
      </c>
    </row>
    <row r="226">
      <c r="A226" s="6" t="inlineStr">
        <is>
          <t>1000.4900.1000.53440.950</t>
        </is>
      </c>
      <c r="B226" s="6" t="inlineStr">
        <is>
          <t>GaTE K-8 Professional Servies</t>
        </is>
      </c>
      <c r="C226" s="24" t="n">
        <v>1410</v>
      </c>
      <c r="D226" s="24" t="n">
        <v>316</v>
      </c>
      <c r="E226" s="24" t="n">
        <v>2618.59</v>
      </c>
      <c r="F226" s="24" t="n">
        <v>0</v>
      </c>
      <c r="G226" s="24" t="n">
        <v>1682</v>
      </c>
      <c r="H226" s="24">
        <f>G226-F226</f>
        <v/>
      </c>
      <c r="I226" s="8">
        <f>IF(F226=0,0,G226/F226-1)</f>
        <v/>
      </c>
    </row>
    <row r="227">
      <c r="A227" s="6" t="inlineStr">
        <is>
          <t>1000.4900.1000.55800.950</t>
        </is>
      </c>
      <c r="B227" s="6" t="inlineStr">
        <is>
          <t>Travel</t>
        </is>
      </c>
      <c r="C227" s="24" t="n">
        <v>448.09</v>
      </c>
      <c r="D227" s="24" t="n">
        <v>0</v>
      </c>
      <c r="E227" s="24" t="n">
        <v>62.83</v>
      </c>
      <c r="F227" s="24" t="n">
        <v>908</v>
      </c>
      <c r="G227" s="24" t="n">
        <v>920</v>
      </c>
      <c r="H227" s="24">
        <f>G227-F227</f>
        <v/>
      </c>
      <c r="I227" s="8">
        <f>IF(F227=0,0,G227/F227-1)</f>
        <v/>
      </c>
    </row>
    <row r="228">
      <c r="A228" s="6" t="inlineStr">
        <is>
          <t>1000.4900.1000.56100.950</t>
        </is>
      </c>
      <c r="B228" s="6" t="inlineStr">
        <is>
          <t>GaTE K-8 Instructional Supplies</t>
        </is>
      </c>
      <c r="C228" s="24" t="n">
        <v>1780.34</v>
      </c>
      <c r="D228" s="24" t="n">
        <v>1146.97</v>
      </c>
      <c r="E228" s="24" t="n">
        <v>2163.43</v>
      </c>
      <c r="F228" s="24" t="n">
        <v>3835.89</v>
      </c>
      <c r="G228" s="24" t="n">
        <v>2117</v>
      </c>
      <c r="H228" s="24">
        <f>G228-F228</f>
        <v/>
      </c>
      <c r="I228" s="8">
        <f>IF(F228=0,0,G228/F228-1)</f>
        <v/>
      </c>
    </row>
    <row r="229">
      <c r="A229" s="6" t="inlineStr">
        <is>
          <t>1000.4900.1000.56400.950</t>
        </is>
      </c>
      <c r="B229" s="6" t="inlineStr">
        <is>
          <t>GaTE K-8 Books</t>
        </is>
      </c>
      <c r="C229" s="24" t="n">
        <v>494.96</v>
      </c>
      <c r="D229" s="24" t="n">
        <v>447.26</v>
      </c>
      <c r="E229" s="24" t="n">
        <v>317.93</v>
      </c>
      <c r="F229" s="24" t="n">
        <v>1200</v>
      </c>
      <c r="G229" s="24" t="n">
        <v>1200</v>
      </c>
      <c r="H229" s="24">
        <f>G229-F229</f>
        <v/>
      </c>
      <c r="I229" s="8">
        <f>IF(F229=0,0,G229/F229-1)</f>
        <v/>
      </c>
    </row>
    <row r="230">
      <c r="A230" s="6" t="inlineStr">
        <is>
          <t>1000.4900.1000.58100.950</t>
        </is>
      </c>
      <c r="B230" s="6" t="inlineStr">
        <is>
          <t>Dues and Fees</t>
        </is>
      </c>
      <c r="C230" s="24" t="n">
        <v>0</v>
      </c>
      <c r="D230" s="24" t="n">
        <v>0</v>
      </c>
      <c r="E230" s="24" t="n">
        <v>254</v>
      </c>
      <c r="F230" s="24" t="n">
        <v>3352</v>
      </c>
      <c r="G230" s="24" t="n">
        <v>4734</v>
      </c>
      <c r="H230" s="24">
        <f>G230-F230</f>
        <v/>
      </c>
      <c r="I230" s="8">
        <f>IF(F230=0,0,G230/F230-1)</f>
        <v/>
      </c>
    </row>
    <row r="231">
      <c r="A231" s="14" t="n"/>
      <c r="B231" s="28" t="inlineStr">
        <is>
          <t>Program 4900 Total</t>
        </is>
      </c>
      <c r="C231" s="29">
        <f>SUM(C218:C230)</f>
        <v/>
      </c>
      <c r="D231" s="29">
        <f>SUM(D218:D230)</f>
        <v/>
      </c>
      <c r="E231" s="29">
        <f>SUM(E218:E230)</f>
        <v/>
      </c>
      <c r="F231" s="29">
        <f>SUM(F218:F230)</f>
        <v/>
      </c>
      <c r="G231" s="29">
        <f>SUM(G218:G230)</f>
        <v/>
      </c>
      <c r="H231" s="29">
        <f>SUM(H218:H230)</f>
        <v/>
      </c>
      <c r="I231" s="29">
        <f>SUM(I218:I230)</f>
        <v/>
      </c>
    </row>
    <row r="232">
      <c r="A232" s="14" t="n"/>
      <c r="B232" s="30" t="inlineStr">
        <is>
          <t>Function 1000 Total</t>
        </is>
      </c>
      <c r="C232" s="31">
        <f>C217+C231</f>
        <v/>
      </c>
      <c r="D232" s="31">
        <f>D217+D231</f>
        <v/>
      </c>
      <c r="E232" s="31">
        <f>E217+E231</f>
        <v/>
      </c>
      <c r="F232" s="31">
        <f>F217+F231</f>
        <v/>
      </c>
      <c r="G232" s="31">
        <f>G217+G231</f>
        <v/>
      </c>
      <c r="H232" s="31">
        <f>H217+H231</f>
        <v/>
      </c>
      <c r="I232" s="31">
        <f>I217+I231</f>
        <v/>
      </c>
    </row>
    <row r="233">
      <c r="A233" s="14" t="n"/>
      <c r="B233" s="17" t="inlineStr">
        <is>
          <t>Cost Center ('950',) Total</t>
        </is>
      </c>
      <c r="C233" s="32">
        <f>C232</f>
        <v/>
      </c>
      <c r="D233" s="32">
        <f>D232</f>
        <v/>
      </c>
      <c r="E233" s="32">
        <f>E232</f>
        <v/>
      </c>
      <c r="F233" s="32">
        <f>F232</f>
        <v/>
      </c>
      <c r="G233" s="32">
        <f>G232</f>
        <v/>
      </c>
      <c r="H233" s="32">
        <f>H232</f>
        <v/>
      </c>
      <c r="I233" s="32">
        <f>I232</f>
        <v/>
      </c>
    </row>
    <row r="235">
      <c r="A235" s="3" t="inlineStr">
        <is>
          <t>Cost Center: ('990',)</t>
        </is>
      </c>
    </row>
    <row r="236">
      <c r="A236" s="6" t="inlineStr">
        <is>
          <t>1000.4100.1000.51010.990</t>
        </is>
      </c>
      <c r="B236" s="6" t="inlineStr">
        <is>
          <t>Teacher Salaries</t>
        </is>
      </c>
      <c r="C236" s="24" t="n">
        <v>12706.98</v>
      </c>
      <c r="D236" s="24" t="n">
        <v>7107.57</v>
      </c>
      <c r="E236" s="24" t="n">
        <v>19286.85</v>
      </c>
      <c r="F236" s="24" t="n">
        <v>15821</v>
      </c>
      <c r="G236" s="24" t="n">
        <v>101837</v>
      </c>
      <c r="H236" s="24">
        <f>G236-F236</f>
        <v/>
      </c>
      <c r="I236" s="8">
        <f>IF(F236=0,0,G236/F236-1)</f>
        <v/>
      </c>
    </row>
    <row r="237">
      <c r="A237" s="6" t="inlineStr">
        <is>
          <t>1000.4100.1000.52010.990</t>
        </is>
      </c>
      <c r="B237" s="6" t="inlineStr">
        <is>
          <t>Teacher Benefits</t>
        </is>
      </c>
      <c r="C237" s="24" t="n">
        <v>1940.39</v>
      </c>
      <c r="D237" s="24" t="n">
        <v>321.96</v>
      </c>
      <c r="E237" s="24" t="n">
        <v>2013.03</v>
      </c>
      <c r="F237" s="24" t="n">
        <v>1158</v>
      </c>
      <c r="G237" s="24" t="n">
        <v>21319</v>
      </c>
      <c r="H237" s="24">
        <f>G237-F237</f>
        <v/>
      </c>
      <c r="I237" s="8">
        <f>IF(F237=0,0,G237/F237-1)</f>
        <v/>
      </c>
    </row>
    <row r="238">
      <c r="A238" s="6" t="inlineStr">
        <is>
          <t>1000.4100.1000.52310.990</t>
        </is>
      </c>
      <c r="B238" s="6" t="inlineStr">
        <is>
          <t>Retirement</t>
        </is>
      </c>
      <c r="C238" s="24" t="n">
        <v>528.58</v>
      </c>
      <c r="D238" s="24" t="n">
        <v>105.46</v>
      </c>
      <c r="E238" s="24" t="n">
        <v>749.34</v>
      </c>
      <c r="F238" s="24" t="n">
        <v>658</v>
      </c>
      <c r="G238" s="24" t="n">
        <v>3613</v>
      </c>
      <c r="H238" s="24">
        <f>G238-F238</f>
        <v/>
      </c>
      <c r="I238" s="8">
        <f>IF(F238=0,0,G238/F238-1)</f>
        <v/>
      </c>
    </row>
    <row r="239">
      <c r="A239" s="6" t="inlineStr">
        <is>
          <t>1000.4100.1000.53000.990</t>
        </is>
      </c>
      <c r="B239" s="6" t="inlineStr">
        <is>
          <t>Purchased Professional Services</t>
        </is>
      </c>
      <c r="C239" s="24" t="n">
        <v>0</v>
      </c>
      <c r="D239" s="24" t="n">
        <v>0</v>
      </c>
      <c r="E239" s="24" t="n">
        <v>0</v>
      </c>
      <c r="F239" s="24" t="n">
        <v>200</v>
      </c>
      <c r="G239" s="24" t="n">
        <v>0</v>
      </c>
      <c r="H239" s="24">
        <f>G239-F239</f>
        <v/>
      </c>
      <c r="I239" s="8">
        <f>IF(F239=0,0,G239/F239-1)</f>
        <v/>
      </c>
    </row>
    <row r="240">
      <c r="A240" s="6" t="inlineStr">
        <is>
          <t>1000.4100.1000.53400.990</t>
        </is>
      </c>
      <c r="B240" s="6" t="inlineStr">
        <is>
          <t>Professional Services</t>
        </is>
      </c>
      <c r="C240" s="24" t="n">
        <v>0</v>
      </c>
      <c r="D240" s="24" t="n">
        <v>0</v>
      </c>
      <c r="E240" s="24" t="n">
        <v>0</v>
      </c>
      <c r="F240" s="24" t="n">
        <v>250</v>
      </c>
      <c r="G240" s="24" t="n">
        <v>0</v>
      </c>
      <c r="H240" s="24">
        <f>G240-F240</f>
        <v/>
      </c>
      <c r="I240" s="8">
        <f>IF(F240=0,0,G240/F240-1)</f>
        <v/>
      </c>
    </row>
    <row r="241">
      <c r="A241" s="6" t="inlineStr">
        <is>
          <t>1000.4100.1000.55800.990</t>
        </is>
      </c>
      <c r="B241" s="6" t="inlineStr">
        <is>
          <t>Travel-Other</t>
        </is>
      </c>
      <c r="C241" s="24" t="n">
        <v>29.52</v>
      </c>
      <c r="D241" s="24" t="n">
        <v>0</v>
      </c>
      <c r="E241" s="24" t="n">
        <v>0</v>
      </c>
      <c r="F241" s="24" t="n">
        <v>200</v>
      </c>
      <c r="G241" s="24" t="n">
        <v>0</v>
      </c>
      <c r="H241" s="24">
        <f>G241-F241</f>
        <v/>
      </c>
      <c r="I241" s="8">
        <f>IF(F241=0,0,G241/F241-1)</f>
        <v/>
      </c>
    </row>
    <row r="242">
      <c r="A242" s="6" t="inlineStr">
        <is>
          <t>1000.4100.1000.56100.990</t>
        </is>
      </c>
      <c r="B242" s="6" t="inlineStr">
        <is>
          <t>Instructional Supplies</t>
        </is>
      </c>
      <c r="C242" s="24" t="n">
        <v>590.39</v>
      </c>
      <c r="D242" s="24" t="n">
        <v>0</v>
      </c>
      <c r="E242" s="24" t="n">
        <v>25.34</v>
      </c>
      <c r="F242" s="24" t="n">
        <v>350</v>
      </c>
      <c r="G242" s="24" t="n">
        <v>500</v>
      </c>
      <c r="H242" s="24">
        <f>G242-F242</f>
        <v/>
      </c>
      <c r="I242" s="8">
        <f>IF(F242=0,0,G242/F242-1)</f>
        <v/>
      </c>
    </row>
    <row r="243">
      <c r="A243" s="14" t="n"/>
      <c r="B243" s="28" t="inlineStr">
        <is>
          <t>Program 4100 Total</t>
        </is>
      </c>
      <c r="C243" s="29">
        <f>SUM(C236:C242)</f>
        <v/>
      </c>
      <c r="D243" s="29">
        <f>SUM(D236:D242)</f>
        <v/>
      </c>
      <c r="E243" s="29">
        <f>SUM(E236:E242)</f>
        <v/>
      </c>
      <c r="F243" s="29">
        <f>SUM(F236:F242)</f>
        <v/>
      </c>
      <c r="G243" s="29">
        <f>SUM(G236:G242)</f>
        <v/>
      </c>
      <c r="H243" s="29">
        <f>SUM(H236:H242)</f>
        <v/>
      </c>
      <c r="I243" s="29">
        <f>SUM(I236:I242)</f>
        <v/>
      </c>
    </row>
    <row r="244">
      <c r="A244" s="6" t="inlineStr">
        <is>
          <t>1000.4900.1000.51010.990</t>
        </is>
      </c>
      <c r="B244" s="6" t="inlineStr">
        <is>
          <t>Teacher Salaries</t>
        </is>
      </c>
      <c r="C244" s="24" t="n">
        <v>55634.87</v>
      </c>
      <c r="D244" s="24" t="n">
        <v>4842.22</v>
      </c>
      <c r="E244" s="24" t="n">
        <v>10712.93</v>
      </c>
      <c r="F244" s="24" t="n">
        <v>8520</v>
      </c>
      <c r="G244" s="24" t="n">
        <v>11743</v>
      </c>
      <c r="H244" s="24">
        <f>G244-F244</f>
        <v/>
      </c>
      <c r="I244" s="8">
        <f>IF(F244=0,0,G244/F244-1)</f>
        <v/>
      </c>
    </row>
    <row r="245">
      <c r="A245" s="6" t="inlineStr">
        <is>
          <t>1000.4900.1000.51500.990</t>
        </is>
      </c>
      <c r="B245" s="6" t="inlineStr">
        <is>
          <t>Stipends</t>
        </is>
      </c>
      <c r="C245" s="24" t="n">
        <v>0</v>
      </c>
      <c r="D245" s="24" t="n">
        <v>0</v>
      </c>
      <c r="E245" s="24" t="n">
        <v>0</v>
      </c>
      <c r="F245" s="24" t="n">
        <v>300</v>
      </c>
      <c r="G245" s="24" t="n">
        <v>300</v>
      </c>
      <c r="H245" s="24">
        <f>G245-F245</f>
        <v/>
      </c>
      <c r="I245" s="8">
        <f>IF(F245=0,0,G245/F245-1)</f>
        <v/>
      </c>
    </row>
    <row r="246">
      <c r="A246" s="6" t="inlineStr">
        <is>
          <t>1000.4900.1000.52010.990</t>
        </is>
      </c>
      <c r="B246" s="6" t="inlineStr">
        <is>
          <t>Teacher Benefits</t>
        </is>
      </c>
      <c r="C246" s="24" t="n">
        <v>21107.03</v>
      </c>
      <c r="D246" s="24" t="n">
        <v>52.15</v>
      </c>
      <c r="E246" s="24" t="n">
        <v>3200.47</v>
      </c>
      <c r="F246" s="24" t="n">
        <v>3174</v>
      </c>
      <c r="G246" s="24" t="n">
        <v>3496</v>
      </c>
      <c r="H246" s="24">
        <f>G246-F246</f>
        <v/>
      </c>
      <c r="I246" s="8">
        <f>IF(F246=0,0,G246/F246-1)</f>
        <v/>
      </c>
    </row>
    <row r="247">
      <c r="A247" s="6" t="inlineStr">
        <is>
          <t>1000.4900.1000.52300.990</t>
        </is>
      </c>
      <c r="B247" s="6" t="inlineStr">
        <is>
          <t>Retirement</t>
        </is>
      </c>
      <c r="C247" s="24" t="n">
        <v>0</v>
      </c>
      <c r="D247" s="24" t="n">
        <v>0</v>
      </c>
      <c r="E247" s="24" t="n">
        <v>0</v>
      </c>
      <c r="F247" s="24" t="n">
        <v>12</v>
      </c>
      <c r="G247" s="24" t="n">
        <v>14</v>
      </c>
      <c r="H247" s="24">
        <f>G247-F247</f>
        <v/>
      </c>
      <c r="I247" s="8">
        <f>IF(F247=0,0,G247/F247-1)</f>
        <v/>
      </c>
    </row>
    <row r="248">
      <c r="A248" s="6" t="inlineStr">
        <is>
          <t>1000.4900.1000.52310.990</t>
        </is>
      </c>
      <c r="B248" s="6" t="inlineStr">
        <is>
          <t>Retirement</t>
        </is>
      </c>
      <c r="C248" s="24" t="n">
        <v>2317.84</v>
      </c>
      <c r="D248" s="24" t="n">
        <v>10.98</v>
      </c>
      <c r="E248" s="24" t="n">
        <v>439.93</v>
      </c>
      <c r="F248" s="24" t="n">
        <v>354</v>
      </c>
      <c r="G248" s="24" t="n">
        <v>525</v>
      </c>
      <c r="H248" s="24">
        <f>G248-F248</f>
        <v/>
      </c>
      <c r="I248" s="8">
        <f>IF(F248=0,0,G248/F248-1)</f>
        <v/>
      </c>
    </row>
    <row r="249">
      <c r="A249" s="6" t="inlineStr">
        <is>
          <t>1000.4900.1000.53000.990</t>
        </is>
      </c>
      <c r="B249" s="6" t="inlineStr">
        <is>
          <t>Purchase Professional Services</t>
        </is>
      </c>
      <c r="C249" s="24" t="n">
        <v>0</v>
      </c>
      <c r="D249" s="24" t="n">
        <v>0</v>
      </c>
      <c r="E249" s="24" t="n">
        <v>368.13</v>
      </c>
      <c r="F249" s="24" t="n">
        <v>0</v>
      </c>
      <c r="G249" s="24" t="n">
        <v>30</v>
      </c>
      <c r="H249" s="24">
        <f>G249-F249</f>
        <v/>
      </c>
      <c r="I249" s="8">
        <f>IF(F249=0,0,G249/F249-1)</f>
        <v/>
      </c>
    </row>
    <row r="250">
      <c r="A250" s="6" t="inlineStr">
        <is>
          <t>1000.4900.1000.53440.990</t>
        </is>
      </c>
      <c r="B250" s="6" t="inlineStr">
        <is>
          <t>GaTE HS Professional Services</t>
        </is>
      </c>
      <c r="C250" s="24" t="n">
        <v>2406.88</v>
      </c>
      <c r="D250" s="24" t="n">
        <v>1098.52</v>
      </c>
      <c r="E250" s="24" t="n">
        <v>1344.69</v>
      </c>
      <c r="F250" s="24" t="n">
        <v>9355</v>
      </c>
      <c r="G250" s="24" t="n">
        <v>13055</v>
      </c>
      <c r="H250" s="24">
        <f>G250-F250</f>
        <v/>
      </c>
      <c r="I250" s="8">
        <f>IF(F250=0,0,G250/F250-1)</f>
        <v/>
      </c>
    </row>
    <row r="251">
      <c r="A251" s="6" t="inlineStr">
        <is>
          <t>1000.4900.1000.55800.990</t>
        </is>
      </c>
      <c r="B251" s="6" t="inlineStr">
        <is>
          <t>Travel</t>
        </is>
      </c>
      <c r="C251" s="24" t="n">
        <v>483.3</v>
      </c>
      <c r="D251" s="24" t="n">
        <v>0</v>
      </c>
      <c r="E251" s="24" t="n">
        <v>0</v>
      </c>
      <c r="F251" s="24" t="n">
        <v>0</v>
      </c>
      <c r="G251" s="24" t="n">
        <v>0</v>
      </c>
      <c r="H251" s="24">
        <f>G251-F251</f>
        <v/>
      </c>
      <c r="I251" s="8">
        <f>IF(F251=0,0,G251/F251-1)</f>
        <v/>
      </c>
    </row>
    <row r="252">
      <c r="A252" s="6" t="inlineStr">
        <is>
          <t>1000.4900.1000.56100.990</t>
        </is>
      </c>
      <c r="B252" s="6" t="inlineStr">
        <is>
          <t>GaTE HS Instructional Supplies</t>
        </is>
      </c>
      <c r="C252" s="24" t="n">
        <v>0</v>
      </c>
      <c r="D252" s="24" t="n">
        <v>0</v>
      </c>
      <c r="E252" s="24" t="n">
        <v>0</v>
      </c>
      <c r="F252" s="24" t="n">
        <v>462.99</v>
      </c>
      <c r="G252" s="24" t="n">
        <v>463</v>
      </c>
      <c r="H252" s="24">
        <f>G252-F252</f>
        <v/>
      </c>
      <c r="I252" s="8">
        <f>IF(F252=0,0,G252/F252-1)</f>
        <v/>
      </c>
    </row>
    <row r="253">
      <c r="A253" s="14" t="n"/>
      <c r="B253" s="28" t="inlineStr">
        <is>
          <t>Program 4900 Total</t>
        </is>
      </c>
      <c r="C253" s="29">
        <f>SUM(C244:C252)</f>
        <v/>
      </c>
      <c r="D253" s="29">
        <f>SUM(D244:D252)</f>
        <v/>
      </c>
      <c r="E253" s="29">
        <f>SUM(E244:E252)</f>
        <v/>
      </c>
      <c r="F253" s="29">
        <f>SUM(F244:F252)</f>
        <v/>
      </c>
      <c r="G253" s="29">
        <f>SUM(G244:G252)</f>
        <v/>
      </c>
      <c r="H253" s="29">
        <f>SUM(H244:H252)</f>
        <v/>
      </c>
      <c r="I253" s="29">
        <f>SUM(I244:I252)</f>
        <v/>
      </c>
    </row>
    <row r="254">
      <c r="A254" s="14" t="n"/>
      <c r="B254" s="30" t="inlineStr">
        <is>
          <t>Function 1000 Total</t>
        </is>
      </c>
      <c r="C254" s="31">
        <f>C243+C253</f>
        <v/>
      </c>
      <c r="D254" s="31">
        <f>D243+D253</f>
        <v/>
      </c>
      <c r="E254" s="31">
        <f>E243+E253</f>
        <v/>
      </c>
      <c r="F254" s="31">
        <f>F243+F253</f>
        <v/>
      </c>
      <c r="G254" s="31">
        <f>G243+G253</f>
        <v/>
      </c>
      <c r="H254" s="31">
        <f>H243+H253</f>
        <v/>
      </c>
      <c r="I254" s="31">
        <f>I243+I253</f>
        <v/>
      </c>
    </row>
    <row r="255">
      <c r="A255" s="14" t="n"/>
      <c r="B255" s="17" t="inlineStr">
        <is>
          <t>Cost Center ('990',) Total</t>
        </is>
      </c>
      <c r="C255" s="32">
        <f>C254</f>
        <v/>
      </c>
      <c r="D255" s="32">
        <f>D254</f>
        <v/>
      </c>
      <c r="E255" s="32">
        <f>E254</f>
        <v/>
      </c>
      <c r="F255" s="32">
        <f>F254</f>
        <v/>
      </c>
      <c r="G255" s="32">
        <f>G254</f>
        <v/>
      </c>
      <c r="H255" s="32">
        <f>H254</f>
        <v/>
      </c>
      <c r="I255" s="32">
        <f>I254</f>
        <v/>
      </c>
    </row>
    <row r="257">
      <c r="A257" s="14" t="n"/>
      <c r="B257" s="33" t="inlineStr">
        <is>
          <t>ARTICLE 1 TOTAL</t>
        </is>
      </c>
      <c r="C257" s="34">
        <f>C44+C75+C108+C132+C166+C196+C207+C233+C255</f>
        <v/>
      </c>
      <c r="D257" s="34">
        <f>D44+D75+D108+D132+D166+D196+D207+D233+D255</f>
        <v/>
      </c>
      <c r="E257" s="34">
        <f>E44+E75+E108+E132+E166+E196+E207+E233+E255</f>
        <v/>
      </c>
      <c r="F257" s="34">
        <f>F44+F75+F108+F132+F166+F196+F207+F233+F255</f>
        <v/>
      </c>
      <c r="G257" s="34">
        <f>G44+G75+G108+G132+G166+G196+G207+G233+G255</f>
        <v/>
      </c>
      <c r="H257" s="34">
        <f>H44+H75+H108+H132+H166+H196+H207+H233+H255</f>
        <v/>
      </c>
      <c r="I257" s="34">
        <f>I44+I75+I108+I132+I166+I196+I207+I233+I255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2 - Special Education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1000.2200.1000.51010.010</t>
        </is>
      </c>
      <c r="B7" s="6" t="inlineStr">
        <is>
          <t>Teacher Salaries</t>
        </is>
      </c>
      <c r="C7" s="24" t="n">
        <v>141049.22</v>
      </c>
      <c r="D7" s="24" t="n">
        <v>197594.07</v>
      </c>
      <c r="E7" s="24" t="n">
        <v>209896.59</v>
      </c>
      <c r="F7" s="24" t="n">
        <v>232037</v>
      </c>
      <c r="G7" s="24" t="n">
        <v>238883</v>
      </c>
      <c r="H7" s="24">
        <f>G7-F7</f>
        <v/>
      </c>
      <c r="I7" s="8">
        <f>IF(F7=0,0,G7/F7-1)</f>
        <v/>
      </c>
    </row>
    <row r="8">
      <c r="A8" s="6" t="inlineStr">
        <is>
          <t>1000.2200.1000.51020.010</t>
        </is>
      </c>
      <c r="B8" s="6" t="inlineStr">
        <is>
          <t>Ed Tech Salaries</t>
        </is>
      </c>
      <c r="C8" s="24" t="n">
        <v>71661.69</v>
      </c>
      <c r="D8" s="24" t="n">
        <v>126067.18</v>
      </c>
      <c r="E8" s="24" t="n">
        <v>141182.89</v>
      </c>
      <c r="F8" s="24" t="n">
        <v>150192</v>
      </c>
      <c r="G8" s="24" t="n">
        <v>100053</v>
      </c>
      <c r="H8" s="24">
        <f>G8-F8</f>
        <v/>
      </c>
      <c r="I8" s="8">
        <f>IF(F8=0,0,G8/F8-1)</f>
        <v/>
      </c>
    </row>
    <row r="9">
      <c r="A9" s="6" t="inlineStr">
        <is>
          <t>1000.2200.1000.52010.010</t>
        </is>
      </c>
      <c r="B9" s="6" t="inlineStr">
        <is>
          <t>Teacher Benefits</t>
        </is>
      </c>
      <c r="C9" s="24" t="n">
        <v>36075.21</v>
      </c>
      <c r="D9" s="24" t="n">
        <v>14909.04</v>
      </c>
      <c r="E9" s="24" t="n">
        <v>46189.23</v>
      </c>
      <c r="F9" s="24" t="n">
        <v>48020</v>
      </c>
      <c r="G9" s="24" t="n">
        <v>64849</v>
      </c>
      <c r="H9" s="24">
        <f>G9-F9</f>
        <v/>
      </c>
      <c r="I9" s="8">
        <f>IF(F9=0,0,G9/F9-1)</f>
        <v/>
      </c>
    </row>
    <row r="10">
      <c r="A10" s="6" t="inlineStr">
        <is>
          <t>1000.2200.1000.52020.010</t>
        </is>
      </c>
      <c r="B10" s="6" t="inlineStr">
        <is>
          <t>Ed Tech Benefits</t>
        </is>
      </c>
      <c r="C10" s="24" t="n">
        <v>28738.77</v>
      </c>
      <c r="D10" s="24" t="n">
        <v>8519.969999999999</v>
      </c>
      <c r="E10" s="24" t="n">
        <v>52963.44</v>
      </c>
      <c r="F10" s="24" t="n">
        <v>54442</v>
      </c>
      <c r="G10" s="24" t="n">
        <v>36960</v>
      </c>
      <c r="H10" s="24">
        <f>G10-F10</f>
        <v/>
      </c>
      <c r="I10" s="8">
        <f>IF(F10=0,0,G10/F10-1)</f>
        <v/>
      </c>
    </row>
    <row r="11">
      <c r="A11" s="6" t="inlineStr">
        <is>
          <t>1000.2200.1000.52310.010</t>
        </is>
      </c>
      <c r="B11" s="6" t="inlineStr">
        <is>
          <t>Retirement</t>
        </is>
      </c>
      <c r="C11" s="24" t="n">
        <v>6020.37</v>
      </c>
      <c r="D11" s="24" t="n">
        <v>1809.42</v>
      </c>
      <c r="E11" s="24" t="n">
        <v>8406.559999999999</v>
      </c>
      <c r="F11" s="24" t="n">
        <v>10124</v>
      </c>
      <c r="G11" s="24" t="n">
        <v>10678</v>
      </c>
      <c r="H11" s="24">
        <f>G11-F11</f>
        <v/>
      </c>
      <c r="I11" s="8">
        <f>IF(F11=0,0,G11/F11-1)</f>
        <v/>
      </c>
    </row>
    <row r="12">
      <c r="A12" s="6" t="inlineStr">
        <is>
          <t>1000.2200.1000.52320.010</t>
        </is>
      </c>
      <c r="B12" s="6" t="inlineStr">
        <is>
          <t>Retirement</t>
        </is>
      </c>
      <c r="C12" s="24" t="n">
        <v>3068.6</v>
      </c>
      <c r="D12" s="24" t="n">
        <v>993.22</v>
      </c>
      <c r="E12" s="24" t="n">
        <v>4650.72</v>
      </c>
      <c r="F12" s="24" t="n">
        <v>6247</v>
      </c>
      <c r="G12" s="24" t="n">
        <v>4786</v>
      </c>
      <c r="H12" s="24">
        <f>G12-F12</f>
        <v/>
      </c>
      <c r="I12" s="8">
        <f>IF(F12=0,0,G12/F12-1)</f>
        <v/>
      </c>
    </row>
    <row r="13">
      <c r="A13" s="14" t="n"/>
      <c r="B13" s="28" t="inlineStr">
        <is>
          <t>Program 2200 Total</t>
        </is>
      </c>
      <c r="C13" s="29">
        <f>SUM(C7:C12)</f>
        <v/>
      </c>
      <c r="D13" s="29">
        <f>SUM(D7:D12)</f>
        <v/>
      </c>
      <c r="E13" s="29">
        <f>SUM(E7:E12)</f>
        <v/>
      </c>
      <c r="F13" s="29">
        <f>SUM(F7:F12)</f>
        <v/>
      </c>
      <c r="G13" s="29">
        <f>SUM(G7:G12)</f>
        <v/>
      </c>
      <c r="H13" s="29">
        <f>SUM(H7:H12)</f>
        <v/>
      </c>
      <c r="I13" s="29">
        <f>SUM(I7:I12)</f>
        <v/>
      </c>
    </row>
    <row r="14">
      <c r="A14" s="6" t="inlineStr">
        <is>
          <t>1000.2300.1000.51010.010</t>
        </is>
      </c>
      <c r="B14" s="6" t="inlineStr">
        <is>
          <t>Teacher Salaries</t>
        </is>
      </c>
      <c r="C14" s="24" t="n">
        <v>51548.12</v>
      </c>
      <c r="D14" s="24" t="n">
        <v>56840.12</v>
      </c>
      <c r="E14" s="24" t="n">
        <v>46596.63</v>
      </c>
      <c r="F14" s="24" t="n">
        <v>49737</v>
      </c>
      <c r="G14" s="24" t="n">
        <v>53255</v>
      </c>
      <c r="H14" s="24">
        <f>G14-F14</f>
        <v/>
      </c>
      <c r="I14" s="8">
        <f>IF(F14=0,0,G14/F14-1)</f>
        <v/>
      </c>
    </row>
    <row r="15">
      <c r="A15" s="6" t="inlineStr">
        <is>
          <t>1000.2300.1000.51020.010</t>
        </is>
      </c>
      <c r="B15" s="6" t="inlineStr">
        <is>
          <t>Ed Tech Salaries</t>
        </is>
      </c>
      <c r="C15" s="24" t="n">
        <v>92140.17</v>
      </c>
      <c r="D15" s="24" t="n">
        <v>123583.26</v>
      </c>
      <c r="E15" s="24" t="n">
        <v>112288.01</v>
      </c>
      <c r="F15" s="24" t="n">
        <v>107718</v>
      </c>
      <c r="G15" s="24" t="n">
        <v>150225</v>
      </c>
      <c r="H15" s="24">
        <f>G15-F15</f>
        <v/>
      </c>
      <c r="I15" s="8">
        <f>IF(F15=0,0,G15/F15-1)</f>
        <v/>
      </c>
    </row>
    <row r="16">
      <c r="A16" s="6" t="inlineStr">
        <is>
          <t>1000.2300.1000.52010.010</t>
        </is>
      </c>
      <c r="B16" s="6" t="inlineStr">
        <is>
          <t>Teacher Benefits</t>
        </is>
      </c>
      <c r="C16" s="24" t="n">
        <v>14686.8</v>
      </c>
      <c r="D16" s="24" t="n">
        <v>3290.43</v>
      </c>
      <c r="E16" s="24" t="n">
        <v>20980.54</v>
      </c>
      <c r="F16" s="24" t="n">
        <v>21391</v>
      </c>
      <c r="G16" s="24" t="n">
        <v>22858</v>
      </c>
      <c r="H16" s="24">
        <f>G16-F16</f>
        <v/>
      </c>
      <c r="I16" s="8">
        <f>IF(F16=0,0,G16/F16-1)</f>
        <v/>
      </c>
    </row>
    <row r="17">
      <c r="A17" s="6" t="inlineStr">
        <is>
          <t>1000.2300.1000.52020.010</t>
        </is>
      </c>
      <c r="B17" s="6" t="inlineStr">
        <is>
          <t>Ed Tech Benefits</t>
        </is>
      </c>
      <c r="C17" s="24" t="n">
        <v>26830.71</v>
      </c>
      <c r="D17" s="24" t="n">
        <v>23539.09</v>
      </c>
      <c r="E17" s="24" t="n">
        <v>30853.33</v>
      </c>
      <c r="F17" s="24" t="n">
        <v>43743</v>
      </c>
      <c r="G17" s="24" t="n">
        <v>90024</v>
      </c>
      <c r="H17" s="24">
        <f>G17-F17</f>
        <v/>
      </c>
      <c r="I17" s="8">
        <f>IF(F17=0,0,G17/F17-1)</f>
        <v/>
      </c>
    </row>
    <row r="18">
      <c r="A18" s="6" t="inlineStr">
        <is>
          <t>1000.2300.1000.52310.010</t>
        </is>
      </c>
      <c r="B18" s="6" t="inlineStr">
        <is>
          <t>Retirement</t>
        </is>
      </c>
      <c r="C18" s="24" t="n">
        <v>2195.84</v>
      </c>
      <c r="D18" s="24" t="n">
        <v>522.24</v>
      </c>
      <c r="E18" s="24" t="n">
        <v>1789.27</v>
      </c>
      <c r="F18" s="24" t="n">
        <v>2069</v>
      </c>
      <c r="G18" s="24" t="n">
        <v>2381</v>
      </c>
      <c r="H18" s="24">
        <f>G18-F18</f>
        <v/>
      </c>
      <c r="I18" s="8">
        <f>IF(F18=0,0,G18/F18-1)</f>
        <v/>
      </c>
    </row>
    <row r="19">
      <c r="A19" s="6" t="inlineStr">
        <is>
          <t>1000.2300.1000.52320.010</t>
        </is>
      </c>
      <c r="B19" s="6" t="inlineStr">
        <is>
          <t>Retirement</t>
        </is>
      </c>
      <c r="C19" s="24" t="n">
        <v>3863.93</v>
      </c>
      <c r="D19" s="24" t="n">
        <v>922.51</v>
      </c>
      <c r="E19" s="24" t="n">
        <v>4229.85</v>
      </c>
      <c r="F19" s="24" t="n">
        <v>4481</v>
      </c>
      <c r="G19" s="24" t="n">
        <v>7185</v>
      </c>
      <c r="H19" s="24">
        <f>G19-F19</f>
        <v/>
      </c>
      <c r="I19" s="8">
        <f>IF(F19=0,0,G19/F19-1)</f>
        <v/>
      </c>
    </row>
    <row r="20">
      <c r="A20" s="14" t="n"/>
      <c r="B20" s="28" t="inlineStr">
        <is>
          <t>Program 2300 Total</t>
        </is>
      </c>
      <c r="C20" s="29">
        <f>SUM(C14:C19)</f>
        <v/>
      </c>
      <c r="D20" s="29">
        <f>SUM(D14:D19)</f>
        <v/>
      </c>
      <c r="E20" s="29">
        <f>SUM(E14:E19)</f>
        <v/>
      </c>
      <c r="F20" s="29">
        <f>SUM(F14:F19)</f>
        <v/>
      </c>
      <c r="G20" s="29">
        <f>SUM(G14:G19)</f>
        <v/>
      </c>
      <c r="H20" s="29">
        <f>SUM(H14:H19)</f>
        <v/>
      </c>
      <c r="I20" s="29">
        <f>SUM(I14:I19)</f>
        <v/>
      </c>
    </row>
    <row r="21">
      <c r="A21" s="14" t="n"/>
      <c r="B21" s="30" t="inlineStr">
        <is>
          <t>Function 1000 Total</t>
        </is>
      </c>
      <c r="C21" s="31">
        <f>C13+C20</f>
        <v/>
      </c>
      <c r="D21" s="31">
        <f>D13+D20</f>
        <v/>
      </c>
      <c r="E21" s="31">
        <f>E13+E20</f>
        <v/>
      </c>
      <c r="F21" s="31">
        <f>F13+F20</f>
        <v/>
      </c>
      <c r="G21" s="31">
        <f>G13+G20</f>
        <v/>
      </c>
      <c r="H21" s="31">
        <f>H13+H20</f>
        <v/>
      </c>
      <c r="I21" s="31">
        <f>I13+I20</f>
        <v/>
      </c>
    </row>
    <row r="22">
      <c r="A22" s="6" t="inlineStr">
        <is>
          <t>1000.2800.2110.51010.010</t>
        </is>
      </c>
      <c r="B22" s="6" t="inlineStr">
        <is>
          <t>Social Worker Salary</t>
        </is>
      </c>
      <c r="C22" s="24" t="n">
        <v>60722.74</v>
      </c>
      <c r="D22" s="24" t="n">
        <v>62472.01</v>
      </c>
      <c r="E22" s="24" t="n">
        <v>68150.34</v>
      </c>
      <c r="F22" s="24" t="n">
        <v>72464</v>
      </c>
      <c r="G22" s="24" t="n">
        <v>75443</v>
      </c>
      <c r="H22" s="24">
        <f>G22-F22</f>
        <v/>
      </c>
      <c r="I22" s="8">
        <f>IF(F22=0,0,G22/F22-1)</f>
        <v/>
      </c>
    </row>
    <row r="23">
      <c r="A23" s="6" t="inlineStr">
        <is>
          <t>1000.2800.2110.52010.010</t>
        </is>
      </c>
      <c r="B23" s="6" t="inlineStr">
        <is>
          <t>Social Worker Benefits</t>
        </is>
      </c>
      <c r="C23" s="24" t="n">
        <v>10009.94</v>
      </c>
      <c r="D23" s="24" t="n">
        <v>2212.77</v>
      </c>
      <c r="E23" s="24" t="n">
        <v>10018.1</v>
      </c>
      <c r="F23" s="24" t="n">
        <v>10511</v>
      </c>
      <c r="G23" s="24" t="n">
        <v>11181</v>
      </c>
      <c r="H23" s="24">
        <f>G23-F23</f>
        <v/>
      </c>
      <c r="I23" s="8">
        <f>IF(F23=0,0,G23/F23-1)</f>
        <v/>
      </c>
    </row>
    <row r="24">
      <c r="A24" s="6" t="inlineStr">
        <is>
          <t>1000.2800.2110.52310.010</t>
        </is>
      </c>
      <c r="B24" s="6" t="inlineStr">
        <is>
          <t>Retirement</t>
        </is>
      </c>
      <c r="C24" s="24" t="n">
        <v>2526.16</v>
      </c>
      <c r="D24" s="24" t="n">
        <v>614.4</v>
      </c>
      <c r="E24" s="24" t="n">
        <v>2616.9</v>
      </c>
      <c r="F24" s="24" t="n">
        <v>3014</v>
      </c>
      <c r="G24" s="24" t="n">
        <v>3372</v>
      </c>
      <c r="H24" s="24">
        <f>G24-F24</f>
        <v/>
      </c>
      <c r="I24" s="8">
        <f>IF(F24=0,0,G24/F24-1)</f>
        <v/>
      </c>
    </row>
    <row r="25">
      <c r="A25" s="14" t="n"/>
      <c r="B25" s="28" t="inlineStr">
        <is>
          <t>Program 2800 Total</t>
        </is>
      </c>
      <c r="C25" s="29">
        <f>SUM(C22:C24)</f>
        <v/>
      </c>
      <c r="D25" s="29">
        <f>SUM(D22:D24)</f>
        <v/>
      </c>
      <c r="E25" s="29">
        <f>SUM(E22:E24)</f>
        <v/>
      </c>
      <c r="F25" s="29">
        <f>SUM(F22:F24)</f>
        <v/>
      </c>
      <c r="G25" s="29">
        <f>SUM(G22:G24)</f>
        <v/>
      </c>
      <c r="H25" s="29">
        <f>SUM(H22:H24)</f>
        <v/>
      </c>
      <c r="I25" s="29">
        <f>SUM(I22:I24)</f>
        <v/>
      </c>
    </row>
    <row r="26">
      <c r="A26" s="6" t="inlineStr">
        <is>
          <t>1000.2800.2140.51010.010</t>
        </is>
      </c>
      <c r="B26" s="6" t="inlineStr">
        <is>
          <t>Psychological Services Salary</t>
        </is>
      </c>
      <c r="C26" s="24" t="n">
        <v>58587.83</v>
      </c>
      <c r="D26" s="24" t="n">
        <v>22929.9</v>
      </c>
      <c r="E26" s="24" t="n">
        <v>0</v>
      </c>
      <c r="F26" s="24" t="n">
        <v>0</v>
      </c>
      <c r="G26" s="24" t="n">
        <v>0</v>
      </c>
      <c r="H26" s="24">
        <f>G26-F26</f>
        <v/>
      </c>
      <c r="I26" s="8">
        <f>IF(F26=0,0,G26/F26-1)</f>
        <v/>
      </c>
    </row>
    <row r="27">
      <c r="A27" s="6" t="inlineStr">
        <is>
          <t>1000.2800.2140.52010.010</t>
        </is>
      </c>
      <c r="B27" s="6" t="inlineStr">
        <is>
          <t>Psych Services Benefit</t>
        </is>
      </c>
      <c r="C27" s="24" t="n">
        <v>7763.26</v>
      </c>
      <c r="D27" s="24" t="n">
        <v>1278.25</v>
      </c>
      <c r="E27" s="24" t="n">
        <v>0</v>
      </c>
      <c r="F27" s="24" t="n">
        <v>11708</v>
      </c>
      <c r="G27" s="24" t="n">
        <v>0</v>
      </c>
      <c r="H27" s="24">
        <f>G27-F27</f>
        <v/>
      </c>
      <c r="I27" s="8">
        <f>IF(F27=0,0,G27/F27-1)</f>
        <v/>
      </c>
    </row>
    <row r="28">
      <c r="A28" s="6" t="inlineStr">
        <is>
          <t>1000.2800.2140.52310.010</t>
        </is>
      </c>
      <c r="B28" s="6" t="inlineStr">
        <is>
          <t>Retirement</t>
        </is>
      </c>
      <c r="C28" s="24" t="n">
        <v>2484.69</v>
      </c>
      <c r="D28" s="24" t="n">
        <v>294.3</v>
      </c>
      <c r="E28" s="24" t="n">
        <v>0</v>
      </c>
      <c r="F28" s="24" t="n">
        <v>1674</v>
      </c>
      <c r="G28" s="24" t="n">
        <v>0</v>
      </c>
      <c r="H28" s="24">
        <f>G28-F28</f>
        <v/>
      </c>
      <c r="I28" s="8">
        <f>IF(F28=0,0,G28/F28-1)</f>
        <v/>
      </c>
    </row>
    <row r="29">
      <c r="A29" s="6" t="inlineStr">
        <is>
          <t>1000.2800.2140.55800.010</t>
        </is>
      </c>
      <c r="B29" s="6" t="inlineStr">
        <is>
          <t>Travel</t>
        </is>
      </c>
      <c r="C29" s="24" t="n">
        <v>0</v>
      </c>
      <c r="D29" s="24" t="n">
        <v>0</v>
      </c>
      <c r="E29" s="24" t="n">
        <v>14.94</v>
      </c>
      <c r="F29" s="24" t="n">
        <v>580</v>
      </c>
      <c r="G29" s="24" t="n">
        <v>0</v>
      </c>
      <c r="H29" s="24">
        <f>G29-F29</f>
        <v/>
      </c>
      <c r="I29" s="8">
        <f>IF(F29=0,0,G29/F29-1)</f>
        <v/>
      </c>
    </row>
    <row r="30">
      <c r="A30" s="14" t="n"/>
      <c r="B30" s="28" t="inlineStr">
        <is>
          <t>Program 2800 Total</t>
        </is>
      </c>
      <c r="C30" s="29">
        <f>SUM(C26:C29)</f>
        <v/>
      </c>
      <c r="D30" s="29">
        <f>SUM(D26:D29)</f>
        <v/>
      </c>
      <c r="E30" s="29">
        <f>SUM(E26:E29)</f>
        <v/>
      </c>
      <c r="F30" s="29">
        <f>SUM(F26:F29)</f>
        <v/>
      </c>
      <c r="G30" s="29">
        <f>SUM(G26:G29)</f>
        <v/>
      </c>
      <c r="H30" s="29">
        <f>SUM(H26:H29)</f>
        <v/>
      </c>
      <c r="I30" s="29">
        <f>SUM(I26:I29)</f>
        <v/>
      </c>
    </row>
    <row r="31">
      <c r="A31" s="6" t="inlineStr">
        <is>
          <t>1000.2800.2150.51010.010</t>
        </is>
      </c>
      <c r="B31" s="6" t="inlineStr">
        <is>
          <t>Speech &amp; Audiology Salaries</t>
        </is>
      </c>
      <c r="C31" s="24" t="n">
        <v>79061.75999999999</v>
      </c>
      <c r="D31" s="24" t="n">
        <v>73212.07000000001</v>
      </c>
      <c r="E31" s="24" t="n">
        <v>79211.62</v>
      </c>
      <c r="F31" s="24" t="n">
        <v>94657</v>
      </c>
      <c r="G31" s="24" t="n">
        <v>108925</v>
      </c>
      <c r="H31" s="24">
        <f>G31-F31</f>
        <v/>
      </c>
      <c r="I31" s="8">
        <f>IF(F31=0,0,G31/F31-1)</f>
        <v/>
      </c>
    </row>
    <row r="32">
      <c r="A32" s="6" t="inlineStr">
        <is>
          <t>1000.2800.2150.52010.010</t>
        </is>
      </c>
      <c r="B32" s="6" t="inlineStr">
        <is>
          <t>Speech &amp; Audiology Benefits</t>
        </is>
      </c>
      <c r="C32" s="24" t="n">
        <v>10545.46</v>
      </c>
      <c r="D32" s="24" t="n">
        <v>2135.57</v>
      </c>
      <c r="E32" s="24" t="n">
        <v>9707.879999999999</v>
      </c>
      <c r="F32" s="24" t="n">
        <v>16465</v>
      </c>
      <c r="G32" s="24" t="n">
        <v>14233</v>
      </c>
      <c r="H32" s="24">
        <f>G32-F32</f>
        <v/>
      </c>
      <c r="I32" s="8">
        <f>IF(F32=0,0,G32/F32-1)</f>
        <v/>
      </c>
    </row>
    <row r="33">
      <c r="A33" s="6" t="inlineStr">
        <is>
          <t>1000.2800.2150.52310.010</t>
        </is>
      </c>
      <c r="B33" s="6" t="inlineStr">
        <is>
          <t>Retirement</t>
        </is>
      </c>
      <c r="C33" s="24" t="n">
        <v>3288.84</v>
      </c>
      <c r="D33" s="24" t="n">
        <v>734.22</v>
      </c>
      <c r="E33" s="24" t="n">
        <v>3252.56</v>
      </c>
      <c r="F33" s="24" t="n">
        <v>4409</v>
      </c>
      <c r="G33" s="24" t="n">
        <v>4869</v>
      </c>
      <c r="H33" s="24">
        <f>G33-F33</f>
        <v/>
      </c>
      <c r="I33" s="8">
        <f>IF(F33=0,0,G33/F33-1)</f>
        <v/>
      </c>
    </row>
    <row r="34">
      <c r="A34" s="14" t="n"/>
      <c r="B34" s="28" t="inlineStr">
        <is>
          <t>Program 2800 Total</t>
        </is>
      </c>
      <c r="C34" s="29">
        <f>SUM(C31:C33)</f>
        <v/>
      </c>
      <c r="D34" s="29">
        <f>SUM(D31:D33)</f>
        <v/>
      </c>
      <c r="E34" s="29">
        <f>SUM(E31:E33)</f>
        <v/>
      </c>
      <c r="F34" s="29">
        <f>SUM(F31:F33)</f>
        <v/>
      </c>
      <c r="G34" s="29">
        <f>SUM(G31:G33)</f>
        <v/>
      </c>
      <c r="H34" s="29">
        <f>SUM(H31:H33)</f>
        <v/>
      </c>
      <c r="I34" s="29">
        <f>SUM(I31:I33)</f>
        <v/>
      </c>
    </row>
    <row r="35">
      <c r="A35" s="6" t="inlineStr">
        <is>
          <t>1000.2800.2160.51010.010</t>
        </is>
      </c>
      <c r="B35" s="6" t="inlineStr">
        <is>
          <t>OT Salary</t>
        </is>
      </c>
      <c r="C35" s="24" t="n">
        <v>0</v>
      </c>
      <c r="D35" s="24" t="n">
        <v>59199.84</v>
      </c>
      <c r="E35" s="24" t="n">
        <v>50178.64</v>
      </c>
      <c r="F35" s="24" t="n">
        <v>72426</v>
      </c>
      <c r="G35" s="24" t="n">
        <v>67107</v>
      </c>
      <c r="H35" s="24">
        <f>G35-F35</f>
        <v/>
      </c>
      <c r="I35" s="8">
        <f>IF(F35=0,0,G35/F35-1)</f>
        <v/>
      </c>
    </row>
    <row r="36">
      <c r="A36" s="6" t="inlineStr">
        <is>
          <t>1000.2800.2160.52010.010</t>
        </is>
      </c>
      <c r="B36" s="6" t="inlineStr">
        <is>
          <t>OT Benefits</t>
        </is>
      </c>
      <c r="C36" s="24" t="n">
        <v>0</v>
      </c>
      <c r="D36" s="24" t="n">
        <v>2141.87</v>
      </c>
      <c r="E36" s="24" t="n">
        <v>10562.07</v>
      </c>
      <c r="F36" s="24" t="n">
        <v>21038</v>
      </c>
      <c r="G36" s="24" t="n">
        <v>18008</v>
      </c>
      <c r="H36" s="24">
        <f>G36-F36</f>
        <v/>
      </c>
      <c r="I36" s="8">
        <f>IF(F36=0,0,G36/F36-1)</f>
        <v/>
      </c>
    </row>
    <row r="37">
      <c r="A37" s="6" t="inlineStr">
        <is>
          <t>1000.2800.2160.52310.010</t>
        </is>
      </c>
      <c r="B37" s="6" t="inlineStr">
        <is>
          <t>Retirement</t>
        </is>
      </c>
      <c r="C37" s="24" t="n">
        <v>0</v>
      </c>
      <c r="D37" s="24" t="n">
        <v>0</v>
      </c>
      <c r="E37" s="24" t="n">
        <v>1926.94</v>
      </c>
      <c r="F37" s="24" t="n">
        <v>3484</v>
      </c>
      <c r="G37" s="24" t="n">
        <v>3000</v>
      </c>
      <c r="H37" s="24">
        <f>G37-F37</f>
        <v/>
      </c>
      <c r="I37" s="8">
        <f>IF(F37=0,0,G37/F37-1)</f>
        <v/>
      </c>
    </row>
    <row r="38">
      <c r="A38" s="6" t="inlineStr">
        <is>
          <t>1000.2800.2160.55800.010</t>
        </is>
      </c>
      <c r="B38" s="6" t="inlineStr">
        <is>
          <t>Travel</t>
        </is>
      </c>
      <c r="C38" s="24" t="n">
        <v>0</v>
      </c>
      <c r="D38" s="24" t="n">
        <v>0</v>
      </c>
      <c r="E38" s="24" t="n">
        <v>172.87</v>
      </c>
      <c r="F38" s="24" t="n">
        <v>210</v>
      </c>
      <c r="G38" s="24" t="n">
        <v>0</v>
      </c>
      <c r="H38" s="24">
        <f>G38-F38</f>
        <v/>
      </c>
      <c r="I38" s="8">
        <f>IF(F38=0,0,G38/F38-1)</f>
        <v/>
      </c>
    </row>
    <row r="39">
      <c r="A39" s="14" t="n"/>
      <c r="B39" s="28" t="inlineStr">
        <is>
          <t>Program 2800 Total</t>
        </is>
      </c>
      <c r="C39" s="29">
        <f>SUM(C35:C38)</f>
        <v/>
      </c>
      <c r="D39" s="29">
        <f>SUM(D35:D38)</f>
        <v/>
      </c>
      <c r="E39" s="29">
        <f>SUM(E35:E38)</f>
        <v/>
      </c>
      <c r="F39" s="29">
        <f>SUM(F35:F38)</f>
        <v/>
      </c>
      <c r="G39" s="29">
        <f>SUM(G35:G38)</f>
        <v/>
      </c>
      <c r="H39" s="29">
        <f>SUM(H35:H38)</f>
        <v/>
      </c>
      <c r="I39" s="29">
        <f>SUM(I35:I38)</f>
        <v/>
      </c>
    </row>
    <row r="40">
      <c r="A40" s="14" t="n"/>
      <c r="B40" s="17" t="inlineStr">
        <is>
          <t>Cost Center ('010',) Total</t>
        </is>
      </c>
      <c r="C40" s="32">
        <f>C21+C25+C30+C34+C39</f>
        <v/>
      </c>
      <c r="D40" s="32">
        <f>D21+D25+D30+D34+D39</f>
        <v/>
      </c>
      <c r="E40" s="32">
        <f>E21+E25+E30+E34+E39</f>
        <v/>
      </c>
      <c r="F40" s="32">
        <f>F21+F25+F30+F34+F39</f>
        <v/>
      </c>
      <c r="G40" s="32">
        <f>G21+G25+G30+G34+G39</f>
        <v/>
      </c>
      <c r="H40" s="32">
        <f>H21+H25+H30+H34+H39</f>
        <v/>
      </c>
      <c r="I40" s="32">
        <f>I21+I25+I30+I34+I39</f>
        <v/>
      </c>
    </row>
    <row r="42">
      <c r="A42" s="3" t="inlineStr">
        <is>
          <t>Cost Center: ('020',)</t>
        </is>
      </c>
    </row>
    <row r="43">
      <c r="A43" s="6" t="inlineStr">
        <is>
          <t>1000.2200.1000.51010.020</t>
        </is>
      </c>
      <c r="B43" s="6" t="inlineStr">
        <is>
          <t>Teacher Salaries</t>
        </is>
      </c>
      <c r="C43" s="24" t="n">
        <v>258883.42</v>
      </c>
      <c r="D43" s="24" t="n">
        <v>189588.27</v>
      </c>
      <c r="E43" s="24" t="n">
        <v>72280.56</v>
      </c>
      <c r="F43" s="24" t="n">
        <v>72067</v>
      </c>
      <c r="G43" s="24" t="n">
        <v>82812</v>
      </c>
      <c r="H43" s="24">
        <f>G43-F43</f>
        <v/>
      </c>
      <c r="I43" s="8">
        <f>IF(F43=0,0,G43/F43-1)</f>
        <v/>
      </c>
    </row>
    <row r="44">
      <c r="A44" s="6" t="inlineStr">
        <is>
          <t>1000.2200.1000.51020.020</t>
        </is>
      </c>
      <c r="B44" s="6" t="inlineStr">
        <is>
          <t>Ed Tech Salaries</t>
        </is>
      </c>
      <c r="C44" s="24" t="n">
        <v>90148.66</v>
      </c>
      <c r="D44" s="24" t="n">
        <v>90581.22</v>
      </c>
      <c r="E44" s="24" t="n">
        <v>0</v>
      </c>
      <c r="F44" s="24" t="n">
        <v>0</v>
      </c>
      <c r="G44" s="24" t="n">
        <v>139551</v>
      </c>
      <c r="H44" s="24">
        <f>G44-F44</f>
        <v/>
      </c>
      <c r="I44" s="8">
        <f>IF(F44=0,0,G44/F44-1)</f>
        <v/>
      </c>
    </row>
    <row r="45">
      <c r="A45" s="6" t="inlineStr">
        <is>
          <t>1000.2200.1000.51230.020</t>
        </is>
      </c>
      <c r="B45" s="6" t="inlineStr">
        <is>
          <t>Sub Wages</t>
        </is>
      </c>
      <c r="C45" s="24" t="n">
        <v>596.48</v>
      </c>
      <c r="D45" s="24" t="n">
        <v>4747.7</v>
      </c>
      <c r="E45" s="24" t="n">
        <v>0</v>
      </c>
      <c r="F45" s="24" t="n">
        <v>0</v>
      </c>
      <c r="G45" s="24" t="n">
        <v>0</v>
      </c>
      <c r="H45" s="24">
        <f>G45-F45</f>
        <v/>
      </c>
      <c r="I45" s="8">
        <f>IF(F45=0,0,G45/F45-1)</f>
        <v/>
      </c>
    </row>
    <row r="46">
      <c r="A46" s="6" t="inlineStr">
        <is>
          <t>1000.2200.1000.52010.020</t>
        </is>
      </c>
      <c r="B46" s="6" t="inlineStr">
        <is>
          <t>Teacher Benefits</t>
        </is>
      </c>
      <c r="C46" s="24" t="n">
        <v>46586.46</v>
      </c>
      <c r="D46" s="24" t="n">
        <v>5734.53</v>
      </c>
      <c r="E46" s="24" t="n">
        <v>10087.21</v>
      </c>
      <c r="F46" s="24" t="n">
        <v>10502</v>
      </c>
      <c r="G46" s="24" t="n">
        <v>25417</v>
      </c>
      <c r="H46" s="24">
        <f>G46-F46</f>
        <v/>
      </c>
      <c r="I46" s="8">
        <f>IF(F46=0,0,G46/F46-1)</f>
        <v/>
      </c>
    </row>
    <row r="47">
      <c r="A47" s="6" t="inlineStr">
        <is>
          <t>1000.2200.1000.52020.020</t>
        </is>
      </c>
      <c r="B47" s="6" t="inlineStr">
        <is>
          <t>Ed Tech Benefits</t>
        </is>
      </c>
      <c r="C47" s="24" t="n">
        <v>18762.07</v>
      </c>
      <c r="D47" s="24" t="n">
        <v>3963.06</v>
      </c>
      <c r="E47" s="24" t="n">
        <v>0</v>
      </c>
      <c r="F47" s="24" t="n">
        <v>0</v>
      </c>
      <c r="G47" s="24" t="n">
        <v>36854</v>
      </c>
      <c r="H47" s="24">
        <f>G47-F47</f>
        <v/>
      </c>
      <c r="I47" s="8">
        <f>IF(F47=0,0,G47/F47-1)</f>
        <v/>
      </c>
    </row>
    <row r="48">
      <c r="A48" s="6" t="inlineStr">
        <is>
          <t>1000.2200.1000.52030.020</t>
        </is>
      </c>
      <c r="B48" s="6" t="inlineStr">
        <is>
          <t>Substitute Benefits</t>
        </is>
      </c>
      <c r="C48" s="24" t="n">
        <v>18.09</v>
      </c>
      <c r="D48" s="24" t="n">
        <v>0</v>
      </c>
      <c r="E48" s="24" t="n">
        <v>0</v>
      </c>
      <c r="F48" s="24" t="n">
        <v>0</v>
      </c>
      <c r="G48" s="24" t="n">
        <v>0</v>
      </c>
      <c r="H48" s="24">
        <f>G48-F48</f>
        <v/>
      </c>
      <c r="I48" s="8">
        <f>IF(F48=0,0,G48/F48-1)</f>
        <v/>
      </c>
    </row>
    <row r="49">
      <c r="A49" s="6" t="inlineStr">
        <is>
          <t>1000.2200.1000.52310.020</t>
        </is>
      </c>
      <c r="B49" s="6" t="inlineStr">
        <is>
          <t>Retirement</t>
        </is>
      </c>
      <c r="C49" s="24" t="n">
        <v>10815.45</v>
      </c>
      <c r="D49" s="24" t="n">
        <v>1729.01</v>
      </c>
      <c r="E49" s="24" t="n">
        <v>2967.88</v>
      </c>
      <c r="F49" s="24" t="n">
        <v>0</v>
      </c>
      <c r="G49" s="24" t="n">
        <v>3702</v>
      </c>
      <c r="H49" s="24">
        <f>G49-F49</f>
        <v/>
      </c>
      <c r="I49" s="8">
        <f>IF(F49=0,0,G49/F49-1)</f>
        <v/>
      </c>
    </row>
    <row r="50">
      <c r="A50" s="6" t="inlineStr">
        <is>
          <t>1000.2200.1000.52320.020</t>
        </is>
      </c>
      <c r="B50" s="6" t="inlineStr">
        <is>
          <t>Retirement</t>
        </is>
      </c>
      <c r="C50" s="24" t="n">
        <v>3669.93</v>
      </c>
      <c r="D50" s="24" t="n">
        <v>808.46</v>
      </c>
      <c r="E50" s="24" t="n">
        <v>0</v>
      </c>
      <c r="F50" s="24" t="n">
        <v>0</v>
      </c>
      <c r="G50" s="24" t="n">
        <v>6674</v>
      </c>
      <c r="H50" s="24">
        <f>G50-F50</f>
        <v/>
      </c>
      <c r="I50" s="8">
        <f>IF(F50=0,0,G50/F50-1)</f>
        <v/>
      </c>
    </row>
    <row r="51">
      <c r="A51" s="6" t="inlineStr">
        <is>
          <t>1000.2200.1000.52330.020</t>
        </is>
      </c>
      <c r="B51" s="6" t="inlineStr">
        <is>
          <t>Retirement</t>
        </is>
      </c>
      <c r="C51" s="24" t="n">
        <v>12.37</v>
      </c>
      <c r="D51" s="24" t="n">
        <v>0</v>
      </c>
      <c r="E51" s="24" t="n">
        <v>0</v>
      </c>
      <c r="F51" s="24" t="n">
        <v>0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14" t="n"/>
      <c r="B52" s="28" t="inlineStr">
        <is>
          <t>Program 2200 Total</t>
        </is>
      </c>
      <c r="C52" s="29">
        <f>SUM(C43:C51)</f>
        <v/>
      </c>
      <c r="D52" s="29">
        <f>SUM(D43:D51)</f>
        <v/>
      </c>
      <c r="E52" s="29">
        <f>SUM(E43:E51)</f>
        <v/>
      </c>
      <c r="F52" s="29">
        <f>SUM(F43:F51)</f>
        <v/>
      </c>
      <c r="G52" s="29">
        <f>SUM(G43:G51)</f>
        <v/>
      </c>
      <c r="H52" s="29">
        <f>SUM(H43:H51)</f>
        <v/>
      </c>
      <c r="I52" s="29">
        <f>SUM(I43:I51)</f>
        <v/>
      </c>
    </row>
    <row r="53">
      <c r="A53" s="6" t="inlineStr">
        <is>
          <t>1000.2300.1000.51010.020</t>
        </is>
      </c>
      <c r="B53" s="6" t="inlineStr">
        <is>
          <t>Teacher Salaries</t>
        </is>
      </c>
      <c r="C53" s="24" t="n">
        <v>57792.8</v>
      </c>
      <c r="D53" s="24" t="n">
        <v>66694.73</v>
      </c>
      <c r="E53" s="24" t="n">
        <v>124961.38</v>
      </c>
      <c r="F53" s="24" t="n">
        <v>128357</v>
      </c>
      <c r="G53" s="24" t="n">
        <v>116050</v>
      </c>
      <c r="H53" s="24">
        <f>G53-F53</f>
        <v/>
      </c>
      <c r="I53" s="8">
        <f>IF(F53=0,0,G53/F53-1)</f>
        <v/>
      </c>
    </row>
    <row r="54">
      <c r="A54" s="6" t="inlineStr">
        <is>
          <t>1000.2300.1000.51020.020</t>
        </is>
      </c>
      <c r="B54" s="6" t="inlineStr">
        <is>
          <t>Ed Tech Salaries</t>
        </is>
      </c>
      <c r="C54" s="24" t="n">
        <v>52849.45</v>
      </c>
      <c r="D54" s="24" t="n">
        <v>48367.12</v>
      </c>
      <c r="E54" s="24" t="n">
        <v>37587.18</v>
      </c>
      <c r="F54" s="24" t="n">
        <v>96978</v>
      </c>
      <c r="G54" s="24" t="n">
        <v>0</v>
      </c>
      <c r="H54" s="24">
        <f>G54-F54</f>
        <v/>
      </c>
      <c r="I54" s="8">
        <f>IF(F54=0,0,G54/F54-1)</f>
        <v/>
      </c>
    </row>
    <row r="55">
      <c r="A55" s="6" t="inlineStr">
        <is>
          <t>1000.2300.1000.52010.020</t>
        </is>
      </c>
      <c r="B55" s="6" t="inlineStr">
        <is>
          <t>Teacher Benefits</t>
        </is>
      </c>
      <c r="C55" s="24" t="n">
        <v>21736.38</v>
      </c>
      <c r="D55" s="24" t="n">
        <v>4790.21</v>
      </c>
      <c r="E55" s="24" t="n">
        <v>34785.32</v>
      </c>
      <c r="F55" s="24" t="n">
        <v>37614</v>
      </c>
      <c r="G55" s="24" t="n">
        <v>43774</v>
      </c>
      <c r="H55" s="24">
        <f>G55-F55</f>
        <v/>
      </c>
      <c r="I55" s="8">
        <f>IF(F55=0,0,G55/F55-1)</f>
        <v/>
      </c>
    </row>
    <row r="56">
      <c r="A56" s="6" t="inlineStr">
        <is>
          <t>1000.2300.1000.52020.020</t>
        </is>
      </c>
      <c r="B56" s="6" t="inlineStr">
        <is>
          <t>Ed Tech Benefits</t>
        </is>
      </c>
      <c r="C56" s="24" t="n">
        <v>26654.85</v>
      </c>
      <c r="D56" s="24" t="n">
        <v>6256.39</v>
      </c>
      <c r="E56" s="24" t="n">
        <v>5387.73</v>
      </c>
      <c r="F56" s="24" t="n">
        <v>41185</v>
      </c>
      <c r="G56" s="24" t="n">
        <v>0</v>
      </c>
      <c r="H56" s="24">
        <f>G56-F56</f>
        <v/>
      </c>
      <c r="I56" s="8">
        <f>IF(F56=0,0,G56/F56-1)</f>
        <v/>
      </c>
    </row>
    <row r="57">
      <c r="A57" s="6" t="inlineStr">
        <is>
          <t>1000.2300.1000.52310.020</t>
        </is>
      </c>
      <c r="B57" s="6" t="inlineStr">
        <is>
          <t>Retirement</t>
        </is>
      </c>
      <c r="C57" s="24" t="n">
        <v>2404.2</v>
      </c>
      <c r="D57" s="24" t="n">
        <v>585.66</v>
      </c>
      <c r="E57" s="24" t="n">
        <v>4929.43</v>
      </c>
      <c r="F57" s="24" t="n">
        <v>5339</v>
      </c>
      <c r="G57" s="24" t="n">
        <v>5187</v>
      </c>
      <c r="H57" s="24">
        <f>G57-F57</f>
        <v/>
      </c>
      <c r="I57" s="8">
        <f>IF(F57=0,0,G57/F57-1)</f>
        <v/>
      </c>
    </row>
    <row r="58">
      <c r="A58" s="6" t="inlineStr">
        <is>
          <t>1000.2300.1000.52320.020</t>
        </is>
      </c>
      <c r="B58" s="6" t="inlineStr">
        <is>
          <t>Retirement</t>
        </is>
      </c>
      <c r="C58" s="24" t="n">
        <v>2198.5</v>
      </c>
      <c r="D58" s="24" t="n">
        <v>561.14</v>
      </c>
      <c r="E58" s="24" t="n">
        <v>1438.37</v>
      </c>
      <c r="F58" s="24" t="n">
        <v>0</v>
      </c>
      <c r="G58" s="24" t="n">
        <v>0</v>
      </c>
      <c r="H58" s="24">
        <f>G58-F58</f>
        <v/>
      </c>
      <c r="I58" s="8">
        <f>IF(F58=0,0,G58/F58-1)</f>
        <v/>
      </c>
    </row>
    <row r="59">
      <c r="A59" s="14" t="n"/>
      <c r="B59" s="28" t="inlineStr">
        <is>
          <t>Program 2300 Total</t>
        </is>
      </c>
      <c r="C59" s="29">
        <f>SUM(C53:C58)</f>
        <v/>
      </c>
      <c r="D59" s="29">
        <f>SUM(D53:D58)</f>
        <v/>
      </c>
      <c r="E59" s="29">
        <f>SUM(E53:E58)</f>
        <v/>
      </c>
      <c r="F59" s="29">
        <f>SUM(F53:F58)</f>
        <v/>
      </c>
      <c r="G59" s="29">
        <f>SUM(G53:G58)</f>
        <v/>
      </c>
      <c r="H59" s="29">
        <f>SUM(H53:H58)</f>
        <v/>
      </c>
      <c r="I59" s="29">
        <f>SUM(I53:I58)</f>
        <v/>
      </c>
    </row>
    <row r="60">
      <c r="A60" s="14" t="n"/>
      <c r="B60" s="30" t="inlineStr">
        <is>
          <t>Function 1000 Total</t>
        </is>
      </c>
      <c r="C60" s="31">
        <f>C52+C59</f>
        <v/>
      </c>
      <c r="D60" s="31">
        <f>D52+D59</f>
        <v/>
      </c>
      <c r="E60" s="31">
        <f>E52+E59</f>
        <v/>
      </c>
      <c r="F60" s="31">
        <f>F52+F59</f>
        <v/>
      </c>
      <c r="G60" s="31">
        <f>G52+G59</f>
        <v/>
      </c>
      <c r="H60" s="31">
        <f>H52+H59</f>
        <v/>
      </c>
      <c r="I60" s="31">
        <f>I52+I59</f>
        <v/>
      </c>
    </row>
    <row r="61">
      <c r="A61" s="6" t="inlineStr">
        <is>
          <t>1000.2800.2110.51010.020</t>
        </is>
      </c>
      <c r="B61" s="6" t="inlineStr">
        <is>
          <t>Social Worker Salary</t>
        </is>
      </c>
      <c r="C61" s="24" t="n">
        <v>67888.08</v>
      </c>
      <c r="D61" s="24" t="n">
        <v>33721.89</v>
      </c>
      <c r="E61" s="24" t="n">
        <v>35007.21</v>
      </c>
      <c r="F61" s="24" t="n">
        <v>36874</v>
      </c>
      <c r="G61" s="24" t="n">
        <v>38165</v>
      </c>
      <c r="H61" s="24">
        <f>G61-F61</f>
        <v/>
      </c>
      <c r="I61" s="8">
        <f>IF(F61=0,0,G61/F61-1)</f>
        <v/>
      </c>
    </row>
    <row r="62">
      <c r="A62" s="6" t="inlineStr">
        <is>
          <t>1000.2800.2110.52010.020</t>
        </is>
      </c>
      <c r="B62" s="6" t="inlineStr">
        <is>
          <t>Social Worker Benefits</t>
        </is>
      </c>
      <c r="C62" s="24" t="n">
        <v>16978.76</v>
      </c>
      <c r="D62" s="24" t="n">
        <v>1777.42</v>
      </c>
      <c r="E62" s="24" t="n">
        <v>7798.63</v>
      </c>
      <c r="F62" s="24" t="n">
        <v>7997</v>
      </c>
      <c r="G62" s="24" t="n">
        <v>10609</v>
      </c>
      <c r="H62" s="24">
        <f>G62-F62</f>
        <v/>
      </c>
      <c r="I62" s="8">
        <f>IF(F62=0,0,G62/F62-1)</f>
        <v/>
      </c>
    </row>
    <row r="63">
      <c r="A63" s="6" t="inlineStr">
        <is>
          <t>1000.2800.2110.52310.020</t>
        </is>
      </c>
      <c r="B63" s="6" t="inlineStr">
        <is>
          <t>Retirement</t>
        </is>
      </c>
      <c r="C63" s="24" t="n">
        <v>2824.38</v>
      </c>
      <c r="D63" s="24" t="n">
        <v>315.84</v>
      </c>
      <c r="E63" s="24" t="n">
        <v>1344.46</v>
      </c>
      <c r="F63" s="24" t="n">
        <v>1533</v>
      </c>
      <c r="G63" s="24" t="n">
        <v>1706</v>
      </c>
      <c r="H63" s="24">
        <f>G63-F63</f>
        <v/>
      </c>
      <c r="I63" s="8">
        <f>IF(F63=0,0,G63/F63-1)</f>
        <v/>
      </c>
    </row>
    <row r="64">
      <c r="A64" s="6" t="inlineStr">
        <is>
          <t>1000.2800.2110.55800.020</t>
        </is>
      </c>
      <c r="B64" s="6" t="inlineStr">
        <is>
          <t>Travel</t>
        </is>
      </c>
      <c r="C64" s="24" t="n">
        <v>0</v>
      </c>
      <c r="D64" s="24" t="n">
        <v>0</v>
      </c>
      <c r="E64" s="24" t="n">
        <v>0</v>
      </c>
      <c r="F64" s="24" t="n">
        <v>150</v>
      </c>
      <c r="G64" s="24" t="n">
        <v>0</v>
      </c>
      <c r="H64" s="24">
        <f>G64-F64</f>
        <v/>
      </c>
      <c r="I64" s="8">
        <f>IF(F64=0,0,G64/F64-1)</f>
        <v/>
      </c>
    </row>
    <row r="65">
      <c r="A65" s="14" t="n"/>
      <c r="B65" s="28" t="inlineStr">
        <is>
          <t>Program 2800 Total</t>
        </is>
      </c>
      <c r="C65" s="29">
        <f>SUM(C61:C64)</f>
        <v/>
      </c>
      <c r="D65" s="29">
        <f>SUM(D61:D64)</f>
        <v/>
      </c>
      <c r="E65" s="29">
        <f>SUM(E61:E64)</f>
        <v/>
      </c>
      <c r="F65" s="29">
        <f>SUM(F61:F64)</f>
        <v/>
      </c>
      <c r="G65" s="29">
        <f>SUM(G61:G64)</f>
        <v/>
      </c>
      <c r="H65" s="29">
        <f>SUM(H61:H64)</f>
        <v/>
      </c>
      <c r="I65" s="29">
        <f>SUM(I61:I64)</f>
        <v/>
      </c>
    </row>
    <row r="66">
      <c r="A66" s="6" t="inlineStr">
        <is>
          <t>1000.2800.2140.51010.020</t>
        </is>
      </c>
      <c r="B66" s="6" t="inlineStr">
        <is>
          <t>Psychological Services Salary</t>
        </is>
      </c>
      <c r="C66" s="24" t="n">
        <v>25390.19</v>
      </c>
      <c r="D66" s="24" t="n">
        <v>32555.17</v>
      </c>
      <c r="E66" s="24" t="n">
        <v>0</v>
      </c>
      <c r="F66" s="24" t="n">
        <v>0</v>
      </c>
      <c r="G66" s="24" t="n">
        <v>0</v>
      </c>
      <c r="H66" s="24">
        <f>G66-F66</f>
        <v/>
      </c>
      <c r="I66" s="8">
        <f>IF(F66=0,0,G66/F66-1)</f>
        <v/>
      </c>
    </row>
    <row r="67">
      <c r="A67" s="6" t="inlineStr">
        <is>
          <t>1000.2800.2140.52010.020</t>
        </is>
      </c>
      <c r="B67" s="6" t="inlineStr">
        <is>
          <t>Psych Services Benefit</t>
        </is>
      </c>
      <c r="C67" s="24" t="n">
        <v>5028.74</v>
      </c>
      <c r="D67" s="24" t="n">
        <v>1247.01</v>
      </c>
      <c r="E67" s="24" t="n">
        <v>0</v>
      </c>
      <c r="F67" s="24" t="n">
        <v>0</v>
      </c>
      <c r="G67" s="24" t="n">
        <v>0</v>
      </c>
      <c r="H67" s="24">
        <f>G67-F67</f>
        <v/>
      </c>
      <c r="I67" s="8">
        <f>IF(F67=0,0,G67/F67-1)</f>
        <v/>
      </c>
    </row>
    <row r="68">
      <c r="A68" s="6" t="inlineStr">
        <is>
          <t>1000.2800.2140.52310.020</t>
        </is>
      </c>
      <c r="B68" s="6" t="inlineStr">
        <is>
          <t>Retirement</t>
        </is>
      </c>
      <c r="C68" s="24" t="n">
        <v>1056.13</v>
      </c>
      <c r="D68" s="24" t="n">
        <v>294.3</v>
      </c>
      <c r="E68" s="24" t="n">
        <v>0</v>
      </c>
      <c r="F68" s="24" t="n">
        <v>0</v>
      </c>
      <c r="G68" s="24" t="n">
        <v>0</v>
      </c>
      <c r="H68" s="24">
        <f>G68-F68</f>
        <v/>
      </c>
      <c r="I68" s="8">
        <f>IF(F68=0,0,G68/F68-1)</f>
        <v/>
      </c>
    </row>
    <row r="69">
      <c r="A69" s="6" t="inlineStr">
        <is>
          <t>1000.2800.2140.55800.020</t>
        </is>
      </c>
      <c r="B69" s="6" t="inlineStr">
        <is>
          <t>Travel</t>
        </is>
      </c>
      <c r="C69" s="24" t="n">
        <v>0</v>
      </c>
      <c r="D69" s="24" t="n">
        <v>0</v>
      </c>
      <c r="E69" s="24" t="n">
        <v>0</v>
      </c>
      <c r="F69" s="24" t="n">
        <v>125</v>
      </c>
      <c r="G69" s="24" t="n">
        <v>0</v>
      </c>
      <c r="H69" s="24">
        <f>G69-F69</f>
        <v/>
      </c>
      <c r="I69" s="8">
        <f>IF(F69=0,0,G69/F69-1)</f>
        <v/>
      </c>
    </row>
    <row r="70">
      <c r="A70" s="14" t="n"/>
      <c r="B70" s="28" t="inlineStr">
        <is>
          <t>Program 2800 Total</t>
        </is>
      </c>
      <c r="C70" s="29">
        <f>SUM(C66:C69)</f>
        <v/>
      </c>
      <c r="D70" s="29">
        <f>SUM(D66:D69)</f>
        <v/>
      </c>
      <c r="E70" s="29">
        <f>SUM(E66:E69)</f>
        <v/>
      </c>
      <c r="F70" s="29">
        <f>SUM(F66:F69)</f>
        <v/>
      </c>
      <c r="G70" s="29">
        <f>SUM(G66:G69)</f>
        <v/>
      </c>
      <c r="H70" s="29">
        <f>SUM(H66:H69)</f>
        <v/>
      </c>
      <c r="I70" s="29">
        <f>SUM(I66:I69)</f>
        <v/>
      </c>
    </row>
    <row r="71">
      <c r="A71" s="6" t="inlineStr">
        <is>
          <t>1000.2800.2150.51010.020</t>
        </is>
      </c>
      <c r="B71" s="6" t="inlineStr">
        <is>
          <t>Speech &amp; Audiology Salaries</t>
        </is>
      </c>
      <c r="C71" s="24" t="n">
        <v>68602.24000000001</v>
      </c>
      <c r="D71" s="24" t="n">
        <v>54523.56</v>
      </c>
      <c r="E71" s="24" t="n">
        <v>58828.86</v>
      </c>
      <c r="F71" s="24" t="n">
        <v>55306</v>
      </c>
      <c r="G71" s="24" t="n">
        <v>115157</v>
      </c>
      <c r="H71" s="24">
        <f>G71-F71</f>
        <v/>
      </c>
      <c r="I71" s="8">
        <f>IF(F71=0,0,G71/F71-1)</f>
        <v/>
      </c>
    </row>
    <row r="72">
      <c r="A72" s="6" t="inlineStr">
        <is>
          <t>1000.2800.2150.52010.020</t>
        </is>
      </c>
      <c r="B72" s="6" t="inlineStr">
        <is>
          <t>Speech &amp; Audiology Benefits</t>
        </is>
      </c>
      <c r="C72" s="24" t="n">
        <v>10678.06</v>
      </c>
      <c r="D72" s="24" t="n">
        <v>2158.34</v>
      </c>
      <c r="E72" s="24" t="n">
        <v>9862.16</v>
      </c>
      <c r="F72" s="24" t="n">
        <v>10065</v>
      </c>
      <c r="G72" s="24" t="n">
        <v>17767</v>
      </c>
      <c r="H72" s="24">
        <f>G72-F72</f>
        <v/>
      </c>
      <c r="I72" s="8">
        <f>IF(F72=0,0,G72/F72-1)</f>
        <v/>
      </c>
    </row>
    <row r="73">
      <c r="A73" s="6" t="inlineStr">
        <is>
          <t>1000.2800.2150.52310.020</t>
        </is>
      </c>
      <c r="B73" s="6" t="inlineStr">
        <is>
          <t>Retirement</t>
        </is>
      </c>
      <c r="C73" s="24" t="n">
        <v>2343.48</v>
      </c>
      <c r="D73" s="24" t="n">
        <v>528.0599999999999</v>
      </c>
      <c r="E73" s="24" t="n">
        <v>2259.13</v>
      </c>
      <c r="F73" s="24" t="n">
        <v>2300</v>
      </c>
      <c r="G73" s="24" t="n">
        <v>5148</v>
      </c>
      <c r="H73" s="24">
        <f>G73-F73</f>
        <v/>
      </c>
      <c r="I73" s="8">
        <f>IF(F73=0,0,G73/F73-1)</f>
        <v/>
      </c>
    </row>
    <row r="74">
      <c r="A74" s="14" t="n"/>
      <c r="B74" s="28" t="inlineStr">
        <is>
          <t>Program 2800 Total</t>
        </is>
      </c>
      <c r="C74" s="29">
        <f>SUM(C71:C73)</f>
        <v/>
      </c>
      <c r="D74" s="29">
        <f>SUM(D71:D73)</f>
        <v/>
      </c>
      <c r="E74" s="29">
        <f>SUM(E71:E73)</f>
        <v/>
      </c>
      <c r="F74" s="29">
        <f>SUM(F71:F73)</f>
        <v/>
      </c>
      <c r="G74" s="29">
        <f>SUM(G71:G73)</f>
        <v/>
      </c>
      <c r="H74" s="29">
        <f>SUM(H71:H73)</f>
        <v/>
      </c>
      <c r="I74" s="29">
        <f>SUM(I71:I73)</f>
        <v/>
      </c>
    </row>
    <row r="75">
      <c r="A75" s="6" t="inlineStr">
        <is>
          <t>1000.2800.2160.51010.020</t>
        </is>
      </c>
      <c r="B75" s="6" t="inlineStr">
        <is>
          <t>OT Salary</t>
        </is>
      </c>
      <c r="C75" s="24" t="n">
        <v>32217.35</v>
      </c>
      <c r="D75" s="24" t="n">
        <v>30418.69</v>
      </c>
      <c r="E75" s="24" t="n">
        <v>36414.62</v>
      </c>
      <c r="F75" s="24" t="n">
        <v>45323</v>
      </c>
      <c r="G75" s="24" t="n">
        <v>72925</v>
      </c>
      <c r="H75" s="24">
        <f>G75-F75</f>
        <v/>
      </c>
      <c r="I75" s="8">
        <f>IF(F75=0,0,G75/F75-1)</f>
        <v/>
      </c>
    </row>
    <row r="76">
      <c r="A76" s="6" t="inlineStr">
        <is>
          <t>1000.2800.2160.52010.020</t>
        </is>
      </c>
      <c r="B76" s="6" t="inlineStr">
        <is>
          <t>OT Benefits</t>
        </is>
      </c>
      <c r="C76" s="24" t="n">
        <v>4734.25</v>
      </c>
      <c r="D76" s="24" t="n">
        <v>3302.79</v>
      </c>
      <c r="E76" s="24" t="n">
        <v>2875.04</v>
      </c>
      <c r="F76" s="24" t="n">
        <v>3319</v>
      </c>
      <c r="G76" s="24" t="n">
        <v>9776</v>
      </c>
      <c r="H76" s="24">
        <f>G76-F76</f>
        <v/>
      </c>
      <c r="I76" s="8">
        <f>IF(F76=0,0,G76/F76-1)</f>
        <v/>
      </c>
    </row>
    <row r="77">
      <c r="A77" s="6" t="inlineStr">
        <is>
          <t>1000.2800.2160.52310.020</t>
        </is>
      </c>
      <c r="B77" s="6" t="inlineStr">
        <is>
          <t>Retirement</t>
        </is>
      </c>
      <c r="C77" s="24" t="n">
        <v>1340.28</v>
      </c>
      <c r="D77" s="24" t="n">
        <v>327.18</v>
      </c>
      <c r="E77" s="24" t="n">
        <v>1441.68</v>
      </c>
      <c r="F77" s="24" t="n">
        <v>1885</v>
      </c>
      <c r="G77" s="24" t="n">
        <v>3256</v>
      </c>
      <c r="H77" s="24">
        <f>G77-F77</f>
        <v/>
      </c>
      <c r="I77" s="8">
        <f>IF(F77=0,0,G77/F77-1)</f>
        <v/>
      </c>
    </row>
    <row r="78">
      <c r="A78" s="6" t="inlineStr">
        <is>
          <t>1000.2800.2160.55800.020</t>
        </is>
      </c>
      <c r="B78" s="6" t="inlineStr">
        <is>
          <t>Travel</t>
        </is>
      </c>
      <c r="C78" s="24" t="n">
        <v>0</v>
      </c>
      <c r="D78" s="24" t="n">
        <v>0</v>
      </c>
      <c r="E78" s="24" t="n">
        <v>0</v>
      </c>
      <c r="F78" s="24" t="n">
        <v>125</v>
      </c>
      <c r="G78" s="24" t="n">
        <v>0</v>
      </c>
      <c r="H78" s="24">
        <f>G78-F78</f>
        <v/>
      </c>
      <c r="I78" s="8">
        <f>IF(F78=0,0,G78/F78-1)</f>
        <v/>
      </c>
    </row>
    <row r="79">
      <c r="A79" s="14" t="n"/>
      <c r="B79" s="28" t="inlineStr">
        <is>
          <t>Program 2800 Total</t>
        </is>
      </c>
      <c r="C79" s="29">
        <f>SUM(C75:C78)</f>
        <v/>
      </c>
      <c r="D79" s="29">
        <f>SUM(D75:D78)</f>
        <v/>
      </c>
      <c r="E79" s="29">
        <f>SUM(E75:E78)</f>
        <v/>
      </c>
      <c r="F79" s="29">
        <f>SUM(F75:F78)</f>
        <v/>
      </c>
      <c r="G79" s="29">
        <f>SUM(G75:G78)</f>
        <v/>
      </c>
      <c r="H79" s="29">
        <f>SUM(H75:H78)</f>
        <v/>
      </c>
      <c r="I79" s="29">
        <f>SUM(I75:I78)</f>
        <v/>
      </c>
    </row>
    <row r="80">
      <c r="A80" s="14" t="n"/>
      <c r="B80" s="17" t="inlineStr">
        <is>
          <t>Cost Center ('020',) Total</t>
        </is>
      </c>
      <c r="C80" s="32">
        <f>C60+C65+C70+C74+C79</f>
        <v/>
      </c>
      <c r="D80" s="32">
        <f>D60+D65+D70+D74+D79</f>
        <v/>
      </c>
      <c r="E80" s="32">
        <f>E60+E65+E70+E74+E79</f>
        <v/>
      </c>
      <c r="F80" s="32">
        <f>F60+F65+F70+F74+F79</f>
        <v/>
      </c>
      <c r="G80" s="32">
        <f>G60+G65+G70+G74+G79</f>
        <v/>
      </c>
      <c r="H80" s="32">
        <f>H60+H65+H70+H74+H79</f>
        <v/>
      </c>
      <c r="I80" s="32">
        <f>I60+I65+I70+I74+I79</f>
        <v/>
      </c>
    </row>
    <row r="82">
      <c r="A82" s="3" t="inlineStr">
        <is>
          <t>Cost Center: ('030',)</t>
        </is>
      </c>
    </row>
    <row r="83">
      <c r="A83" s="6" t="inlineStr">
        <is>
          <t>1000.2200.1000.51010.030</t>
        </is>
      </c>
      <c r="B83" s="6" t="inlineStr">
        <is>
          <t>Teacher Salaries</t>
        </is>
      </c>
      <c r="C83" s="24" t="n">
        <v>92909.86</v>
      </c>
      <c r="D83" s="24" t="n">
        <v>45743.71</v>
      </c>
      <c r="E83" s="24" t="n">
        <v>37121.3</v>
      </c>
      <c r="F83" s="24" t="n">
        <v>44563</v>
      </c>
      <c r="G83" s="24" t="n">
        <v>60944</v>
      </c>
      <c r="H83" s="24">
        <f>G83-F83</f>
        <v/>
      </c>
      <c r="I83" s="8">
        <f>IF(F83=0,0,G83/F83-1)</f>
        <v/>
      </c>
    </row>
    <row r="84">
      <c r="A84" s="6" t="inlineStr">
        <is>
          <t>1000.2200.1000.51020.030</t>
        </is>
      </c>
      <c r="B84" s="6" t="inlineStr">
        <is>
          <t>Ed Tech Salaries</t>
        </is>
      </c>
      <c r="C84" s="24" t="n">
        <v>21644.17</v>
      </c>
      <c r="D84" s="24" t="n">
        <v>25733.72</v>
      </c>
      <c r="E84" s="24" t="n">
        <v>24195.47</v>
      </c>
      <c r="F84" s="24" t="n">
        <v>23820</v>
      </c>
      <c r="G84" s="24" t="n">
        <v>0</v>
      </c>
      <c r="H84" s="24">
        <f>G84-F84</f>
        <v/>
      </c>
      <c r="I84" s="8">
        <f>IF(F84=0,0,G84/F84-1)</f>
        <v/>
      </c>
    </row>
    <row r="85">
      <c r="A85" s="6" t="inlineStr">
        <is>
          <t>1000.2200.1000.51210.030</t>
        </is>
      </c>
      <c r="B85" s="6" t="inlineStr">
        <is>
          <t>Tutor Wages</t>
        </is>
      </c>
      <c r="C85" s="24" t="n">
        <v>0</v>
      </c>
      <c r="D85" s="24" t="n">
        <v>2381.85</v>
      </c>
      <c r="E85" s="24" t="n">
        <v>0</v>
      </c>
      <c r="F85" s="24" t="n">
        <v>0</v>
      </c>
      <c r="G85" s="24" t="n">
        <v>0</v>
      </c>
      <c r="H85" s="24">
        <f>G85-F85</f>
        <v/>
      </c>
      <c r="I85" s="8">
        <f>IF(F85=0,0,G85/F85-1)</f>
        <v/>
      </c>
    </row>
    <row r="86">
      <c r="A86" s="6" t="inlineStr">
        <is>
          <t>1000.2200.1000.52010.030</t>
        </is>
      </c>
      <c r="B86" s="6" t="inlineStr">
        <is>
          <t>Teacher Benefits</t>
        </is>
      </c>
      <c r="C86" s="24" t="n">
        <v>28672.35</v>
      </c>
      <c r="D86" s="24" t="n">
        <v>4683.27</v>
      </c>
      <c r="E86" s="24" t="n">
        <v>7693.61</v>
      </c>
      <c r="F86" s="24" t="n">
        <v>9431</v>
      </c>
      <c r="G86" s="24" t="n">
        <v>14165</v>
      </c>
      <c r="H86" s="24">
        <f>G86-F86</f>
        <v/>
      </c>
      <c r="I86" s="8">
        <f>IF(F86=0,0,G86/F86-1)</f>
        <v/>
      </c>
    </row>
    <row r="87">
      <c r="A87" s="6" t="inlineStr">
        <is>
          <t>1000.2200.1000.52020.030</t>
        </is>
      </c>
      <c r="B87" s="6" t="inlineStr">
        <is>
          <t>Ed Tech Benefits</t>
        </is>
      </c>
      <c r="C87" s="24" t="n">
        <v>634.97</v>
      </c>
      <c r="D87" s="24" t="n">
        <v>45.38</v>
      </c>
      <c r="E87" s="24" t="n">
        <v>7956.55</v>
      </c>
      <c r="F87" s="24" t="n">
        <v>4960</v>
      </c>
      <c r="G87" s="24" t="n">
        <v>0</v>
      </c>
      <c r="H87" s="24">
        <f>G87-F87</f>
        <v/>
      </c>
      <c r="I87" s="8">
        <f>IF(F87=0,0,G87/F87-1)</f>
        <v/>
      </c>
    </row>
    <row r="88">
      <c r="A88" s="6" t="inlineStr">
        <is>
          <t>1000.2200.1000.52310.030</t>
        </is>
      </c>
      <c r="B88" s="6" t="inlineStr">
        <is>
          <t>Retirement</t>
        </is>
      </c>
      <c r="C88" s="24" t="n">
        <v>3849.24</v>
      </c>
      <c r="D88" s="24" t="n">
        <v>784.7</v>
      </c>
      <c r="E88" s="24" t="n">
        <v>1425.35</v>
      </c>
      <c r="F88" s="24" t="n">
        <v>2005</v>
      </c>
      <c r="G88" s="24" t="n">
        <v>2870</v>
      </c>
      <c r="H88" s="24">
        <f>G88-F88</f>
        <v/>
      </c>
      <c r="I88" s="8">
        <f>IF(F88=0,0,G88/F88-1)</f>
        <v/>
      </c>
    </row>
    <row r="89">
      <c r="A89" s="6" t="inlineStr">
        <is>
          <t>1000.2200.1000.52320.030</t>
        </is>
      </c>
      <c r="B89" s="6" t="inlineStr">
        <is>
          <t>Retirement</t>
        </is>
      </c>
      <c r="C89" s="24" t="n">
        <v>937.64</v>
      </c>
      <c r="D89" s="24" t="n">
        <v>290.49</v>
      </c>
      <c r="E89" s="24" t="n">
        <v>986.71</v>
      </c>
      <c r="F89" s="24" t="n">
        <v>991</v>
      </c>
      <c r="G89" s="24" t="n">
        <v>0</v>
      </c>
      <c r="H89" s="24">
        <f>G89-F89</f>
        <v/>
      </c>
      <c r="I89" s="8">
        <f>IF(F89=0,0,G89/F89-1)</f>
        <v/>
      </c>
    </row>
    <row r="90">
      <c r="A90" s="14" t="n"/>
      <c r="B90" s="28" t="inlineStr">
        <is>
          <t>Program 2200 Total</t>
        </is>
      </c>
      <c r="C90" s="29">
        <f>SUM(C83:C89)</f>
        <v/>
      </c>
      <c r="D90" s="29">
        <f>SUM(D83:D89)</f>
        <v/>
      </c>
      <c r="E90" s="29">
        <f>SUM(E83:E89)</f>
        <v/>
      </c>
      <c r="F90" s="29">
        <f>SUM(F83:F89)</f>
        <v/>
      </c>
      <c r="G90" s="29">
        <f>SUM(G83:G89)</f>
        <v/>
      </c>
      <c r="H90" s="29">
        <f>SUM(H83:H89)</f>
        <v/>
      </c>
      <c r="I90" s="29">
        <f>SUM(I83:I89)</f>
        <v/>
      </c>
    </row>
    <row r="91">
      <c r="A91" s="6" t="inlineStr">
        <is>
          <t>1000.2300.1000.51020.030</t>
        </is>
      </c>
      <c r="B91" s="6" t="inlineStr">
        <is>
          <t>Ed Tech Salaries</t>
        </is>
      </c>
      <c r="C91" s="24" t="n">
        <v>23995.25</v>
      </c>
      <c r="D91" s="24" t="n">
        <v>523.63</v>
      </c>
      <c r="E91" s="24" t="n">
        <v>0</v>
      </c>
      <c r="F91" s="24" t="n">
        <v>0</v>
      </c>
      <c r="G91" s="24" t="n">
        <v>0</v>
      </c>
      <c r="H91" s="24">
        <f>G91-F91</f>
        <v/>
      </c>
      <c r="I91" s="8">
        <f>IF(F91=0,0,G91/F91-1)</f>
        <v/>
      </c>
    </row>
    <row r="92">
      <c r="A92" s="6" t="inlineStr">
        <is>
          <t>1000.2300.1000.52020.030</t>
        </is>
      </c>
      <c r="B92" s="6" t="inlineStr">
        <is>
          <t>Ed Tech Benefits</t>
        </is>
      </c>
      <c r="C92" s="24" t="n">
        <v>9066.459999999999</v>
      </c>
      <c r="D92" s="24" t="n">
        <v>4.57</v>
      </c>
      <c r="E92" s="24" t="n">
        <v>0</v>
      </c>
      <c r="F92" s="24" t="n">
        <v>0</v>
      </c>
      <c r="G92" s="24" t="n">
        <v>0</v>
      </c>
      <c r="H92" s="24">
        <f>G92-F92</f>
        <v/>
      </c>
      <c r="I92" s="8">
        <f>IF(F92=0,0,G92/F92-1)</f>
        <v/>
      </c>
    </row>
    <row r="93">
      <c r="A93" s="6" t="inlineStr">
        <is>
          <t>1000.2300.1000.52320.030</t>
        </is>
      </c>
      <c r="B93" s="6" t="inlineStr">
        <is>
          <t>Retirement</t>
        </is>
      </c>
      <c r="C93" s="24" t="n">
        <v>998.23</v>
      </c>
      <c r="D93" s="24" t="n">
        <v>7.19</v>
      </c>
      <c r="E93" s="24" t="n">
        <v>0</v>
      </c>
      <c r="F93" s="24" t="n">
        <v>0</v>
      </c>
      <c r="G93" s="24" t="n">
        <v>0</v>
      </c>
      <c r="H93" s="24">
        <f>G93-F93</f>
        <v/>
      </c>
      <c r="I93" s="8">
        <f>IF(F93=0,0,G93/F93-1)</f>
        <v/>
      </c>
    </row>
    <row r="94">
      <c r="A94" s="14" t="n"/>
      <c r="B94" s="28" t="inlineStr">
        <is>
          <t>Program 2300 Total</t>
        </is>
      </c>
      <c r="C94" s="29">
        <f>SUM(C91:C93)</f>
        <v/>
      </c>
      <c r="D94" s="29">
        <f>SUM(D91:D93)</f>
        <v/>
      </c>
      <c r="E94" s="29">
        <f>SUM(E91:E93)</f>
        <v/>
      </c>
      <c r="F94" s="29">
        <f>SUM(F91:F93)</f>
        <v/>
      </c>
      <c r="G94" s="29">
        <f>SUM(G91:G93)</f>
        <v/>
      </c>
      <c r="H94" s="29">
        <f>SUM(H91:H93)</f>
        <v/>
      </c>
      <c r="I94" s="29">
        <f>SUM(I91:I93)</f>
        <v/>
      </c>
    </row>
    <row r="95">
      <c r="A95" s="14" t="n"/>
      <c r="B95" s="30" t="inlineStr">
        <is>
          <t>Function 1000 Total</t>
        </is>
      </c>
      <c r="C95" s="31">
        <f>C90+C94</f>
        <v/>
      </c>
      <c r="D95" s="31">
        <f>D90+D94</f>
        <v/>
      </c>
      <c r="E95" s="31">
        <f>E90+E94</f>
        <v/>
      </c>
      <c r="F95" s="31">
        <f>F90+F94</f>
        <v/>
      </c>
      <c r="G95" s="31">
        <f>G90+G94</f>
        <v/>
      </c>
      <c r="H95" s="31">
        <f>H90+H94</f>
        <v/>
      </c>
      <c r="I95" s="31">
        <f>I90+I94</f>
        <v/>
      </c>
    </row>
    <row r="96">
      <c r="A96" s="6" t="inlineStr">
        <is>
          <t>1000.2800.2110.51010.030</t>
        </is>
      </c>
      <c r="B96" s="6" t="inlineStr">
        <is>
          <t>Social Worker Salary</t>
        </is>
      </c>
      <c r="C96" s="24" t="n">
        <v>30603.82</v>
      </c>
      <c r="D96" s="24" t="n">
        <v>25867.75</v>
      </c>
      <c r="E96" s="24" t="n">
        <v>32029.23</v>
      </c>
      <c r="F96" s="24" t="n">
        <v>32613</v>
      </c>
      <c r="G96" s="24" t="n">
        <v>35594</v>
      </c>
      <c r="H96" s="24">
        <f>G96-F96</f>
        <v/>
      </c>
      <c r="I96" s="8">
        <f>IF(F96=0,0,G96/F96-1)</f>
        <v/>
      </c>
    </row>
    <row r="97">
      <c r="A97" s="6" t="inlineStr">
        <is>
          <t>1000.2800.2110.52010.030</t>
        </is>
      </c>
      <c r="B97" s="6" t="inlineStr">
        <is>
          <t>Social Worker Benefits</t>
        </is>
      </c>
      <c r="C97" s="24" t="n">
        <v>859.83</v>
      </c>
      <c r="D97" s="24" t="n">
        <v>82.68000000000001</v>
      </c>
      <c r="E97" s="24" t="n">
        <v>536.08</v>
      </c>
      <c r="F97" s="24" t="n">
        <v>2133</v>
      </c>
      <c r="G97" s="24" t="n">
        <v>6970</v>
      </c>
      <c r="H97" s="24">
        <f>G97-F97</f>
        <v/>
      </c>
      <c r="I97" s="8">
        <f>IF(F97=0,0,G97/F97-1)</f>
        <v/>
      </c>
    </row>
    <row r="98">
      <c r="A98" s="6" t="inlineStr">
        <is>
          <t>1000.2800.2110.52310.030</t>
        </is>
      </c>
      <c r="B98" s="6" t="inlineStr">
        <is>
          <t>Retirement</t>
        </is>
      </c>
      <c r="C98" s="24" t="n">
        <v>1197.3</v>
      </c>
      <c r="D98" s="24" t="n">
        <v>276.29</v>
      </c>
      <c r="E98" s="24" t="n">
        <v>1230.02</v>
      </c>
      <c r="F98" s="24" t="n">
        <v>1356</v>
      </c>
      <c r="G98" s="24" t="n">
        <v>1591</v>
      </c>
      <c r="H98" s="24">
        <f>G98-F98</f>
        <v/>
      </c>
      <c r="I98" s="8">
        <f>IF(F98=0,0,G98/F98-1)</f>
        <v/>
      </c>
    </row>
    <row r="99">
      <c r="A99" s="14" t="n"/>
      <c r="B99" s="28" t="inlineStr">
        <is>
          <t>Program 2800 Total</t>
        </is>
      </c>
      <c r="C99" s="29">
        <f>SUM(C96:C98)</f>
        <v/>
      </c>
      <c r="D99" s="29">
        <f>SUM(D96:D98)</f>
        <v/>
      </c>
      <c r="E99" s="29">
        <f>SUM(E96:E98)</f>
        <v/>
      </c>
      <c r="F99" s="29">
        <f>SUM(F96:F98)</f>
        <v/>
      </c>
      <c r="G99" s="29">
        <f>SUM(G96:G98)</f>
        <v/>
      </c>
      <c r="H99" s="29">
        <f>SUM(H96:H98)</f>
        <v/>
      </c>
      <c r="I99" s="29">
        <f>SUM(I96:I98)</f>
        <v/>
      </c>
    </row>
    <row r="100">
      <c r="A100" s="6" t="inlineStr">
        <is>
          <t>1000.2800.2140.51010.030</t>
        </is>
      </c>
      <c r="B100" s="6" t="inlineStr">
        <is>
          <t>Psychological Services Salary</t>
        </is>
      </c>
      <c r="C100" s="24" t="n">
        <v>58387.57</v>
      </c>
      <c r="D100" s="24" t="n">
        <v>32555.14</v>
      </c>
      <c r="E100" s="24" t="n">
        <v>0</v>
      </c>
      <c r="F100" s="24" t="n">
        <v>0</v>
      </c>
      <c r="G100" s="24" t="n">
        <v>0</v>
      </c>
      <c r="H100" s="24">
        <f>G100-F100</f>
        <v/>
      </c>
      <c r="I100" s="8">
        <f>IF(F100=0,0,G100/F100-1)</f>
        <v/>
      </c>
    </row>
    <row r="101">
      <c r="A101" s="6" t="inlineStr">
        <is>
          <t>1000.2800.2140.52010.030</t>
        </is>
      </c>
      <c r="B101" s="6" t="inlineStr">
        <is>
          <t>Psych Services Benefit</t>
        </is>
      </c>
      <c r="C101" s="24" t="n">
        <v>7759.3</v>
      </c>
      <c r="D101" s="24" t="n">
        <v>1278.21</v>
      </c>
      <c r="E101" s="24" t="n">
        <v>0</v>
      </c>
      <c r="F101" s="24" t="n">
        <v>0</v>
      </c>
      <c r="G101" s="24" t="n">
        <v>0</v>
      </c>
      <c r="H101" s="24">
        <f>G101-F101</f>
        <v/>
      </c>
      <c r="I101" s="8">
        <f>IF(F101=0,0,G101/F101-1)</f>
        <v/>
      </c>
    </row>
    <row r="102">
      <c r="A102" s="6" t="inlineStr">
        <is>
          <t>1000.2800.2140.52310.030</t>
        </is>
      </c>
      <c r="B102" s="6" t="inlineStr">
        <is>
          <t>Retirement</t>
        </is>
      </c>
      <c r="C102" s="24" t="n">
        <v>2476.13</v>
      </c>
      <c r="D102" s="24" t="n">
        <v>294.3</v>
      </c>
      <c r="E102" s="24" t="n">
        <v>0</v>
      </c>
      <c r="F102" s="24" t="n">
        <v>0</v>
      </c>
      <c r="G102" s="24" t="n">
        <v>0</v>
      </c>
      <c r="H102" s="24">
        <f>G102-F102</f>
        <v/>
      </c>
      <c r="I102" s="8">
        <f>IF(F102=0,0,G102/F102-1)</f>
        <v/>
      </c>
    </row>
    <row r="103">
      <c r="A103" s="6" t="inlineStr">
        <is>
          <t>1000.2800.2140.55800.030</t>
        </is>
      </c>
      <c r="B103" s="6" t="inlineStr">
        <is>
          <t>Travel</t>
        </is>
      </c>
      <c r="C103" s="24" t="n">
        <v>0</v>
      </c>
      <c r="D103" s="24" t="n">
        <v>0</v>
      </c>
      <c r="E103" s="24" t="n">
        <v>0</v>
      </c>
      <c r="F103" s="24" t="n">
        <v>125</v>
      </c>
      <c r="G103" s="24" t="n">
        <v>0</v>
      </c>
      <c r="H103" s="24">
        <f>G103-F103</f>
        <v/>
      </c>
      <c r="I103" s="8">
        <f>IF(F103=0,0,G103/F103-1)</f>
        <v/>
      </c>
    </row>
    <row r="104">
      <c r="A104" s="14" t="n"/>
      <c r="B104" s="28" t="inlineStr">
        <is>
          <t>Program 2800 Total</t>
        </is>
      </c>
      <c r="C104" s="29">
        <f>SUM(C100:C103)</f>
        <v/>
      </c>
      <c r="D104" s="29">
        <f>SUM(D100:D103)</f>
        <v/>
      </c>
      <c r="E104" s="29">
        <f>SUM(E100:E103)</f>
        <v/>
      </c>
      <c r="F104" s="29">
        <f>SUM(F100:F103)</f>
        <v/>
      </c>
      <c r="G104" s="29">
        <f>SUM(G100:G103)</f>
        <v/>
      </c>
      <c r="H104" s="29">
        <f>SUM(H100:H103)</f>
        <v/>
      </c>
      <c r="I104" s="29">
        <f>SUM(I100:I103)</f>
        <v/>
      </c>
    </row>
    <row r="105">
      <c r="A105" s="6" t="inlineStr">
        <is>
          <t>1000.2800.2150.51010.030</t>
        </is>
      </c>
      <c r="B105" s="6" t="inlineStr">
        <is>
          <t>Speech &amp; Audiology Salaries</t>
        </is>
      </c>
      <c r="C105" s="24" t="n">
        <v>32653.6</v>
      </c>
      <c r="D105" s="24" t="n">
        <v>30067.88</v>
      </c>
      <c r="E105" s="24" t="n">
        <v>29596.36</v>
      </c>
      <c r="F105" s="24" t="n">
        <v>33377</v>
      </c>
      <c r="G105" s="24" t="n">
        <v>40510</v>
      </c>
      <c r="H105" s="24">
        <f>G105-F105</f>
        <v/>
      </c>
      <c r="I105" s="8">
        <f>IF(F105=0,0,G105/F105-1)</f>
        <v/>
      </c>
    </row>
    <row r="106">
      <c r="A106" s="6" t="inlineStr">
        <is>
          <t>1000.2800.2150.52010.030</t>
        </is>
      </c>
      <c r="B106" s="6" t="inlineStr">
        <is>
          <t>Speech &amp; Audiology Benefits</t>
        </is>
      </c>
      <c r="C106" s="24" t="n">
        <v>6587.03</v>
      </c>
      <c r="D106" s="24" t="n">
        <v>1925.04</v>
      </c>
      <c r="E106" s="24" t="n">
        <v>8574.09</v>
      </c>
      <c r="F106" s="24" t="n">
        <v>9631</v>
      </c>
      <c r="G106" s="24" t="n">
        <v>10521</v>
      </c>
      <c r="H106" s="24">
        <f>G106-F106</f>
        <v/>
      </c>
      <c r="I106" s="8">
        <f>IF(F106=0,0,G106/F106-1)</f>
        <v/>
      </c>
    </row>
    <row r="107">
      <c r="A107" s="6" t="inlineStr">
        <is>
          <t>1000.2800.2150.52310.030</t>
        </is>
      </c>
      <c r="B107" s="6" t="inlineStr">
        <is>
          <t>Retirement</t>
        </is>
      </c>
      <c r="C107" s="24" t="n">
        <v>1358.44</v>
      </c>
      <c r="D107" s="24" t="n">
        <v>270.96</v>
      </c>
      <c r="E107" s="24" t="n">
        <v>1136.46</v>
      </c>
      <c r="F107" s="24" t="n">
        <v>1289</v>
      </c>
      <c r="G107" s="24" t="n">
        <v>1811</v>
      </c>
      <c r="H107" s="24">
        <f>G107-F107</f>
        <v/>
      </c>
      <c r="I107" s="8">
        <f>IF(F107=0,0,G107/F107-1)</f>
        <v/>
      </c>
    </row>
    <row r="108">
      <c r="A108" s="6" t="inlineStr">
        <is>
          <t>1000.2800.2150.55800.030</t>
        </is>
      </c>
      <c r="B108" s="6" t="inlineStr">
        <is>
          <t>Travel</t>
        </is>
      </c>
      <c r="C108" s="24" t="n">
        <v>0</v>
      </c>
      <c r="D108" s="24" t="n">
        <v>0</v>
      </c>
      <c r="E108" s="24" t="n">
        <v>0</v>
      </c>
      <c r="F108" s="24" t="n">
        <v>125</v>
      </c>
      <c r="G108" s="24" t="n">
        <v>0</v>
      </c>
      <c r="H108" s="24">
        <f>G108-F108</f>
        <v/>
      </c>
      <c r="I108" s="8">
        <f>IF(F108=0,0,G108/F108-1)</f>
        <v/>
      </c>
    </row>
    <row r="109">
      <c r="A109" s="14" t="n"/>
      <c r="B109" s="28" t="inlineStr">
        <is>
          <t>Program 2800 Total</t>
        </is>
      </c>
      <c r="C109" s="29">
        <f>SUM(C105:C108)</f>
        <v/>
      </c>
      <c r="D109" s="29">
        <f>SUM(D105:D108)</f>
        <v/>
      </c>
      <c r="E109" s="29">
        <f>SUM(E105:E108)</f>
        <v/>
      </c>
      <c r="F109" s="29">
        <f>SUM(F105:F108)</f>
        <v/>
      </c>
      <c r="G109" s="29">
        <f>SUM(G105:G108)</f>
        <v/>
      </c>
      <c r="H109" s="29">
        <f>SUM(H105:H108)</f>
        <v/>
      </c>
      <c r="I109" s="29">
        <f>SUM(I105:I108)</f>
        <v/>
      </c>
    </row>
    <row r="110">
      <c r="A110" s="6" t="inlineStr">
        <is>
          <t>1000.2800.2160.51010.030</t>
        </is>
      </c>
      <c r="B110" s="6" t="inlineStr">
        <is>
          <t>OT Salary</t>
        </is>
      </c>
      <c r="C110" s="24" t="n">
        <v>0</v>
      </c>
      <c r="D110" s="24" t="n">
        <v>12422.65</v>
      </c>
      <c r="E110" s="24" t="n">
        <v>14416.11</v>
      </c>
      <c r="F110" s="24" t="n">
        <v>17306</v>
      </c>
      <c r="G110" s="24" t="n">
        <v>19760</v>
      </c>
      <c r="H110" s="24">
        <f>G110-F110</f>
        <v/>
      </c>
      <c r="I110" s="8">
        <f>IF(F110=0,0,G110/F110-1)</f>
        <v/>
      </c>
    </row>
    <row r="111">
      <c r="A111" s="6" t="inlineStr">
        <is>
          <t>1000.2800.2160.52010.030</t>
        </is>
      </c>
      <c r="B111" s="6" t="inlineStr">
        <is>
          <t>OT Benefits</t>
        </is>
      </c>
      <c r="C111" s="24" t="n">
        <v>0</v>
      </c>
      <c r="D111" s="24" t="n">
        <v>470.14</v>
      </c>
      <c r="E111" s="24" t="n">
        <v>3040.72</v>
      </c>
      <c r="F111" s="24" t="n">
        <v>4204</v>
      </c>
      <c r="G111" s="24" t="n">
        <v>5293</v>
      </c>
      <c r="H111" s="24">
        <f>G111-F111</f>
        <v/>
      </c>
      <c r="I111" s="8">
        <f>IF(F111=0,0,G111/F111-1)</f>
        <v/>
      </c>
    </row>
    <row r="112">
      <c r="A112" s="6" t="inlineStr">
        <is>
          <t>1000.2800.2160.52310.030</t>
        </is>
      </c>
      <c r="B112" s="6" t="inlineStr">
        <is>
          <t>Retirement</t>
        </is>
      </c>
      <c r="C112" s="24" t="n">
        <v>0</v>
      </c>
      <c r="D112" s="24" t="n">
        <v>0</v>
      </c>
      <c r="E112" s="24" t="n">
        <v>553.63</v>
      </c>
      <c r="F112" s="24" t="n">
        <v>871</v>
      </c>
      <c r="G112" s="24" t="n">
        <v>883</v>
      </c>
      <c r="H112" s="24">
        <f>G112-F112</f>
        <v/>
      </c>
      <c r="I112" s="8">
        <f>IF(F112=0,0,G112/F112-1)</f>
        <v/>
      </c>
    </row>
    <row r="113">
      <c r="A113" s="6" t="inlineStr">
        <is>
          <t>1000.2800.2160.55800.030</t>
        </is>
      </c>
      <c r="B113" s="6" t="inlineStr">
        <is>
          <t>Travel</t>
        </is>
      </c>
      <c r="C113" s="24" t="n">
        <v>0</v>
      </c>
      <c r="D113" s="24" t="n">
        <v>0</v>
      </c>
      <c r="E113" s="24" t="n">
        <v>0</v>
      </c>
      <c r="F113" s="24" t="n">
        <v>125</v>
      </c>
      <c r="G113" s="24" t="n">
        <v>0</v>
      </c>
      <c r="H113" s="24">
        <f>G113-F113</f>
        <v/>
      </c>
      <c r="I113" s="8">
        <f>IF(F113=0,0,G113/F113-1)</f>
        <v/>
      </c>
    </row>
    <row r="114">
      <c r="A114" s="14" t="n"/>
      <c r="B114" s="28" t="inlineStr">
        <is>
          <t>Program 2800 Total</t>
        </is>
      </c>
      <c r="C114" s="29">
        <f>SUM(C110:C113)</f>
        <v/>
      </c>
      <c r="D114" s="29">
        <f>SUM(D110:D113)</f>
        <v/>
      </c>
      <c r="E114" s="29">
        <f>SUM(E110:E113)</f>
        <v/>
      </c>
      <c r="F114" s="29">
        <f>SUM(F110:F113)</f>
        <v/>
      </c>
      <c r="G114" s="29">
        <f>SUM(G110:G113)</f>
        <v/>
      </c>
      <c r="H114" s="29">
        <f>SUM(H110:H113)</f>
        <v/>
      </c>
      <c r="I114" s="29">
        <f>SUM(I110:I113)</f>
        <v/>
      </c>
    </row>
    <row r="115">
      <c r="A115" s="14" t="n"/>
      <c r="B115" s="17" t="inlineStr">
        <is>
          <t>Cost Center ('030',) Total</t>
        </is>
      </c>
      <c r="C115" s="32">
        <f>C95+C99+C104+C109+C114</f>
        <v/>
      </c>
      <c r="D115" s="32">
        <f>D95+D99+D104+D109+D114</f>
        <v/>
      </c>
      <c r="E115" s="32">
        <f>E95+E99+E104+E109+E114</f>
        <v/>
      </c>
      <c r="F115" s="32">
        <f>F95+F99+F104+F109+F114</f>
        <v/>
      </c>
      <c r="G115" s="32">
        <f>G95+G99+G104+G109+G114</f>
        <v/>
      </c>
      <c r="H115" s="32">
        <f>H95+H99+H104+H109+H114</f>
        <v/>
      </c>
      <c r="I115" s="32">
        <f>I95+I99+I104+I109+I114</f>
        <v/>
      </c>
    </row>
    <row r="117">
      <c r="A117" s="3" t="inlineStr">
        <is>
          <t>Cost Center: ('040',)</t>
        </is>
      </c>
    </row>
    <row r="118">
      <c r="A118" s="6" t="inlineStr">
        <is>
          <t>1000.2200.1000.51010.040</t>
        </is>
      </c>
      <c r="B118" s="6" t="inlineStr">
        <is>
          <t>Teacher Salaries</t>
        </is>
      </c>
      <c r="C118" s="24" t="n">
        <v>142126.2</v>
      </c>
      <c r="D118" s="24" t="n">
        <v>147450.44</v>
      </c>
      <c r="E118" s="24" t="n">
        <v>81607.87</v>
      </c>
      <c r="F118" s="24" t="n">
        <v>81983</v>
      </c>
      <c r="G118" s="24" t="n">
        <v>150533</v>
      </c>
      <c r="H118" s="24">
        <f>G118-F118</f>
        <v/>
      </c>
      <c r="I118" s="8">
        <f>IF(F118=0,0,G118/F118-1)</f>
        <v/>
      </c>
    </row>
    <row r="119">
      <c r="A119" s="6" t="inlineStr">
        <is>
          <t>1000.2200.1000.51020.040</t>
        </is>
      </c>
      <c r="B119" s="6" t="inlineStr">
        <is>
          <t>Ed Tech Salaries</t>
        </is>
      </c>
      <c r="C119" s="24" t="n">
        <v>1415.13</v>
      </c>
      <c r="D119" s="24" t="n">
        <v>25165.73</v>
      </c>
      <c r="E119" s="24" t="n">
        <v>83804.99000000001</v>
      </c>
      <c r="F119" s="24" t="n">
        <v>0</v>
      </c>
      <c r="G119" s="24" t="n">
        <v>46253</v>
      </c>
      <c r="H119" s="24">
        <f>G119-F119</f>
        <v/>
      </c>
      <c r="I119" s="8">
        <f>IF(F119=0,0,G119/F119-1)</f>
        <v/>
      </c>
    </row>
    <row r="120">
      <c r="A120" s="6" t="inlineStr">
        <is>
          <t>1000.2200.1000.52010.040</t>
        </is>
      </c>
      <c r="B120" s="6" t="inlineStr">
        <is>
          <t>Teacher Benefits</t>
        </is>
      </c>
      <c r="C120" s="24" t="n">
        <v>42787.67</v>
      </c>
      <c r="D120" s="24" t="n">
        <v>9258.66</v>
      </c>
      <c r="E120" s="24" t="n">
        <v>22340.89</v>
      </c>
      <c r="F120" s="24" t="n">
        <v>22116</v>
      </c>
      <c r="G120" s="24" t="n">
        <v>28527</v>
      </c>
      <c r="H120" s="24">
        <f>G120-F120</f>
        <v/>
      </c>
      <c r="I120" s="8">
        <f>IF(F120=0,0,G120/F120-1)</f>
        <v/>
      </c>
    </row>
    <row r="121">
      <c r="A121" s="6" t="inlineStr">
        <is>
          <t>1000.2200.1000.52020.040</t>
        </is>
      </c>
      <c r="B121" s="6" t="inlineStr">
        <is>
          <t>Ed Tech Benefits</t>
        </is>
      </c>
      <c r="C121" s="24" t="n">
        <v>676.38</v>
      </c>
      <c r="D121" s="24" t="n">
        <v>0</v>
      </c>
      <c r="E121" s="24" t="n">
        <v>32632.57</v>
      </c>
      <c r="F121" s="24" t="n">
        <v>0</v>
      </c>
      <c r="G121" s="24" t="n">
        <v>8155</v>
      </c>
      <c r="H121" s="24">
        <f>G121-F121</f>
        <v/>
      </c>
      <c r="I121" s="8">
        <f>IF(F121=0,0,G121/F121-1)</f>
        <v/>
      </c>
    </row>
    <row r="122">
      <c r="A122" s="6" t="inlineStr">
        <is>
          <t>1000.2200.1000.52310.040</t>
        </is>
      </c>
      <c r="B122" s="6" t="inlineStr">
        <is>
          <t>Retirement</t>
        </is>
      </c>
      <c r="C122" s="24" t="n">
        <v>5959.96</v>
      </c>
      <c r="D122" s="24" t="n">
        <v>1374.54</v>
      </c>
      <c r="E122" s="24" t="n">
        <v>3344.56</v>
      </c>
      <c r="F122" s="24" t="n">
        <v>3410</v>
      </c>
      <c r="G122" s="24" t="n">
        <v>6729</v>
      </c>
      <c r="H122" s="24">
        <f>G122-F122</f>
        <v/>
      </c>
      <c r="I122" s="8">
        <f>IF(F122=0,0,G122/F122-1)</f>
        <v/>
      </c>
    </row>
    <row r="123">
      <c r="A123" s="6" t="inlineStr">
        <is>
          <t>1000.2200.1000.52320.040</t>
        </is>
      </c>
      <c r="B123" s="6" t="inlineStr">
        <is>
          <t>Retirement</t>
        </is>
      </c>
      <c r="C123" s="24" t="n">
        <v>0</v>
      </c>
      <c r="D123" s="24" t="n">
        <v>0</v>
      </c>
      <c r="E123" s="24" t="n">
        <v>3044.02</v>
      </c>
      <c r="F123" s="24" t="n">
        <v>0</v>
      </c>
      <c r="G123" s="24" t="n">
        <v>2212</v>
      </c>
      <c r="H123" s="24">
        <f>G123-F123</f>
        <v/>
      </c>
      <c r="I123" s="8">
        <f>IF(F123=0,0,G123/F123-1)</f>
        <v/>
      </c>
    </row>
    <row r="124">
      <c r="A124" s="14" t="n"/>
      <c r="B124" s="28" t="inlineStr">
        <is>
          <t>Program 2200 Total</t>
        </is>
      </c>
      <c r="C124" s="29">
        <f>SUM(C118:C123)</f>
        <v/>
      </c>
      <c r="D124" s="29">
        <f>SUM(D118:D123)</f>
        <v/>
      </c>
      <c r="E124" s="29">
        <f>SUM(E118:E123)</f>
        <v/>
      </c>
      <c r="F124" s="29">
        <f>SUM(F118:F123)</f>
        <v/>
      </c>
      <c r="G124" s="29">
        <f>SUM(G118:G123)</f>
        <v/>
      </c>
      <c r="H124" s="29">
        <f>SUM(H118:H123)</f>
        <v/>
      </c>
      <c r="I124" s="29">
        <f>SUM(I118:I123)</f>
        <v/>
      </c>
    </row>
    <row r="125">
      <c r="A125" s="6" t="inlineStr">
        <is>
          <t>1000.2300.1000.51010.040</t>
        </is>
      </c>
      <c r="B125" s="6" t="inlineStr">
        <is>
          <t>Teacher Salaries</t>
        </is>
      </c>
      <c r="C125" s="24" t="n">
        <v>0</v>
      </c>
      <c r="D125" s="24" t="n">
        <v>0</v>
      </c>
      <c r="E125" s="24" t="n">
        <v>119743.55</v>
      </c>
      <c r="F125" s="24" t="n">
        <v>122293</v>
      </c>
      <c r="G125" s="24" t="n">
        <v>67014</v>
      </c>
      <c r="H125" s="24">
        <f>G125-F125</f>
        <v/>
      </c>
      <c r="I125" s="8">
        <f>IF(F125=0,0,G125/F125-1)</f>
        <v/>
      </c>
    </row>
    <row r="126">
      <c r="A126" s="6" t="inlineStr">
        <is>
          <t>1000.2300.1000.51020.040</t>
        </is>
      </c>
      <c r="B126" s="6" t="inlineStr">
        <is>
          <t>Ed Tech Salaries</t>
        </is>
      </c>
      <c r="C126" s="24" t="n">
        <v>0</v>
      </c>
      <c r="D126" s="24" t="n">
        <v>0</v>
      </c>
      <c r="E126" s="24" t="n">
        <v>49056.05</v>
      </c>
      <c r="F126" s="24" t="n">
        <v>140033</v>
      </c>
      <c r="G126" s="24" t="n">
        <v>51660</v>
      </c>
      <c r="H126" s="24">
        <f>G126-F126</f>
        <v/>
      </c>
      <c r="I126" s="8">
        <f>IF(F126=0,0,G126/F126-1)</f>
        <v/>
      </c>
    </row>
    <row r="127">
      <c r="A127" s="6" t="inlineStr">
        <is>
          <t>1000.2300.1000.52010.040</t>
        </is>
      </c>
      <c r="B127" s="6" t="inlineStr">
        <is>
          <t>Teacher Benefits</t>
        </is>
      </c>
      <c r="C127" s="24" t="n">
        <v>0</v>
      </c>
      <c r="D127" s="24" t="n">
        <v>0</v>
      </c>
      <c r="E127" s="24" t="n">
        <v>10875.05</v>
      </c>
      <c r="F127" s="24" t="n">
        <v>15132</v>
      </c>
      <c r="G127" s="24" t="n">
        <v>10994</v>
      </c>
      <c r="H127" s="24">
        <f>G127-F127</f>
        <v/>
      </c>
      <c r="I127" s="8">
        <f>IF(F127=0,0,G127/F127-1)</f>
        <v/>
      </c>
    </row>
    <row r="128">
      <c r="A128" s="6" t="inlineStr">
        <is>
          <t>1000.2300.1000.52020.040</t>
        </is>
      </c>
      <c r="B128" s="6" t="inlineStr">
        <is>
          <t>Ed Tech Benefits</t>
        </is>
      </c>
      <c r="C128" s="24" t="n">
        <v>0</v>
      </c>
      <c r="D128" s="24" t="n">
        <v>0</v>
      </c>
      <c r="E128" s="24" t="n">
        <v>8805.75</v>
      </c>
      <c r="F128" s="24" t="n">
        <v>59873</v>
      </c>
      <c r="G128" s="24" t="n">
        <v>34229</v>
      </c>
      <c r="H128" s="24">
        <f>G128-F128</f>
        <v/>
      </c>
      <c r="I128" s="8">
        <f>IF(F128=0,0,G128/F128-1)</f>
        <v/>
      </c>
    </row>
    <row r="129">
      <c r="A129" s="6" t="inlineStr">
        <is>
          <t>1000.2300.1000.52310.040</t>
        </is>
      </c>
      <c r="B129" s="6" t="inlineStr">
        <is>
          <t>Retirement</t>
        </is>
      </c>
      <c r="C129" s="24" t="n">
        <v>0</v>
      </c>
      <c r="D129" s="24" t="n">
        <v>0</v>
      </c>
      <c r="E129" s="24" t="n">
        <v>4598.23</v>
      </c>
      <c r="F129" s="24" t="n">
        <v>5087</v>
      </c>
      <c r="G129" s="24" t="n">
        <v>2996</v>
      </c>
      <c r="H129" s="24">
        <f>G129-F129</f>
        <v/>
      </c>
      <c r="I129" s="8">
        <f>IF(F129=0,0,G129/F129-1)</f>
        <v/>
      </c>
    </row>
    <row r="130">
      <c r="A130" s="6" t="inlineStr">
        <is>
          <t>1000.2300.1000.52320.040</t>
        </is>
      </c>
      <c r="B130" s="6" t="inlineStr">
        <is>
          <t>Retirement</t>
        </is>
      </c>
      <c r="C130" s="24" t="n">
        <v>0</v>
      </c>
      <c r="D130" s="24" t="n">
        <v>0</v>
      </c>
      <c r="E130" s="24" t="n">
        <v>1973.64</v>
      </c>
      <c r="F130" s="24" t="n">
        <v>5825</v>
      </c>
      <c r="G130" s="24" t="n">
        <v>2471</v>
      </c>
      <c r="H130" s="24">
        <f>G130-F130</f>
        <v/>
      </c>
      <c r="I130" s="8">
        <f>IF(F130=0,0,G130/F130-1)</f>
        <v/>
      </c>
    </row>
    <row r="131">
      <c r="A131" s="14" t="n"/>
      <c r="B131" s="28" t="inlineStr">
        <is>
          <t>Program 2300 Total</t>
        </is>
      </c>
      <c r="C131" s="29">
        <f>SUM(C125:C130)</f>
        <v/>
      </c>
      <c r="D131" s="29">
        <f>SUM(D125:D130)</f>
        <v/>
      </c>
      <c r="E131" s="29">
        <f>SUM(E125:E130)</f>
        <v/>
      </c>
      <c r="F131" s="29">
        <f>SUM(F125:F130)</f>
        <v/>
      </c>
      <c r="G131" s="29">
        <f>SUM(G125:G130)</f>
        <v/>
      </c>
      <c r="H131" s="29">
        <f>SUM(H125:H130)</f>
        <v/>
      </c>
      <c r="I131" s="29">
        <f>SUM(I125:I130)</f>
        <v/>
      </c>
    </row>
    <row r="132">
      <c r="A132" s="14" t="n"/>
      <c r="B132" s="30" t="inlineStr">
        <is>
          <t>Function 1000 Total</t>
        </is>
      </c>
      <c r="C132" s="31">
        <f>C124+C131</f>
        <v/>
      </c>
      <c r="D132" s="31">
        <f>D124+D131</f>
        <v/>
      </c>
      <c r="E132" s="31">
        <f>E124+E131</f>
        <v/>
      </c>
      <c r="F132" s="31">
        <f>F124+F131</f>
        <v/>
      </c>
      <c r="G132" s="31">
        <f>G124+G131</f>
        <v/>
      </c>
      <c r="H132" s="31">
        <f>H124+H131</f>
        <v/>
      </c>
      <c r="I132" s="31">
        <f>I124+I131</f>
        <v/>
      </c>
    </row>
    <row r="133">
      <c r="A133" s="6" t="inlineStr">
        <is>
          <t>1000.2800.2110.51010.040</t>
        </is>
      </c>
      <c r="B133" s="6" t="inlineStr">
        <is>
          <t>Social Worker Salary</t>
        </is>
      </c>
      <c r="C133" s="24" t="n">
        <v>93918.03999999999</v>
      </c>
      <c r="D133" s="24" t="n">
        <v>62567.25</v>
      </c>
      <c r="E133" s="24" t="n">
        <v>35007.21</v>
      </c>
      <c r="F133" s="24" t="n">
        <v>36246</v>
      </c>
      <c r="G133" s="24" t="n">
        <v>38165</v>
      </c>
      <c r="H133" s="24">
        <f>G133-F133</f>
        <v/>
      </c>
      <c r="I133" s="8">
        <f>IF(F133=0,0,G133/F133-1)</f>
        <v/>
      </c>
    </row>
    <row r="134">
      <c r="A134" s="6" t="inlineStr">
        <is>
          <t>1000.2800.2110.52010.040</t>
        </is>
      </c>
      <c r="B134" s="6" t="inlineStr">
        <is>
          <t>Social Worker Benefits</t>
        </is>
      </c>
      <c r="C134" s="24" t="n">
        <v>27779.01</v>
      </c>
      <c r="D134" s="24" t="n">
        <v>6103.34</v>
      </c>
      <c r="E134" s="24" t="n">
        <v>7797.85</v>
      </c>
      <c r="F134" s="24" t="n">
        <v>15258</v>
      </c>
      <c r="G134" s="24" t="n">
        <v>10609</v>
      </c>
      <c r="H134" s="24">
        <f>G134-F134</f>
        <v/>
      </c>
      <c r="I134" s="8">
        <f>IF(F134=0,0,G134/F134-1)</f>
        <v/>
      </c>
    </row>
    <row r="135">
      <c r="A135" s="6" t="inlineStr">
        <is>
          <t>1000.2800.2110.52310.040</t>
        </is>
      </c>
      <c r="B135" s="6" t="inlineStr">
        <is>
          <t>Retirement</t>
        </is>
      </c>
      <c r="C135" s="24" t="n">
        <v>3907.02</v>
      </c>
      <c r="D135" s="24" t="n">
        <v>947.52</v>
      </c>
      <c r="E135" s="24" t="n">
        <v>1344.2</v>
      </c>
      <c r="F135" s="24" t="n">
        <v>1507</v>
      </c>
      <c r="G135" s="24" t="n">
        <v>1706</v>
      </c>
      <c r="H135" s="24">
        <f>G135-F135</f>
        <v/>
      </c>
      <c r="I135" s="8">
        <f>IF(F135=0,0,G135/F135-1)</f>
        <v/>
      </c>
    </row>
    <row r="136">
      <c r="A136" s="6" t="inlineStr">
        <is>
          <t>1000.2800.2110.55800.040</t>
        </is>
      </c>
      <c r="B136" s="6" t="inlineStr">
        <is>
          <t>Travel</t>
        </is>
      </c>
      <c r="C136" s="24" t="n">
        <v>0</v>
      </c>
      <c r="D136" s="24" t="n">
        <v>0</v>
      </c>
      <c r="E136" s="24" t="n">
        <v>0</v>
      </c>
      <c r="F136" s="24" t="n">
        <v>150</v>
      </c>
      <c r="G136" s="24" t="n">
        <v>0</v>
      </c>
      <c r="H136" s="24">
        <f>G136-F136</f>
        <v/>
      </c>
      <c r="I136" s="8">
        <f>IF(F136=0,0,G136/F136-1)</f>
        <v/>
      </c>
    </row>
    <row r="137">
      <c r="A137" s="14" t="n"/>
      <c r="B137" s="28" t="inlineStr">
        <is>
          <t>Program 2800 Total</t>
        </is>
      </c>
      <c r="C137" s="29">
        <f>SUM(C133:C136)</f>
        <v/>
      </c>
      <c r="D137" s="29">
        <f>SUM(D133:D136)</f>
        <v/>
      </c>
      <c r="E137" s="29">
        <f>SUM(E133:E136)</f>
        <v/>
      </c>
      <c r="F137" s="29">
        <f>SUM(F133:F136)</f>
        <v/>
      </c>
      <c r="G137" s="29">
        <f>SUM(G133:G136)</f>
        <v/>
      </c>
      <c r="H137" s="29">
        <f>SUM(H133:H136)</f>
        <v/>
      </c>
      <c r="I137" s="29">
        <f>SUM(I133:I136)</f>
        <v/>
      </c>
    </row>
    <row r="138">
      <c r="A138" s="6" t="inlineStr">
        <is>
          <t>1000.2800.2140.51010.040</t>
        </is>
      </c>
      <c r="B138" s="6" t="inlineStr">
        <is>
          <t>Psychological Services Salary</t>
        </is>
      </c>
      <c r="C138" s="24" t="n">
        <v>25390.19</v>
      </c>
      <c r="D138" s="24" t="n">
        <v>32555.2</v>
      </c>
      <c r="E138" s="24" t="n">
        <v>0</v>
      </c>
      <c r="F138" s="24" t="n">
        <v>0</v>
      </c>
      <c r="G138" s="24" t="n">
        <v>0</v>
      </c>
      <c r="H138" s="24">
        <f>G138-F138</f>
        <v/>
      </c>
      <c r="I138" s="8">
        <f>IF(F138=0,0,G138/F138-1)</f>
        <v/>
      </c>
    </row>
    <row r="139">
      <c r="A139" s="6" t="inlineStr">
        <is>
          <t>1000.2800.2140.52010.040</t>
        </is>
      </c>
      <c r="B139" s="6" t="inlineStr">
        <is>
          <t>Psych Services Benefit</t>
        </is>
      </c>
      <c r="C139" s="24" t="n">
        <v>5028.64</v>
      </c>
      <c r="D139" s="24" t="n">
        <v>1246.98</v>
      </c>
      <c r="E139" s="24" t="n">
        <v>0</v>
      </c>
      <c r="F139" s="24" t="n">
        <v>0</v>
      </c>
      <c r="G139" s="24" t="n">
        <v>0</v>
      </c>
      <c r="H139" s="24">
        <f>G139-F139</f>
        <v/>
      </c>
      <c r="I139" s="8">
        <f>IF(F139=0,0,G139/F139-1)</f>
        <v/>
      </c>
    </row>
    <row r="140">
      <c r="A140" s="6" t="inlineStr">
        <is>
          <t>1000.2800.2140.52310.040</t>
        </is>
      </c>
      <c r="B140" s="6" t="inlineStr">
        <is>
          <t>Retirement</t>
        </is>
      </c>
      <c r="C140" s="24" t="n">
        <v>1056.13</v>
      </c>
      <c r="D140" s="24" t="n">
        <v>294.3</v>
      </c>
      <c r="E140" s="24" t="n">
        <v>0</v>
      </c>
      <c r="F140" s="24" t="n">
        <v>0</v>
      </c>
      <c r="G140" s="24" t="n">
        <v>0</v>
      </c>
      <c r="H140" s="24">
        <f>G140-F140</f>
        <v/>
      </c>
      <c r="I140" s="8">
        <f>IF(F140=0,0,G140/F140-1)</f>
        <v/>
      </c>
    </row>
    <row r="141">
      <c r="A141" s="6" t="inlineStr">
        <is>
          <t>1000.2800.2140.55800.040</t>
        </is>
      </c>
      <c r="B141" s="6" t="inlineStr">
        <is>
          <t>Travel</t>
        </is>
      </c>
      <c r="C141" s="24" t="n">
        <v>0</v>
      </c>
      <c r="D141" s="24" t="n">
        <v>0</v>
      </c>
      <c r="E141" s="24" t="n">
        <v>0</v>
      </c>
      <c r="F141" s="24" t="n">
        <v>125</v>
      </c>
      <c r="G141" s="24" t="n">
        <v>0</v>
      </c>
      <c r="H141" s="24">
        <f>G141-F141</f>
        <v/>
      </c>
      <c r="I141" s="8">
        <f>IF(F141=0,0,G141/F141-1)</f>
        <v/>
      </c>
    </row>
    <row r="142">
      <c r="A142" s="14" t="n"/>
      <c r="B142" s="28" t="inlineStr">
        <is>
          <t>Program 2800 Total</t>
        </is>
      </c>
      <c r="C142" s="29">
        <f>SUM(C138:C141)</f>
        <v/>
      </c>
      <c r="D142" s="29">
        <f>SUM(D138:D141)</f>
        <v/>
      </c>
      <c r="E142" s="29">
        <f>SUM(E138:E141)</f>
        <v/>
      </c>
      <c r="F142" s="29">
        <f>SUM(F138:F141)</f>
        <v/>
      </c>
      <c r="G142" s="29">
        <f>SUM(G138:G141)</f>
        <v/>
      </c>
      <c r="H142" s="29">
        <f>SUM(H138:H141)</f>
        <v/>
      </c>
      <c r="I142" s="29">
        <f>SUM(I138:I141)</f>
        <v/>
      </c>
    </row>
    <row r="143">
      <c r="A143" s="6" t="inlineStr">
        <is>
          <t>1000.2800.2150.51010.040</t>
        </is>
      </c>
      <c r="B143" s="6" t="inlineStr">
        <is>
          <t>Speech &amp; Audiology Salaries</t>
        </is>
      </c>
      <c r="C143" s="24" t="n">
        <v>44165.32</v>
      </c>
      <c r="D143" s="24" t="n">
        <v>45101.52</v>
      </c>
      <c r="E143" s="24" t="n">
        <v>44394.78</v>
      </c>
      <c r="F143" s="24" t="n">
        <v>86897</v>
      </c>
      <c r="G143" s="24" t="n">
        <v>48729</v>
      </c>
      <c r="H143" s="24">
        <f>G143-F143</f>
        <v/>
      </c>
      <c r="I143" s="8">
        <f>IF(F143=0,0,G143/F143-1)</f>
        <v/>
      </c>
    </row>
    <row r="144">
      <c r="A144" s="6" t="inlineStr">
        <is>
          <t>1000.2800.2150.52010.040</t>
        </is>
      </c>
      <c r="B144" s="6" t="inlineStr">
        <is>
          <t>Speech &amp; Audiology Benefits</t>
        </is>
      </c>
      <c r="C144" s="24" t="n">
        <v>10699.85</v>
      </c>
      <c r="D144" s="24" t="n">
        <v>2888.64</v>
      </c>
      <c r="E144" s="24" t="n">
        <v>12861.75</v>
      </c>
      <c r="F144" s="24" t="n">
        <v>23267</v>
      </c>
      <c r="G144" s="24" t="n">
        <v>14089</v>
      </c>
      <c r="H144" s="24">
        <f>G144-F144</f>
        <v/>
      </c>
      <c r="I144" s="8">
        <f>IF(F144=0,0,G144/F144-1)</f>
        <v/>
      </c>
    </row>
    <row r="145">
      <c r="A145" s="6" t="inlineStr">
        <is>
          <t>1000.2800.2150.52310.040</t>
        </is>
      </c>
      <c r="B145" s="6" t="inlineStr">
        <is>
          <t>Retirement</t>
        </is>
      </c>
      <c r="C145" s="24" t="n">
        <v>1837.16</v>
      </c>
      <c r="D145" s="24" t="n">
        <v>406.44</v>
      </c>
      <c r="E145" s="24" t="n">
        <v>1704.82</v>
      </c>
      <c r="F145" s="24" t="n">
        <v>4240</v>
      </c>
      <c r="G145" s="24" t="n">
        <v>2178</v>
      </c>
      <c r="H145" s="24">
        <f>G145-F145</f>
        <v/>
      </c>
      <c r="I145" s="8">
        <f>IF(F145=0,0,G145/F145-1)</f>
        <v/>
      </c>
    </row>
    <row r="146">
      <c r="A146" s="6" t="inlineStr">
        <is>
          <t>1000.2800.2150.55800.040</t>
        </is>
      </c>
      <c r="B146" s="6" t="inlineStr">
        <is>
          <t>Travel</t>
        </is>
      </c>
      <c r="C146" s="24" t="n">
        <v>0</v>
      </c>
      <c r="D146" s="24" t="n">
        <v>0</v>
      </c>
      <c r="E146" s="24" t="n">
        <v>0</v>
      </c>
      <c r="F146" s="24" t="n">
        <v>125</v>
      </c>
      <c r="G146" s="24" t="n">
        <v>0</v>
      </c>
      <c r="H146" s="24">
        <f>G146-F146</f>
        <v/>
      </c>
      <c r="I146" s="8">
        <f>IF(F146=0,0,G146/F146-1)</f>
        <v/>
      </c>
    </row>
    <row r="147">
      <c r="A147" s="14" t="n"/>
      <c r="B147" s="28" t="inlineStr">
        <is>
          <t>Program 2800 Total</t>
        </is>
      </c>
      <c r="C147" s="29">
        <f>SUM(C143:C146)</f>
        <v/>
      </c>
      <c r="D147" s="29">
        <f>SUM(D143:D146)</f>
        <v/>
      </c>
      <c r="E147" s="29">
        <f>SUM(E143:E146)</f>
        <v/>
      </c>
      <c r="F147" s="29">
        <f>SUM(F143:F146)</f>
        <v/>
      </c>
      <c r="G147" s="29">
        <f>SUM(G143:G146)</f>
        <v/>
      </c>
      <c r="H147" s="29">
        <f>SUM(H143:H146)</f>
        <v/>
      </c>
      <c r="I147" s="29">
        <f>SUM(I143:I146)</f>
        <v/>
      </c>
    </row>
    <row r="148">
      <c r="A148" s="6" t="inlineStr">
        <is>
          <t>1000.2800.2160.51010.040</t>
        </is>
      </c>
      <c r="B148" s="6" t="inlineStr">
        <is>
          <t>OT Salary</t>
        </is>
      </c>
      <c r="C148" s="24" t="n">
        <v>10739.04</v>
      </c>
      <c r="D148" s="24" t="n">
        <v>10139.53</v>
      </c>
      <c r="E148" s="24" t="n">
        <v>12138.12</v>
      </c>
      <c r="F148" s="24" t="n">
        <v>22422</v>
      </c>
      <c r="G148" s="24" t="n">
        <v>13802</v>
      </c>
      <c r="H148" s="24">
        <f>G148-F148</f>
        <v/>
      </c>
      <c r="I148" s="8">
        <f>IF(F148=0,0,G148/F148-1)</f>
        <v/>
      </c>
    </row>
    <row r="149">
      <c r="A149" s="6" t="inlineStr">
        <is>
          <t>1000.2800.2160.52010.040</t>
        </is>
      </c>
      <c r="B149" s="6" t="inlineStr">
        <is>
          <t>OT Benefits</t>
        </is>
      </c>
      <c r="C149" s="24" t="n">
        <v>199.1</v>
      </c>
      <c r="D149" s="24" t="n">
        <v>32.07</v>
      </c>
      <c r="E149" s="24" t="n">
        <v>958.1</v>
      </c>
      <c r="F149" s="24" t="n">
        <v>12832</v>
      </c>
      <c r="G149" s="24" t="n">
        <v>1007</v>
      </c>
      <c r="H149" s="24">
        <f>G149-F149</f>
        <v/>
      </c>
      <c r="I149" s="8">
        <f>IF(F149=0,0,G149/F149-1)</f>
        <v/>
      </c>
    </row>
    <row r="150">
      <c r="A150" s="6" t="inlineStr">
        <is>
          <t>1000.2800.2160.52310.040</t>
        </is>
      </c>
      <c r="B150" s="6" t="inlineStr">
        <is>
          <t>Retirement</t>
        </is>
      </c>
      <c r="C150" s="24" t="n">
        <v>446.69</v>
      </c>
      <c r="D150" s="24" t="n">
        <v>109.08</v>
      </c>
      <c r="E150" s="24" t="n">
        <v>483.69</v>
      </c>
      <c r="F150" s="24" t="n">
        <v>1537</v>
      </c>
      <c r="G150" s="24" t="n">
        <v>617</v>
      </c>
      <c r="H150" s="24">
        <f>G150-F150</f>
        <v/>
      </c>
      <c r="I150" s="8">
        <f>IF(F150=0,0,G150/F150-1)</f>
        <v/>
      </c>
    </row>
    <row r="151">
      <c r="A151" s="6" t="inlineStr">
        <is>
          <t>1000.2800.2160.55800.040</t>
        </is>
      </c>
      <c r="B151" s="6" t="inlineStr">
        <is>
          <t>Travel</t>
        </is>
      </c>
      <c r="C151" s="24" t="n">
        <v>0</v>
      </c>
      <c r="D151" s="24" t="n">
        <v>0</v>
      </c>
      <c r="E151" s="24" t="n">
        <v>0</v>
      </c>
      <c r="F151" s="24" t="n">
        <v>125</v>
      </c>
      <c r="G151" s="24" t="n">
        <v>0</v>
      </c>
      <c r="H151" s="24">
        <f>G151-F151</f>
        <v/>
      </c>
      <c r="I151" s="8">
        <f>IF(F151=0,0,G151/F151-1)</f>
        <v/>
      </c>
    </row>
    <row r="152">
      <c r="A152" s="14" t="n"/>
      <c r="B152" s="28" t="inlineStr">
        <is>
          <t>Program 2800 Total</t>
        </is>
      </c>
      <c r="C152" s="29">
        <f>SUM(C148:C151)</f>
        <v/>
      </c>
      <c r="D152" s="29">
        <f>SUM(D148:D151)</f>
        <v/>
      </c>
      <c r="E152" s="29">
        <f>SUM(E148:E151)</f>
        <v/>
      </c>
      <c r="F152" s="29">
        <f>SUM(F148:F151)</f>
        <v/>
      </c>
      <c r="G152" s="29">
        <f>SUM(G148:G151)</f>
        <v/>
      </c>
      <c r="H152" s="29">
        <f>SUM(H148:H151)</f>
        <v/>
      </c>
      <c r="I152" s="29">
        <f>SUM(I148:I151)</f>
        <v/>
      </c>
    </row>
    <row r="153">
      <c r="A153" s="14" t="n"/>
      <c r="B153" s="17" t="inlineStr">
        <is>
          <t>Cost Center ('040',) Total</t>
        </is>
      </c>
      <c r="C153" s="32">
        <f>C132+C137+C142+C147+C152</f>
        <v/>
      </c>
      <c r="D153" s="32">
        <f>D132+D137+D142+D147+D152</f>
        <v/>
      </c>
      <c r="E153" s="32">
        <f>E132+E137+E142+E147+E152</f>
        <v/>
      </c>
      <c r="F153" s="32">
        <f>F132+F137+F142+F147+F152</f>
        <v/>
      </c>
      <c r="G153" s="32">
        <f>G132+G137+G142+G147+G152</f>
        <v/>
      </c>
      <c r="H153" s="32">
        <f>H132+H137+H142+H147+H152</f>
        <v/>
      </c>
      <c r="I153" s="32">
        <f>I132+I137+I142+I147+I152</f>
        <v/>
      </c>
    </row>
    <row r="155">
      <c r="A155" s="3" t="inlineStr">
        <is>
          <t>Cost Center: ('050',)</t>
        </is>
      </c>
    </row>
    <row r="156">
      <c r="A156" s="6" t="inlineStr">
        <is>
          <t>1000.2200.1000.51010.050</t>
        </is>
      </c>
      <c r="B156" s="6" t="inlineStr">
        <is>
          <t>Teacher Salaries</t>
        </is>
      </c>
      <c r="C156" s="24" t="n">
        <v>116253.54</v>
      </c>
      <c r="D156" s="24" t="n">
        <v>120507.69</v>
      </c>
      <c r="E156" s="24" t="n">
        <v>110644.93</v>
      </c>
      <c r="F156" s="24" t="n">
        <v>111113</v>
      </c>
      <c r="G156" s="24" t="n">
        <v>126036</v>
      </c>
      <c r="H156" s="24">
        <f>G156-F156</f>
        <v/>
      </c>
      <c r="I156" s="8">
        <f>IF(F156=0,0,G156/F156-1)</f>
        <v/>
      </c>
    </row>
    <row r="157">
      <c r="A157" s="6" t="inlineStr">
        <is>
          <t>1000.2200.1000.51020.050</t>
        </is>
      </c>
      <c r="B157" s="6" t="inlineStr">
        <is>
          <t>Ed Tech Salaries</t>
        </is>
      </c>
      <c r="C157" s="24" t="n">
        <v>25023.34</v>
      </c>
      <c r="D157" s="24" t="n">
        <v>48225.78</v>
      </c>
      <c r="E157" s="24" t="n">
        <v>92390.53</v>
      </c>
      <c r="F157" s="24" t="n">
        <v>73304</v>
      </c>
      <c r="G157" s="24" t="n">
        <v>132625</v>
      </c>
      <c r="H157" s="24">
        <f>G157-F157</f>
        <v/>
      </c>
      <c r="I157" s="8">
        <f>IF(F157=0,0,G157/F157-1)</f>
        <v/>
      </c>
    </row>
    <row r="158">
      <c r="A158" s="6" t="inlineStr">
        <is>
          <t>1000.2200.1000.52010.050</t>
        </is>
      </c>
      <c r="B158" s="6" t="inlineStr">
        <is>
          <t>Teacher Benefits</t>
        </is>
      </c>
      <c r="C158" s="24" t="n">
        <v>29208.25</v>
      </c>
      <c r="D158" s="24" t="n">
        <v>6551.18</v>
      </c>
      <c r="E158" s="24" t="n">
        <v>30372.93</v>
      </c>
      <c r="F158" s="24" t="n">
        <v>22567</v>
      </c>
      <c r="G158" s="24" t="n">
        <v>43996</v>
      </c>
      <c r="H158" s="24">
        <f>G158-F158</f>
        <v/>
      </c>
      <c r="I158" s="8">
        <f>IF(F158=0,0,G158/F158-1)</f>
        <v/>
      </c>
    </row>
    <row r="159">
      <c r="A159" s="6" t="inlineStr">
        <is>
          <t>1000.2200.1000.52020.050</t>
        </is>
      </c>
      <c r="B159" s="6" t="inlineStr">
        <is>
          <t>Ed Tech Benefits</t>
        </is>
      </c>
      <c r="C159" s="24" t="n">
        <v>9248.389999999999</v>
      </c>
      <c r="D159" s="24" t="n">
        <v>3514.61</v>
      </c>
      <c r="E159" s="24" t="n">
        <v>20774.68</v>
      </c>
      <c r="F159" s="24" t="n">
        <v>21336</v>
      </c>
      <c r="G159" s="24" t="n">
        <v>46650</v>
      </c>
      <c r="H159" s="24">
        <f>G159-F159</f>
        <v/>
      </c>
      <c r="I159" s="8">
        <f>IF(F159=0,0,G159/F159-1)</f>
        <v/>
      </c>
    </row>
    <row r="160">
      <c r="A160" s="6" t="inlineStr">
        <is>
          <t>1000.2200.1000.52310.050</t>
        </is>
      </c>
      <c r="B160" s="6" t="inlineStr">
        <is>
          <t>Retirement</t>
        </is>
      </c>
      <c r="C160" s="24" t="n">
        <v>4881.57</v>
      </c>
      <c r="D160" s="24" t="n">
        <v>1170.29</v>
      </c>
      <c r="E160" s="24" t="n">
        <v>4248.76</v>
      </c>
      <c r="F160" s="24" t="n">
        <v>4622</v>
      </c>
      <c r="G160" s="24" t="n">
        <v>5634</v>
      </c>
      <c r="H160" s="24">
        <f>G160-F160</f>
        <v/>
      </c>
      <c r="I160" s="8">
        <f>IF(F160=0,0,G160/F160-1)</f>
        <v/>
      </c>
    </row>
    <row r="161">
      <c r="A161" s="6" t="inlineStr">
        <is>
          <t>1000.2200.1000.52320.050</t>
        </is>
      </c>
      <c r="B161" s="6" t="inlineStr">
        <is>
          <t>Retirement</t>
        </is>
      </c>
      <c r="C161" s="24" t="n">
        <v>1180.04</v>
      </c>
      <c r="D161" s="24" t="n">
        <v>407.86</v>
      </c>
      <c r="E161" s="24" t="n">
        <v>3283.24</v>
      </c>
      <c r="F161" s="24" t="n">
        <v>3049</v>
      </c>
      <c r="G161" s="24" t="n">
        <v>6343</v>
      </c>
      <c r="H161" s="24">
        <f>G161-F161</f>
        <v/>
      </c>
      <c r="I161" s="8">
        <f>IF(F161=0,0,G161/F161-1)</f>
        <v/>
      </c>
    </row>
    <row r="162">
      <c r="A162" s="14" t="n"/>
      <c r="B162" s="28" t="inlineStr">
        <is>
          <t>Program 2200 Total</t>
        </is>
      </c>
      <c r="C162" s="29">
        <f>SUM(C156:C161)</f>
        <v/>
      </c>
      <c r="D162" s="29">
        <f>SUM(D156:D161)</f>
        <v/>
      </c>
      <c r="E162" s="29">
        <f>SUM(E156:E161)</f>
        <v/>
      </c>
      <c r="F162" s="29">
        <f>SUM(F156:F161)</f>
        <v/>
      </c>
      <c r="G162" s="29">
        <f>SUM(G156:G161)</f>
        <v/>
      </c>
      <c r="H162" s="29">
        <f>SUM(H156:H161)</f>
        <v/>
      </c>
      <c r="I162" s="29">
        <f>SUM(I156:I161)</f>
        <v/>
      </c>
    </row>
    <row r="163">
      <c r="A163" s="6" t="inlineStr">
        <is>
          <t>1000.2300.1000.51010.050</t>
        </is>
      </c>
      <c r="B163" s="6" t="inlineStr">
        <is>
          <t>Teacher Salaries</t>
        </is>
      </c>
      <c r="C163" s="24" t="n">
        <v>79991.06</v>
      </c>
      <c r="D163" s="24" t="n">
        <v>125125.02</v>
      </c>
      <c r="E163" s="24" t="n">
        <v>145504.33</v>
      </c>
      <c r="F163" s="24" t="n">
        <v>151212</v>
      </c>
      <c r="G163" s="24" t="n">
        <v>138242</v>
      </c>
      <c r="H163" s="24">
        <f>G163-F163</f>
        <v/>
      </c>
      <c r="I163" s="8">
        <f>IF(F163=0,0,G163/F163-1)</f>
        <v/>
      </c>
    </row>
    <row r="164">
      <c r="A164" s="6" t="inlineStr">
        <is>
          <t>1000.2300.1000.51020.050</t>
        </is>
      </c>
      <c r="B164" s="6" t="inlineStr">
        <is>
          <t>Ed Tech Salaries</t>
        </is>
      </c>
      <c r="C164" s="24" t="n">
        <v>140092.62</v>
      </c>
      <c r="D164" s="24" t="n">
        <v>175540.61</v>
      </c>
      <c r="E164" s="24" t="n">
        <v>156972.57</v>
      </c>
      <c r="F164" s="24" t="n">
        <v>186324</v>
      </c>
      <c r="G164" s="24" t="n">
        <v>194216</v>
      </c>
      <c r="H164" s="24">
        <f>G164-F164</f>
        <v/>
      </c>
      <c r="I164" s="8">
        <f>IF(F164=0,0,G164/F164-1)</f>
        <v/>
      </c>
    </row>
    <row r="165">
      <c r="A165" s="6" t="inlineStr">
        <is>
          <t>1000.2300.1000.52010.050</t>
        </is>
      </c>
      <c r="B165" s="6" t="inlineStr">
        <is>
          <t>Teacher Benefits</t>
        </is>
      </c>
      <c r="C165" s="24" t="n">
        <v>22186.05</v>
      </c>
      <c r="D165" s="24" t="n">
        <v>4828.55</v>
      </c>
      <c r="E165" s="24" t="n">
        <v>37552.66</v>
      </c>
      <c r="F165" s="24" t="n">
        <v>38139</v>
      </c>
      <c r="G165" s="24" t="n">
        <v>32098</v>
      </c>
      <c r="H165" s="24">
        <f>G165-F165</f>
        <v/>
      </c>
      <c r="I165" s="8">
        <f>IF(F165=0,0,G165/F165-1)</f>
        <v/>
      </c>
    </row>
    <row r="166">
      <c r="A166" s="6" t="inlineStr">
        <is>
          <t>1000.2300.1000.52020.050</t>
        </is>
      </c>
      <c r="B166" s="6" t="inlineStr">
        <is>
          <t>Ed Tech Benefits</t>
        </is>
      </c>
      <c r="C166" s="24" t="n">
        <v>50226.77</v>
      </c>
      <c r="D166" s="24" t="n">
        <v>5027.11</v>
      </c>
      <c r="E166" s="24" t="n">
        <v>30148.05</v>
      </c>
      <c r="F166" s="24" t="n">
        <v>59409</v>
      </c>
      <c r="G166" s="24" t="n">
        <v>47081</v>
      </c>
      <c r="H166" s="24">
        <f>G166-F166</f>
        <v/>
      </c>
      <c r="I166" s="8">
        <f>IF(F166=0,0,G166/F166-1)</f>
        <v/>
      </c>
    </row>
    <row r="167">
      <c r="A167" s="6" t="inlineStr">
        <is>
          <t>1000.2300.1000.52310.050</t>
        </is>
      </c>
      <c r="B167" s="6" t="inlineStr">
        <is>
          <t>Retirement</t>
        </is>
      </c>
      <c r="C167" s="24" t="n">
        <v>2845.34</v>
      </c>
      <c r="D167" s="24" t="n">
        <v>668.9400000000001</v>
      </c>
      <c r="E167" s="24" t="n">
        <v>5587.22</v>
      </c>
      <c r="F167" s="24" t="n">
        <v>6290</v>
      </c>
      <c r="G167" s="24" t="n">
        <v>6179</v>
      </c>
      <c r="H167" s="24">
        <f>G167-F167</f>
        <v/>
      </c>
      <c r="I167" s="8">
        <f>IF(F167=0,0,G167/F167-1)</f>
        <v/>
      </c>
    </row>
    <row r="168">
      <c r="A168" s="6" t="inlineStr">
        <is>
          <t>1000.2300.1000.52320.050</t>
        </is>
      </c>
      <c r="B168" s="6" t="inlineStr">
        <is>
          <t>Retirement</t>
        </is>
      </c>
      <c r="C168" s="24" t="n">
        <v>6195.22</v>
      </c>
      <c r="D168" s="24" t="n">
        <v>1684.87</v>
      </c>
      <c r="E168" s="24" t="n">
        <v>5055.93</v>
      </c>
      <c r="F168" s="24" t="n">
        <v>7751</v>
      </c>
      <c r="G168" s="24" t="n">
        <v>9289</v>
      </c>
      <c r="H168" s="24">
        <f>G168-F168</f>
        <v/>
      </c>
      <c r="I168" s="8">
        <f>IF(F168=0,0,G168/F168-1)</f>
        <v/>
      </c>
    </row>
    <row r="169">
      <c r="A169" s="14" t="n"/>
      <c r="B169" s="28" t="inlineStr">
        <is>
          <t>Program 2300 Total</t>
        </is>
      </c>
      <c r="C169" s="29">
        <f>SUM(C163:C168)</f>
        <v/>
      </c>
      <c r="D169" s="29">
        <f>SUM(D163:D168)</f>
        <v/>
      </c>
      <c r="E169" s="29">
        <f>SUM(E163:E168)</f>
        <v/>
      </c>
      <c r="F169" s="29">
        <f>SUM(F163:F168)</f>
        <v/>
      </c>
      <c r="G169" s="29">
        <f>SUM(G163:G168)</f>
        <v/>
      </c>
      <c r="H169" s="29">
        <f>SUM(H163:H168)</f>
        <v/>
      </c>
      <c r="I169" s="29">
        <f>SUM(I163:I168)</f>
        <v/>
      </c>
    </row>
    <row r="170">
      <c r="A170" s="14" t="n"/>
      <c r="B170" s="30" t="inlineStr">
        <is>
          <t>Function 1000 Total</t>
        </is>
      </c>
      <c r="C170" s="31">
        <f>C162+C169</f>
        <v/>
      </c>
      <c r="D170" s="31">
        <f>D162+D169</f>
        <v/>
      </c>
      <c r="E170" s="31">
        <f>E162+E169</f>
        <v/>
      </c>
      <c r="F170" s="31">
        <f>F162+F169</f>
        <v/>
      </c>
      <c r="G170" s="31">
        <f>G162+G169</f>
        <v/>
      </c>
      <c r="H170" s="31">
        <f>H162+H169</f>
        <v/>
      </c>
      <c r="I170" s="31">
        <f>I162+I169</f>
        <v/>
      </c>
    </row>
    <row r="171">
      <c r="A171" s="6" t="inlineStr">
        <is>
          <t>1000.2800.2110.51010.050</t>
        </is>
      </c>
      <c r="B171" s="6" t="inlineStr">
        <is>
          <t>Social Worker Salary</t>
        </is>
      </c>
      <c r="C171" s="24" t="n">
        <v>68962.66</v>
      </c>
      <c r="D171" s="24" t="n">
        <v>73331.28</v>
      </c>
      <c r="E171" s="24" t="n">
        <v>76892.22</v>
      </c>
      <c r="F171" s="24" t="n">
        <v>80852</v>
      </c>
      <c r="G171" s="24" t="n">
        <v>85029</v>
      </c>
      <c r="H171" s="24">
        <f>G171-F171</f>
        <v/>
      </c>
      <c r="I171" s="8">
        <f>IF(F171=0,0,G171/F171-1)</f>
        <v/>
      </c>
    </row>
    <row r="172">
      <c r="A172" s="6" t="inlineStr">
        <is>
          <t>1000.2800.2110.52010.050</t>
        </is>
      </c>
      <c r="B172" s="6" t="inlineStr">
        <is>
          <t>Social Worker Benefits</t>
        </is>
      </c>
      <c r="C172" s="24" t="n">
        <v>15633.43</v>
      </c>
      <c r="D172" s="24" t="n">
        <v>3503.61</v>
      </c>
      <c r="E172" s="24" t="n">
        <v>15691.8</v>
      </c>
      <c r="F172" s="24" t="n">
        <v>16262</v>
      </c>
      <c r="G172" s="24" t="n">
        <v>21412</v>
      </c>
      <c r="H172" s="24">
        <f>G172-F172</f>
        <v/>
      </c>
      <c r="I172" s="8">
        <f>IF(F172=0,0,G172/F172-1)</f>
        <v/>
      </c>
    </row>
    <row r="173">
      <c r="A173" s="6" t="inlineStr">
        <is>
          <t>1000.2800.2110.52310.050</t>
        </is>
      </c>
      <c r="B173" s="6" t="inlineStr">
        <is>
          <t>Retirement</t>
        </is>
      </c>
      <c r="C173" s="24" t="n">
        <v>2868.84</v>
      </c>
      <c r="D173" s="24" t="n">
        <v>695.46</v>
      </c>
      <c r="E173" s="24" t="n">
        <v>3157.23</v>
      </c>
      <c r="F173" s="24" t="n">
        <v>3363</v>
      </c>
      <c r="G173" s="24" t="n">
        <v>3801</v>
      </c>
      <c r="H173" s="24">
        <f>G173-F173</f>
        <v/>
      </c>
      <c r="I173" s="8">
        <f>IF(F173=0,0,G173/F173-1)</f>
        <v/>
      </c>
    </row>
    <row r="174">
      <c r="A174" s="14" t="n"/>
      <c r="B174" s="28" t="inlineStr">
        <is>
          <t>Program 2800 Total</t>
        </is>
      </c>
      <c r="C174" s="29">
        <f>SUM(C171:C173)</f>
        <v/>
      </c>
      <c r="D174" s="29">
        <f>SUM(D171:D173)</f>
        <v/>
      </c>
      <c r="E174" s="29">
        <f>SUM(E171:E173)</f>
        <v/>
      </c>
      <c r="F174" s="29">
        <f>SUM(F171:F173)</f>
        <v/>
      </c>
      <c r="G174" s="29">
        <f>SUM(G171:G173)</f>
        <v/>
      </c>
      <c r="H174" s="29">
        <f>SUM(H171:H173)</f>
        <v/>
      </c>
      <c r="I174" s="29">
        <f>SUM(I171:I173)</f>
        <v/>
      </c>
    </row>
    <row r="175">
      <c r="A175" s="6" t="inlineStr">
        <is>
          <t>1000.2800.2140.51010.050</t>
        </is>
      </c>
      <c r="B175" s="6" t="inlineStr">
        <is>
          <t>Psychological Services Salary</t>
        </is>
      </c>
      <c r="C175" s="24" t="n">
        <v>25389.96</v>
      </c>
      <c r="D175" s="24" t="n">
        <v>32555.53</v>
      </c>
      <c r="E175" s="24" t="n">
        <v>0</v>
      </c>
      <c r="F175" s="24" t="n">
        <v>0</v>
      </c>
      <c r="G175" s="24" t="n">
        <v>0</v>
      </c>
      <c r="H175" s="24">
        <f>G175-F175</f>
        <v/>
      </c>
      <c r="I175" s="8">
        <f>IF(F175=0,0,G175/F175-1)</f>
        <v/>
      </c>
    </row>
    <row r="176">
      <c r="A176" s="6" t="inlineStr">
        <is>
          <t>1000.2800.2140.52010.050</t>
        </is>
      </c>
      <c r="B176" s="6" t="inlineStr">
        <is>
          <t>Psych Services Benefit</t>
        </is>
      </c>
      <c r="C176" s="24" t="n">
        <v>5029.35</v>
      </c>
      <c r="D176" s="24" t="n">
        <v>1247.17</v>
      </c>
      <c r="E176" s="24" t="n">
        <v>0</v>
      </c>
      <c r="F176" s="24" t="n">
        <v>0</v>
      </c>
      <c r="G176" s="24" t="n">
        <v>0</v>
      </c>
      <c r="H176" s="24">
        <f>G176-F176</f>
        <v/>
      </c>
      <c r="I176" s="8">
        <f>IF(F176=0,0,G176/F176-1)</f>
        <v/>
      </c>
    </row>
    <row r="177">
      <c r="A177" s="6" t="inlineStr">
        <is>
          <t>1000.2800.2140.52310.050</t>
        </is>
      </c>
      <c r="B177" s="6" t="inlineStr">
        <is>
          <t>Retirement</t>
        </is>
      </c>
      <c r="C177" s="24" t="n">
        <v>1056.17</v>
      </c>
      <c r="D177" s="24" t="n">
        <v>294.3</v>
      </c>
      <c r="E177" s="24" t="n">
        <v>0</v>
      </c>
      <c r="F177" s="24" t="n">
        <v>0</v>
      </c>
      <c r="G177" s="24" t="n">
        <v>0</v>
      </c>
      <c r="H177" s="24">
        <f>G177-F177</f>
        <v/>
      </c>
      <c r="I177" s="8">
        <f>IF(F177=0,0,G177/F177-1)</f>
        <v/>
      </c>
    </row>
    <row r="178">
      <c r="A178" s="6" t="inlineStr">
        <is>
          <t>1000.2800.2140.55800.050</t>
        </is>
      </c>
      <c r="B178" s="6" t="inlineStr">
        <is>
          <t>Travel</t>
        </is>
      </c>
      <c r="C178" s="24" t="n">
        <v>0</v>
      </c>
      <c r="D178" s="24" t="n">
        <v>0</v>
      </c>
      <c r="E178" s="24" t="n">
        <v>116</v>
      </c>
      <c r="F178" s="24" t="n">
        <v>125</v>
      </c>
      <c r="G178" s="24" t="n">
        <v>0</v>
      </c>
      <c r="H178" s="24">
        <f>G178-F178</f>
        <v/>
      </c>
      <c r="I178" s="8">
        <f>IF(F178=0,0,G178/F178-1)</f>
        <v/>
      </c>
    </row>
    <row r="179">
      <c r="A179" s="14" t="n"/>
      <c r="B179" s="28" t="inlineStr">
        <is>
          <t>Program 2800 Total</t>
        </is>
      </c>
      <c r="C179" s="29">
        <f>SUM(C175:C178)</f>
        <v/>
      </c>
      <c r="D179" s="29">
        <f>SUM(D175:D178)</f>
        <v/>
      </c>
      <c r="E179" s="29">
        <f>SUM(E175:E178)</f>
        <v/>
      </c>
      <c r="F179" s="29">
        <f>SUM(F175:F178)</f>
        <v/>
      </c>
      <c r="G179" s="29">
        <f>SUM(G175:G178)</f>
        <v/>
      </c>
      <c r="H179" s="29">
        <f>SUM(H175:H178)</f>
        <v/>
      </c>
      <c r="I179" s="29">
        <f>SUM(I175:I178)</f>
        <v/>
      </c>
    </row>
    <row r="180">
      <c r="A180" s="6" t="inlineStr">
        <is>
          <t>1000.2800.2150.51010.050</t>
        </is>
      </c>
      <c r="B180" s="6" t="inlineStr">
        <is>
          <t>Speech &amp; Audiology Salaries</t>
        </is>
      </c>
      <c r="C180" s="24" t="n">
        <v>42364.58</v>
      </c>
      <c r="D180" s="24" t="n">
        <v>40173.71</v>
      </c>
      <c r="E180" s="24" t="n">
        <v>40280.03</v>
      </c>
      <c r="F180" s="24" t="n">
        <v>40991</v>
      </c>
      <c r="G180" s="24" t="n">
        <v>43149</v>
      </c>
      <c r="H180" s="24">
        <f>G180-F180</f>
        <v/>
      </c>
      <c r="I180" s="8">
        <f>IF(F180=0,0,G180/F180-1)</f>
        <v/>
      </c>
    </row>
    <row r="181">
      <c r="A181" s="6" t="inlineStr">
        <is>
          <t>1000.2800.2150.52010.050</t>
        </is>
      </c>
      <c r="B181" s="6" t="inlineStr">
        <is>
          <t>Speech &amp; Audiology Benefits</t>
        </is>
      </c>
      <c r="C181" s="24" t="n">
        <v>10554.71</v>
      </c>
      <c r="D181" s="24" t="n">
        <v>2199.01</v>
      </c>
      <c r="E181" s="24" t="n">
        <v>9774.950000000001</v>
      </c>
      <c r="F181" s="24" t="n">
        <v>10047</v>
      </c>
      <c r="G181" s="24" t="n">
        <v>8683</v>
      </c>
      <c r="H181" s="24">
        <f>G181-F181</f>
        <v/>
      </c>
      <c r="I181" s="8">
        <f>IF(F181=0,0,G181/F181-1)</f>
        <v/>
      </c>
    </row>
    <row r="182">
      <c r="A182" s="6" t="inlineStr">
        <is>
          <t>1000.2800.2150.52310.050</t>
        </is>
      </c>
      <c r="B182" s="6" t="inlineStr">
        <is>
          <t>Retirement</t>
        </is>
      </c>
      <c r="C182" s="24" t="n">
        <v>1762.38</v>
      </c>
      <c r="D182" s="24" t="n">
        <v>373.38</v>
      </c>
      <c r="E182" s="24" t="n">
        <v>1653.96</v>
      </c>
      <c r="F182" s="24" t="n">
        <v>1705</v>
      </c>
      <c r="G182" s="24" t="n">
        <v>1928</v>
      </c>
      <c r="H182" s="24">
        <f>G182-F182</f>
        <v/>
      </c>
      <c r="I182" s="8">
        <f>IF(F182=0,0,G182/F182-1)</f>
        <v/>
      </c>
    </row>
    <row r="183">
      <c r="A183" s="6" t="inlineStr">
        <is>
          <t>1000.2800.2150.55800.050</t>
        </is>
      </c>
      <c r="B183" s="6" t="inlineStr">
        <is>
          <t>Travel</t>
        </is>
      </c>
      <c r="C183" s="24" t="n">
        <v>8.99</v>
      </c>
      <c r="D183" s="24" t="n">
        <v>0</v>
      </c>
      <c r="E183" s="24" t="n">
        <v>0</v>
      </c>
      <c r="F183" s="24" t="n">
        <v>125</v>
      </c>
      <c r="G183" s="24" t="n">
        <v>0</v>
      </c>
      <c r="H183" s="24">
        <f>G183-F183</f>
        <v/>
      </c>
      <c r="I183" s="8">
        <f>IF(F183=0,0,G183/F183-1)</f>
        <v/>
      </c>
    </row>
    <row r="184">
      <c r="A184" s="14" t="n"/>
      <c r="B184" s="28" t="inlineStr">
        <is>
          <t>Program 2800 Total</t>
        </is>
      </c>
      <c r="C184" s="29">
        <f>SUM(C180:C183)</f>
        <v/>
      </c>
      <c r="D184" s="29">
        <f>SUM(D180:D183)</f>
        <v/>
      </c>
      <c r="E184" s="29">
        <f>SUM(E180:E183)</f>
        <v/>
      </c>
      <c r="F184" s="29">
        <f>SUM(F180:F183)</f>
        <v/>
      </c>
      <c r="G184" s="29">
        <f>SUM(G180:G183)</f>
        <v/>
      </c>
      <c r="H184" s="29">
        <f>SUM(H180:H183)</f>
        <v/>
      </c>
      <c r="I184" s="29">
        <f>SUM(I180:I183)</f>
        <v/>
      </c>
    </row>
    <row r="185">
      <c r="A185" s="6" t="inlineStr">
        <is>
          <t>1000.2800.2160.51010.050</t>
        </is>
      </c>
      <c r="B185" s="6" t="inlineStr">
        <is>
          <t>OT Salary</t>
        </is>
      </c>
      <c r="C185" s="24" t="n">
        <v>5369.52</v>
      </c>
      <c r="D185" s="24" t="n">
        <v>5069.84</v>
      </c>
      <c r="E185" s="24" t="n">
        <v>13194.5</v>
      </c>
      <c r="F185" s="24" t="n">
        <v>7374</v>
      </c>
      <c r="G185" s="24" t="n">
        <v>7828</v>
      </c>
      <c r="H185" s="24">
        <f>G185-F185</f>
        <v/>
      </c>
      <c r="I185" s="8">
        <f>IF(F185=0,0,G185/F185-1)</f>
        <v/>
      </c>
    </row>
    <row r="186">
      <c r="A186" s="6" t="inlineStr">
        <is>
          <t>1000.2800.2160.52010.050</t>
        </is>
      </c>
      <c r="B186" s="6" t="inlineStr">
        <is>
          <t>OT Benefits</t>
        </is>
      </c>
      <c r="C186" s="24" t="n">
        <v>99.56</v>
      </c>
      <c r="D186" s="24" t="n">
        <v>16.07</v>
      </c>
      <c r="E186" s="24" t="n">
        <v>2013.25</v>
      </c>
      <c r="F186" s="24" t="n">
        <v>1609</v>
      </c>
      <c r="G186" s="24" t="n">
        <v>2126</v>
      </c>
      <c r="H186" s="24">
        <f>G186-F186</f>
        <v/>
      </c>
      <c r="I186" s="8">
        <f>IF(F186=0,0,G186/F186-1)</f>
        <v/>
      </c>
    </row>
    <row r="187">
      <c r="A187" s="6" t="inlineStr">
        <is>
          <t>1000.2800.2160.52310.050</t>
        </is>
      </c>
      <c r="B187" s="6" t="inlineStr">
        <is>
          <t>Retirement</t>
        </is>
      </c>
      <c r="C187" s="24" t="n">
        <v>223.34</v>
      </c>
      <c r="D187" s="24" t="n">
        <v>54.54</v>
      </c>
      <c r="E187" s="24" t="n">
        <v>515.3200000000001</v>
      </c>
      <c r="F187" s="24" t="n">
        <v>306</v>
      </c>
      <c r="G187" s="24" t="n">
        <v>350</v>
      </c>
      <c r="H187" s="24">
        <f>G187-F187</f>
        <v/>
      </c>
      <c r="I187" s="8">
        <f>IF(F187=0,0,G187/F187-1)</f>
        <v/>
      </c>
    </row>
    <row r="188">
      <c r="A188" s="6" t="inlineStr">
        <is>
          <t>1000.2800.2160.55800.050</t>
        </is>
      </c>
      <c r="B188" s="6" t="inlineStr">
        <is>
          <t>Travel</t>
        </is>
      </c>
      <c r="C188" s="24" t="n">
        <v>0</v>
      </c>
      <c r="D188" s="24" t="n">
        <v>0</v>
      </c>
      <c r="E188" s="24" t="n">
        <v>0</v>
      </c>
      <c r="F188" s="24" t="n">
        <v>125</v>
      </c>
      <c r="G188" s="24" t="n">
        <v>0</v>
      </c>
      <c r="H188" s="24">
        <f>G188-F188</f>
        <v/>
      </c>
      <c r="I188" s="8">
        <f>IF(F188=0,0,G188/F188-1)</f>
        <v/>
      </c>
    </row>
    <row r="189">
      <c r="A189" s="14" t="n"/>
      <c r="B189" s="28" t="inlineStr">
        <is>
          <t>Program 2800 Total</t>
        </is>
      </c>
      <c r="C189" s="29">
        <f>SUM(C185:C188)</f>
        <v/>
      </c>
      <c r="D189" s="29">
        <f>SUM(D185:D188)</f>
        <v/>
      </c>
      <c r="E189" s="29">
        <f>SUM(E185:E188)</f>
        <v/>
      </c>
      <c r="F189" s="29">
        <f>SUM(F185:F188)</f>
        <v/>
      </c>
      <c r="G189" s="29">
        <f>SUM(G185:G188)</f>
        <v/>
      </c>
      <c r="H189" s="29">
        <f>SUM(H185:H188)</f>
        <v/>
      </c>
      <c r="I189" s="29">
        <f>SUM(I185:I188)</f>
        <v/>
      </c>
    </row>
    <row r="190">
      <c r="A190" s="14" t="n"/>
      <c r="B190" s="17" t="inlineStr">
        <is>
          <t>Cost Center ('050',) Total</t>
        </is>
      </c>
      <c r="C190" s="32">
        <f>C170+C174+C179+C184+C189</f>
        <v/>
      </c>
      <c r="D190" s="32">
        <f>D170+D174+D179+D184+D189</f>
        <v/>
      </c>
      <c r="E190" s="32">
        <f>E170+E174+E179+E184+E189</f>
        <v/>
      </c>
      <c r="F190" s="32">
        <f>F170+F174+F179+F184+F189</f>
        <v/>
      </c>
      <c r="G190" s="32">
        <f>G170+G174+G179+G184+G189</f>
        <v/>
      </c>
      <c r="H190" s="32">
        <f>H170+H174+H179+H184+H189</f>
        <v/>
      </c>
      <c r="I190" s="32">
        <f>I170+I174+I179+I184+I189</f>
        <v/>
      </c>
    </row>
    <row r="192">
      <c r="A192" s="3" t="inlineStr">
        <is>
          <t>Cost Center: ('300',)</t>
        </is>
      </c>
    </row>
    <row r="193">
      <c r="A193" s="6" t="inlineStr">
        <is>
          <t>1000.2100.1000.51210.300</t>
        </is>
      </c>
      <c r="B193" s="6" t="inlineStr">
        <is>
          <t>Tutor Salaries/ESY</t>
        </is>
      </c>
      <c r="C193" s="24" t="n">
        <v>717.6</v>
      </c>
      <c r="D193" s="24" t="n">
        <v>0</v>
      </c>
      <c r="E193" s="24" t="n">
        <v>0</v>
      </c>
      <c r="F193" s="24" t="n">
        <v>5000</v>
      </c>
      <c r="G193" s="24" t="n">
        <v>5000</v>
      </c>
      <c r="H193" s="24">
        <f>G193-F193</f>
        <v/>
      </c>
      <c r="I193" s="8">
        <f>IF(F193=0,0,G193/F193-1)</f>
        <v/>
      </c>
    </row>
    <row r="194">
      <c r="A194" s="6" t="inlineStr">
        <is>
          <t>1000.2100.1000.52010.300</t>
        </is>
      </c>
      <c r="B194" s="6" t="inlineStr">
        <is>
          <t>Benefits</t>
        </is>
      </c>
      <c r="C194" s="24" t="n">
        <v>60.08</v>
      </c>
      <c r="D194" s="24" t="n">
        <v>0</v>
      </c>
      <c r="E194" s="24" t="n">
        <v>0</v>
      </c>
      <c r="F194" s="24" t="n">
        <v>250</v>
      </c>
      <c r="G194" s="24" t="n">
        <v>250</v>
      </c>
      <c r="H194" s="24">
        <f>G194-F194</f>
        <v/>
      </c>
      <c r="I194" s="8">
        <f>IF(F194=0,0,G194/F194-1)</f>
        <v/>
      </c>
    </row>
    <row r="195">
      <c r="A195" s="6" t="inlineStr">
        <is>
          <t>1000.2100.1000.52030.300</t>
        </is>
      </c>
      <c r="B195" s="6" t="inlineStr">
        <is>
          <t>Tutor Benefits</t>
        </is>
      </c>
      <c r="C195" s="24" t="n">
        <v>0</v>
      </c>
      <c r="D195" s="24" t="n">
        <v>0</v>
      </c>
      <c r="E195" s="24" t="n">
        <v>0</v>
      </c>
      <c r="F195" s="24" t="n">
        <v>198</v>
      </c>
      <c r="G195" s="24" t="n">
        <v>198</v>
      </c>
      <c r="H195" s="24">
        <f>G195-F195</f>
        <v/>
      </c>
      <c r="I195" s="8">
        <f>IF(F195=0,0,G195/F195-1)</f>
        <v/>
      </c>
    </row>
    <row r="196">
      <c r="A196" s="6" t="inlineStr">
        <is>
          <t>1000.2100.1000.53440.300</t>
        </is>
      </c>
      <c r="B196" s="6" t="inlineStr">
        <is>
          <t>Purchased Professional</t>
        </is>
      </c>
      <c r="C196" s="24" t="n">
        <v>0</v>
      </c>
      <c r="D196" s="24" t="n">
        <v>344</v>
      </c>
      <c r="E196" s="24" t="n">
        <v>0</v>
      </c>
      <c r="F196" s="24" t="n">
        <v>1000</v>
      </c>
      <c r="G196" s="24" t="n">
        <v>1000</v>
      </c>
      <c r="H196" s="24">
        <f>G196-F196</f>
        <v/>
      </c>
      <c r="I196" s="8">
        <f>IF(F196=0,0,G196/F196-1)</f>
        <v/>
      </c>
    </row>
    <row r="197">
      <c r="A197" s="14" t="n"/>
      <c r="B197" s="28" t="inlineStr">
        <is>
          <t>Program 2100 Total</t>
        </is>
      </c>
      <c r="C197" s="29">
        <f>SUM(C193:C196)</f>
        <v/>
      </c>
      <c r="D197" s="29">
        <f>SUM(D193:D196)</f>
        <v/>
      </c>
      <c r="E197" s="29">
        <f>SUM(E193:E196)</f>
        <v/>
      </c>
      <c r="F197" s="29">
        <f>SUM(F193:F196)</f>
        <v/>
      </c>
      <c r="G197" s="29">
        <f>SUM(G193:G196)</f>
        <v/>
      </c>
      <c r="H197" s="29">
        <f>SUM(H193:H196)</f>
        <v/>
      </c>
      <c r="I197" s="29">
        <f>SUM(I193:I196)</f>
        <v/>
      </c>
    </row>
    <row r="198">
      <c r="A198" s="6" t="inlineStr">
        <is>
          <t>1000.2200.1000.51010.300</t>
        </is>
      </c>
      <c r="B198" s="6" t="inlineStr">
        <is>
          <t>Teacher Salaries</t>
        </is>
      </c>
      <c r="C198" s="24" t="n">
        <v>196491.1</v>
      </c>
      <c r="D198" s="24" t="n">
        <v>188250.41</v>
      </c>
      <c r="E198" s="24" t="n">
        <v>149407.92</v>
      </c>
      <c r="F198" s="24" t="n">
        <v>146731</v>
      </c>
      <c r="G198" s="24" t="n">
        <v>153863</v>
      </c>
      <c r="H198" s="24">
        <f>G198-F198</f>
        <v/>
      </c>
      <c r="I198" s="8">
        <f>IF(F198=0,0,G198/F198-1)</f>
        <v/>
      </c>
    </row>
    <row r="199">
      <c r="A199" s="6" t="inlineStr">
        <is>
          <t>1000.2200.1000.51020.300</t>
        </is>
      </c>
      <c r="B199" s="6" t="inlineStr">
        <is>
          <t>Ed Tech Salaries</t>
        </is>
      </c>
      <c r="C199" s="24" t="n">
        <v>32482.17</v>
      </c>
      <c r="D199" s="24" t="n">
        <v>31094.72</v>
      </c>
      <c r="E199" s="24" t="n">
        <v>30011.59</v>
      </c>
      <c r="F199" s="24" t="n">
        <v>48365</v>
      </c>
      <c r="G199" s="24" t="n">
        <v>102961</v>
      </c>
      <c r="H199" s="24">
        <f>G199-F199</f>
        <v/>
      </c>
      <c r="I199" s="8">
        <f>IF(F199=0,0,G199/F199-1)</f>
        <v/>
      </c>
    </row>
    <row r="200">
      <c r="A200" s="6" t="inlineStr">
        <is>
          <t>1000.2200.1000.52010.300</t>
        </is>
      </c>
      <c r="B200" s="6" t="inlineStr">
        <is>
          <t>Teacher Benefits</t>
        </is>
      </c>
      <c r="C200" s="24" t="n">
        <v>62485.39</v>
      </c>
      <c r="D200" s="24" t="n">
        <v>12371.36</v>
      </c>
      <c r="E200" s="24" t="n">
        <v>43997.73</v>
      </c>
      <c r="F200" s="24" t="n">
        <v>43845</v>
      </c>
      <c r="G200" s="24" t="n">
        <v>46771</v>
      </c>
      <c r="H200" s="24">
        <f>G200-F200</f>
        <v/>
      </c>
      <c r="I200" s="8">
        <f>IF(F200=0,0,G200/F200-1)</f>
        <v/>
      </c>
    </row>
    <row r="201">
      <c r="A201" s="6" t="inlineStr">
        <is>
          <t>1000.2200.1000.52020.300</t>
        </is>
      </c>
      <c r="B201" s="6" t="inlineStr">
        <is>
          <t>Ed Tech Benefits</t>
        </is>
      </c>
      <c r="C201" s="24" t="n">
        <v>1152.98</v>
      </c>
      <c r="D201" s="24" t="n">
        <v>1253.39</v>
      </c>
      <c r="E201" s="24" t="n">
        <v>13272.63</v>
      </c>
      <c r="F201" s="24" t="n">
        <v>23894</v>
      </c>
      <c r="G201" s="24" t="n">
        <v>55395</v>
      </c>
      <c r="H201" s="24">
        <f>G201-F201</f>
        <v/>
      </c>
      <c r="I201" s="8">
        <f>IF(F201=0,0,G201/F201-1)</f>
        <v/>
      </c>
    </row>
    <row r="202">
      <c r="A202" s="6" t="inlineStr">
        <is>
          <t>1000.2200.1000.52310.300</t>
        </is>
      </c>
      <c r="B202" s="6" t="inlineStr">
        <is>
          <t>Retirement</t>
        </is>
      </c>
      <c r="C202" s="24" t="n">
        <v>8256.049999999999</v>
      </c>
      <c r="D202" s="24" t="n">
        <v>1819.69</v>
      </c>
      <c r="E202" s="24" t="n">
        <v>5929.75</v>
      </c>
      <c r="F202" s="24" t="n">
        <v>6104</v>
      </c>
      <c r="G202" s="24" t="n">
        <v>6877</v>
      </c>
      <c r="H202" s="24">
        <f>G202-F202</f>
        <v/>
      </c>
      <c r="I202" s="8">
        <f>IF(F202=0,0,G202/F202-1)</f>
        <v/>
      </c>
    </row>
    <row r="203">
      <c r="A203" s="6" t="inlineStr">
        <is>
          <t>1000.2200.1000.52320.300</t>
        </is>
      </c>
      <c r="B203" s="6" t="inlineStr">
        <is>
          <t>Retirement</t>
        </is>
      </c>
      <c r="C203" s="24" t="n">
        <v>1081.12</v>
      </c>
      <c r="D203" s="24" t="n">
        <v>331.76</v>
      </c>
      <c r="E203" s="24" t="n">
        <v>1152.4</v>
      </c>
      <c r="F203" s="24" t="n">
        <v>2012</v>
      </c>
      <c r="G203" s="24" t="n">
        <v>4925</v>
      </c>
      <c r="H203" s="24">
        <f>G203-F203</f>
        <v/>
      </c>
      <c r="I203" s="8">
        <f>IF(F203=0,0,G203/F203-1)</f>
        <v/>
      </c>
    </row>
    <row r="204">
      <c r="A204" s="14" t="n"/>
      <c r="B204" s="28" t="inlineStr">
        <is>
          <t>Program 2200 Total</t>
        </is>
      </c>
      <c r="C204" s="29">
        <f>SUM(C198:C203)</f>
        <v/>
      </c>
      <c r="D204" s="29">
        <f>SUM(D198:D203)</f>
        <v/>
      </c>
      <c r="E204" s="29">
        <f>SUM(E198:E203)</f>
        <v/>
      </c>
      <c r="F204" s="29">
        <f>SUM(F198:F203)</f>
        <v/>
      </c>
      <c r="G204" s="29">
        <f>SUM(G198:G203)</f>
        <v/>
      </c>
      <c r="H204" s="29">
        <f>SUM(H198:H203)</f>
        <v/>
      </c>
      <c r="I204" s="29">
        <f>SUM(I198:I203)</f>
        <v/>
      </c>
    </row>
    <row r="205">
      <c r="A205" s="6" t="inlineStr">
        <is>
          <t>1000.2300.1000.51010.300</t>
        </is>
      </c>
      <c r="B205" s="6" t="inlineStr">
        <is>
          <t>Teacher Salaries</t>
        </is>
      </c>
      <c r="C205" s="24" t="n">
        <v>146903.83</v>
      </c>
      <c r="D205" s="24" t="n">
        <v>149707.68</v>
      </c>
      <c r="E205" s="24" t="n">
        <v>135427.64</v>
      </c>
      <c r="F205" s="24" t="n">
        <v>141454</v>
      </c>
      <c r="G205" s="24" t="n">
        <v>149867</v>
      </c>
      <c r="H205" s="24">
        <f>G205-F205</f>
        <v/>
      </c>
      <c r="I205" s="8">
        <f>IF(F205=0,0,G205/F205-1)</f>
        <v/>
      </c>
    </row>
    <row r="206">
      <c r="A206" s="6" t="inlineStr">
        <is>
          <t>1000.2300.1000.51020.300</t>
        </is>
      </c>
      <c r="B206" s="6" t="inlineStr">
        <is>
          <t>Ed Tech Salaries</t>
        </is>
      </c>
      <c r="C206" s="24" t="n">
        <v>86298.52</v>
      </c>
      <c r="D206" s="24" t="n">
        <v>128660.03</v>
      </c>
      <c r="E206" s="24" t="n">
        <v>112992.15</v>
      </c>
      <c r="F206" s="24" t="n">
        <v>102321</v>
      </c>
      <c r="G206" s="24" t="n">
        <v>49136</v>
      </c>
      <c r="H206" s="24">
        <f>G206-F206</f>
        <v/>
      </c>
      <c r="I206" s="8">
        <f>IF(F206=0,0,G206/F206-1)</f>
        <v/>
      </c>
    </row>
    <row r="207">
      <c r="A207" s="6" t="inlineStr">
        <is>
          <t>1000.2300.1000.52010.300</t>
        </is>
      </c>
      <c r="B207" s="6" t="inlineStr">
        <is>
          <t>Teacher Benefits</t>
        </is>
      </c>
      <c r="C207" s="24" t="n">
        <v>40204.38</v>
      </c>
      <c r="D207" s="24" t="n">
        <v>8373.35</v>
      </c>
      <c r="E207" s="24" t="n">
        <v>25502.8</v>
      </c>
      <c r="F207" s="24" t="n">
        <v>26419</v>
      </c>
      <c r="G207" s="24" t="n">
        <v>32357</v>
      </c>
      <c r="H207" s="24">
        <f>G207-F207</f>
        <v/>
      </c>
      <c r="I207" s="8">
        <f>IF(F207=0,0,G207/F207-1)</f>
        <v/>
      </c>
    </row>
    <row r="208">
      <c r="A208" s="6" t="inlineStr">
        <is>
          <t>1000.2300.1000.52020.300</t>
        </is>
      </c>
      <c r="B208" s="6" t="inlineStr">
        <is>
          <t>Ed Tech Benefits</t>
        </is>
      </c>
      <c r="C208" s="24" t="n">
        <v>31349.9</v>
      </c>
      <c r="D208" s="24" t="n">
        <v>8284.41</v>
      </c>
      <c r="E208" s="24" t="n">
        <v>26139.9</v>
      </c>
      <c r="F208" s="24" t="n">
        <v>37829</v>
      </c>
      <c r="G208" s="24" t="n">
        <v>16022</v>
      </c>
      <c r="H208" s="24">
        <f>G208-F208</f>
        <v/>
      </c>
      <c r="I208" s="8">
        <f>IF(F208=0,0,G208/F208-1)</f>
        <v/>
      </c>
    </row>
    <row r="209">
      <c r="A209" s="6" t="inlineStr">
        <is>
          <t>1000.2300.1000.52310.300</t>
        </is>
      </c>
      <c r="B209" s="6" t="inlineStr">
        <is>
          <t>Retirement</t>
        </is>
      </c>
      <c r="C209" s="24" t="n">
        <v>5920.35</v>
      </c>
      <c r="D209" s="24" t="n">
        <v>1400.46</v>
      </c>
      <c r="E209" s="24" t="n">
        <v>5200.34</v>
      </c>
      <c r="F209" s="24" t="n">
        <v>5884</v>
      </c>
      <c r="G209" s="24" t="n">
        <v>6699</v>
      </c>
      <c r="H209" s="24">
        <f>G209-F209</f>
        <v/>
      </c>
      <c r="I209" s="8">
        <f>IF(F209=0,0,G209/F209-1)</f>
        <v/>
      </c>
    </row>
    <row r="210">
      <c r="A210" s="6" t="inlineStr">
        <is>
          <t>1000.2300.1000.52320.300</t>
        </is>
      </c>
      <c r="B210" s="6" t="inlineStr">
        <is>
          <t>Retirement</t>
        </is>
      </c>
      <c r="C210" s="24" t="n">
        <v>3224.42</v>
      </c>
      <c r="D210" s="24" t="n">
        <v>923.72</v>
      </c>
      <c r="E210" s="24" t="n">
        <v>3326.14</v>
      </c>
      <c r="F210" s="24" t="n">
        <v>4257</v>
      </c>
      <c r="G210" s="24" t="n">
        <v>2350</v>
      </c>
      <c r="H210" s="24">
        <f>G210-F210</f>
        <v/>
      </c>
      <c r="I210" s="8">
        <f>IF(F210=0,0,G210/F210-1)</f>
        <v/>
      </c>
    </row>
    <row r="211">
      <c r="A211" s="14" t="n"/>
      <c r="B211" s="28" t="inlineStr">
        <is>
          <t>Program 2300 Total</t>
        </is>
      </c>
      <c r="C211" s="29">
        <f>SUM(C205:C210)</f>
        <v/>
      </c>
      <c r="D211" s="29">
        <f>SUM(D205:D210)</f>
        <v/>
      </c>
      <c r="E211" s="29">
        <f>SUM(E205:E210)</f>
        <v/>
      </c>
      <c r="F211" s="29">
        <f>SUM(F205:F210)</f>
        <v/>
      </c>
      <c r="G211" s="29">
        <f>SUM(G205:G210)</f>
        <v/>
      </c>
      <c r="H211" s="29">
        <f>SUM(H205:H210)</f>
        <v/>
      </c>
      <c r="I211" s="29">
        <f>SUM(I205:I210)</f>
        <v/>
      </c>
    </row>
    <row r="212">
      <c r="A212" s="14" t="n"/>
      <c r="B212" s="30" t="inlineStr">
        <is>
          <t>Function 1000 Total</t>
        </is>
      </c>
      <c r="C212" s="31">
        <f>C197+C204+C211</f>
        <v/>
      </c>
      <c r="D212" s="31">
        <f>D197+D204+D211</f>
        <v/>
      </c>
      <c r="E212" s="31">
        <f>E197+E204+E211</f>
        <v/>
      </c>
      <c r="F212" s="31">
        <f>F197+F204+F211</f>
        <v/>
      </c>
      <c r="G212" s="31">
        <f>G197+G204+G211</f>
        <v/>
      </c>
      <c r="H212" s="31">
        <f>H197+H204+H211</f>
        <v/>
      </c>
      <c r="I212" s="31">
        <f>I197+I204+I211</f>
        <v/>
      </c>
    </row>
    <row r="213">
      <c r="A213" s="6" t="inlineStr">
        <is>
          <t>1000.2800.2110.51010.300</t>
        </is>
      </c>
      <c r="B213" s="6" t="inlineStr">
        <is>
          <t>Social Worker Salary</t>
        </is>
      </c>
      <c r="C213" s="24" t="n">
        <v>37332.36</v>
      </c>
      <c r="D213" s="24" t="n">
        <v>73076.03999999999</v>
      </c>
      <c r="E213" s="24" t="n">
        <v>47450.51</v>
      </c>
      <c r="F213" s="24" t="n">
        <v>58958</v>
      </c>
      <c r="G213" s="24" t="n">
        <v>63019</v>
      </c>
      <c r="H213" s="24">
        <f>G213-F213</f>
        <v/>
      </c>
      <c r="I213" s="8">
        <f>IF(F213=0,0,G213/F213-1)</f>
        <v/>
      </c>
    </row>
    <row r="214">
      <c r="A214" s="6" t="inlineStr">
        <is>
          <t>1000.2800.2110.52010.300</t>
        </is>
      </c>
      <c r="B214" s="6" t="inlineStr">
        <is>
          <t>Social Worker Benefits</t>
        </is>
      </c>
      <c r="C214" s="24" t="n">
        <v>10696.12</v>
      </c>
      <c r="D214" s="24" t="n">
        <v>3461.99</v>
      </c>
      <c r="E214" s="24" t="n">
        <v>7888.5</v>
      </c>
      <c r="F214" s="24" t="n">
        <v>10207</v>
      </c>
      <c r="G214" s="24" t="n">
        <v>10359</v>
      </c>
      <c r="H214" s="24">
        <f>G214-F214</f>
        <v/>
      </c>
      <c r="I214" s="8">
        <f>IF(F214=0,0,G214/F214-1)</f>
        <v/>
      </c>
    </row>
    <row r="215">
      <c r="A215" s="6" t="inlineStr">
        <is>
          <t>1000.2800.2110.52310.300</t>
        </is>
      </c>
      <c r="B215" s="6" t="inlineStr">
        <is>
          <t>Retirement</t>
        </is>
      </c>
      <c r="C215" s="24" t="n">
        <v>1552.98</v>
      </c>
      <c r="D215" s="24" t="n">
        <v>367.08</v>
      </c>
      <c r="E215" s="24" t="n">
        <v>1822.05</v>
      </c>
      <c r="F215" s="24" t="n">
        <v>2452</v>
      </c>
      <c r="G215" s="24" t="n">
        <v>2817</v>
      </c>
      <c r="H215" s="24">
        <f>G215-F215</f>
        <v/>
      </c>
      <c r="I215" s="8">
        <f>IF(F215=0,0,G215/F215-1)</f>
        <v/>
      </c>
    </row>
    <row r="216">
      <c r="A216" s="14" t="n"/>
      <c r="B216" s="28" t="inlineStr">
        <is>
          <t>Program 2800 Total</t>
        </is>
      </c>
      <c r="C216" s="29">
        <f>SUM(C213:C215)</f>
        <v/>
      </c>
      <c r="D216" s="29">
        <f>SUM(D213:D215)</f>
        <v/>
      </c>
      <c r="E216" s="29">
        <f>SUM(E213:E215)</f>
        <v/>
      </c>
      <c r="F216" s="29">
        <f>SUM(F213:F215)</f>
        <v/>
      </c>
      <c r="G216" s="29">
        <f>SUM(G213:G215)</f>
        <v/>
      </c>
      <c r="H216" s="29">
        <f>SUM(H213:H215)</f>
        <v/>
      </c>
      <c r="I216" s="29">
        <f>SUM(I213:I215)</f>
        <v/>
      </c>
    </row>
    <row r="217">
      <c r="A217" s="6" t="inlineStr">
        <is>
          <t>1000.2800.2140.51010.300</t>
        </is>
      </c>
      <c r="B217" s="6" t="inlineStr">
        <is>
          <t>Psychological Services Salary</t>
        </is>
      </c>
      <c r="C217" s="24" t="n">
        <v>10381.56</v>
      </c>
      <c r="D217" s="24" t="n">
        <v>18859.46</v>
      </c>
      <c r="E217" s="24" t="n">
        <v>0</v>
      </c>
      <c r="F217" s="24" t="n">
        <v>44099</v>
      </c>
      <c r="G217" s="24" t="n">
        <v>0</v>
      </c>
      <c r="H217" s="24">
        <f>G217-F217</f>
        <v/>
      </c>
      <c r="I217" s="8">
        <f>IF(F217=0,0,G217/F217-1)</f>
        <v/>
      </c>
    </row>
    <row r="218">
      <c r="A218" s="6" t="inlineStr">
        <is>
          <t>1000.2800.2140.52010.300</t>
        </is>
      </c>
      <c r="B218" s="6" t="inlineStr">
        <is>
          <t>Psych Services Benefit</t>
        </is>
      </c>
      <c r="C218" s="24" t="n">
        <v>1346.45</v>
      </c>
      <c r="D218" s="24" t="n">
        <v>452.83</v>
      </c>
      <c r="E218" s="24" t="n">
        <v>0</v>
      </c>
      <c r="F218" s="24" t="n">
        <v>5403</v>
      </c>
      <c r="G218" s="24" t="n">
        <v>0</v>
      </c>
      <c r="H218" s="24">
        <f>G218-F218</f>
        <v/>
      </c>
      <c r="I218" s="8">
        <f>IF(F218=0,0,G218/F218-1)</f>
        <v/>
      </c>
    </row>
    <row r="219">
      <c r="A219" s="6" t="inlineStr">
        <is>
          <t>1000.2800.2140.52310.300</t>
        </is>
      </c>
      <c r="B219" s="6" t="inlineStr">
        <is>
          <t>Retirement</t>
        </is>
      </c>
      <c r="C219" s="24" t="n">
        <v>432.14</v>
      </c>
      <c r="D219" s="24" t="n">
        <v>157.08</v>
      </c>
      <c r="E219" s="24" t="n">
        <v>0</v>
      </c>
      <c r="F219" s="24" t="n">
        <v>1834</v>
      </c>
      <c r="G219" s="24" t="n">
        <v>0</v>
      </c>
      <c r="H219" s="24">
        <f>G219-F219</f>
        <v/>
      </c>
      <c r="I219" s="8">
        <f>IF(F219=0,0,G219/F219-1)</f>
        <v/>
      </c>
    </row>
    <row r="220">
      <c r="A220" s="6" t="inlineStr">
        <is>
          <t>1000.2800.2140.55800.300</t>
        </is>
      </c>
      <c r="B220" s="6" t="inlineStr">
        <is>
          <t>Travel</t>
        </is>
      </c>
      <c r="C220" s="24" t="n">
        <v>6.67</v>
      </c>
      <c r="D220" s="24" t="n">
        <v>0</v>
      </c>
      <c r="E220" s="24" t="n">
        <v>20</v>
      </c>
      <c r="F220" s="24" t="n">
        <v>125</v>
      </c>
      <c r="G220" s="24" t="n">
        <v>0</v>
      </c>
      <c r="H220" s="24">
        <f>G220-F220</f>
        <v/>
      </c>
      <c r="I220" s="8">
        <f>IF(F220=0,0,G220/F220-1)</f>
        <v/>
      </c>
    </row>
    <row r="221">
      <c r="A221" s="14" t="n"/>
      <c r="B221" s="28" t="inlineStr">
        <is>
          <t>Program 2800 Total</t>
        </is>
      </c>
      <c r="C221" s="29">
        <f>SUM(C217:C220)</f>
        <v/>
      </c>
      <c r="D221" s="29">
        <f>SUM(D217:D220)</f>
        <v/>
      </c>
      <c r="E221" s="29">
        <f>SUM(E217:E220)</f>
        <v/>
      </c>
      <c r="F221" s="29">
        <f>SUM(F217:F220)</f>
        <v/>
      </c>
      <c r="G221" s="29">
        <f>SUM(G217:G220)</f>
        <v/>
      </c>
      <c r="H221" s="29">
        <f>SUM(H217:H220)</f>
        <v/>
      </c>
      <c r="I221" s="29">
        <f>SUM(I217:I220)</f>
        <v/>
      </c>
    </row>
    <row r="222">
      <c r="A222" s="6" t="inlineStr">
        <is>
          <t>1000.2800.2150.51010.300</t>
        </is>
      </c>
      <c r="B222" s="6" t="inlineStr">
        <is>
          <t>Speech &amp; Audiology Salaries</t>
        </is>
      </c>
      <c r="C222" s="24" t="n">
        <v>5496.12</v>
      </c>
      <c r="D222" s="24" t="n">
        <v>0</v>
      </c>
      <c r="E222" s="24" t="n">
        <v>40279.79</v>
      </c>
      <c r="F222" s="24" t="n">
        <v>40991</v>
      </c>
      <c r="G222" s="24" t="n">
        <v>43149</v>
      </c>
      <c r="H222" s="24">
        <f>G222-F222</f>
        <v/>
      </c>
      <c r="I222" s="8">
        <f>IF(F222=0,0,G222/F222-1)</f>
        <v/>
      </c>
    </row>
    <row r="223">
      <c r="A223" s="6" t="inlineStr">
        <is>
          <t>1000.2800.2150.52010.300</t>
        </is>
      </c>
      <c r="B223" s="6" t="inlineStr">
        <is>
          <t>Speech &amp; Audiology Benefits</t>
        </is>
      </c>
      <c r="C223" s="24" t="n">
        <v>716.76</v>
      </c>
      <c r="D223" s="24" t="n">
        <v>0</v>
      </c>
      <c r="E223" s="24" t="n">
        <v>9774.74</v>
      </c>
      <c r="F223" s="24" t="n">
        <v>10045</v>
      </c>
      <c r="G223" s="24" t="n">
        <v>8683</v>
      </c>
      <c r="H223" s="24">
        <f>G223-F223</f>
        <v/>
      </c>
      <c r="I223" s="8">
        <f>IF(F223=0,0,G223/F223-1)</f>
        <v/>
      </c>
    </row>
    <row r="224">
      <c r="A224" s="6" t="inlineStr">
        <is>
          <t>1000.2800.2150.52310.300</t>
        </is>
      </c>
      <c r="B224" s="6" t="inlineStr">
        <is>
          <t>Retirement</t>
        </is>
      </c>
      <c r="C224" s="24" t="n">
        <v>228.78</v>
      </c>
      <c r="D224" s="24" t="n">
        <v>0</v>
      </c>
      <c r="E224" s="24" t="n">
        <v>1653.94</v>
      </c>
      <c r="F224" s="24" t="n">
        <v>1139.68</v>
      </c>
      <c r="G224" s="24" t="n">
        <v>1928</v>
      </c>
      <c r="H224" s="24">
        <f>G224-F224</f>
        <v/>
      </c>
      <c r="I224" s="8">
        <f>IF(F224=0,0,G224/F224-1)</f>
        <v/>
      </c>
    </row>
    <row r="225">
      <c r="A225" s="14" t="n"/>
      <c r="B225" s="28" t="inlineStr">
        <is>
          <t>Program 2800 Total</t>
        </is>
      </c>
      <c r="C225" s="29">
        <f>SUM(C222:C224)</f>
        <v/>
      </c>
      <c r="D225" s="29">
        <f>SUM(D222:D224)</f>
        <v/>
      </c>
      <c r="E225" s="29">
        <f>SUM(E222:E224)</f>
        <v/>
      </c>
      <c r="F225" s="29">
        <f>SUM(F222:F224)</f>
        <v/>
      </c>
      <c r="G225" s="29">
        <f>SUM(G222:G224)</f>
        <v/>
      </c>
      <c r="H225" s="29">
        <f>SUM(H222:H224)</f>
        <v/>
      </c>
      <c r="I225" s="29">
        <f>SUM(I222:I224)</f>
        <v/>
      </c>
    </row>
    <row r="226">
      <c r="A226" s="6" t="inlineStr">
        <is>
          <t>1000.2800.2160.51010.300</t>
        </is>
      </c>
      <c r="B226" s="6" t="inlineStr">
        <is>
          <t>OT Salary</t>
        </is>
      </c>
      <c r="C226" s="24" t="n">
        <v>5369.53</v>
      </c>
      <c r="D226" s="24" t="n">
        <v>5069.5</v>
      </c>
      <c r="E226" s="24" t="n">
        <v>6068.93</v>
      </c>
      <c r="F226" s="24" t="n">
        <v>6439</v>
      </c>
      <c r="G226" s="24" t="n">
        <v>6901</v>
      </c>
      <c r="H226" s="24">
        <f>G226-F226</f>
        <v/>
      </c>
      <c r="I226" s="8">
        <f>IF(F226=0,0,G226/F226-1)</f>
        <v/>
      </c>
    </row>
    <row r="227">
      <c r="A227" s="6" t="inlineStr">
        <is>
          <t>1000.2800.2160.52010.300</t>
        </is>
      </c>
      <c r="B227" s="6" t="inlineStr">
        <is>
          <t>OT Benefits</t>
        </is>
      </c>
      <c r="C227" s="24" t="n">
        <v>99.34999999999999</v>
      </c>
      <c r="D227" s="24" t="n">
        <v>16.04</v>
      </c>
      <c r="E227" s="24" t="n">
        <v>479.65</v>
      </c>
      <c r="F227" s="24" t="n">
        <v>494</v>
      </c>
      <c r="G227" s="24" t="n">
        <v>504</v>
      </c>
      <c r="H227" s="24">
        <f>G227-F227</f>
        <v/>
      </c>
      <c r="I227" s="8">
        <f>IF(F227=0,0,G227/F227-1)</f>
        <v/>
      </c>
    </row>
    <row r="228">
      <c r="A228" s="6" t="inlineStr">
        <is>
          <t>1000.2800.2160.52310.300</t>
        </is>
      </c>
      <c r="B228" s="6" t="inlineStr">
        <is>
          <t>Retirement</t>
        </is>
      </c>
      <c r="C228" s="24" t="n">
        <v>223.35</v>
      </c>
      <c r="D228" s="24" t="n">
        <v>54.48</v>
      </c>
      <c r="E228" s="24" t="n">
        <v>241.89</v>
      </c>
      <c r="F228" s="24" t="n">
        <v>267</v>
      </c>
      <c r="G228" s="24" t="n">
        <v>308</v>
      </c>
      <c r="H228" s="24">
        <f>G228-F228</f>
        <v/>
      </c>
      <c r="I228" s="8">
        <f>IF(F228=0,0,G228/F228-1)</f>
        <v/>
      </c>
    </row>
    <row r="229">
      <c r="A229" s="6" t="inlineStr">
        <is>
          <t>1000.2800.2160.55800.300</t>
        </is>
      </c>
      <c r="B229" s="6" t="inlineStr">
        <is>
          <t>Travel</t>
        </is>
      </c>
      <c r="C229" s="24" t="n">
        <v>0</v>
      </c>
      <c r="D229" s="24" t="n">
        <v>0</v>
      </c>
      <c r="E229" s="24" t="n">
        <v>0</v>
      </c>
      <c r="F229" s="24" t="n">
        <v>125</v>
      </c>
      <c r="G229" s="24" t="n">
        <v>0</v>
      </c>
      <c r="H229" s="24">
        <f>G229-F229</f>
        <v/>
      </c>
      <c r="I229" s="8">
        <f>IF(F229=0,0,G229/F229-1)</f>
        <v/>
      </c>
    </row>
    <row r="230">
      <c r="A230" s="14" t="n"/>
      <c r="B230" s="28" t="inlineStr">
        <is>
          <t>Program 2800 Total</t>
        </is>
      </c>
      <c r="C230" s="29">
        <f>SUM(C226:C229)</f>
        <v/>
      </c>
      <c r="D230" s="29">
        <f>SUM(D226:D229)</f>
        <v/>
      </c>
      <c r="E230" s="29">
        <f>SUM(E226:E229)</f>
        <v/>
      </c>
      <c r="F230" s="29">
        <f>SUM(F226:F229)</f>
        <v/>
      </c>
      <c r="G230" s="29">
        <f>SUM(G226:G229)</f>
        <v/>
      </c>
      <c r="H230" s="29">
        <f>SUM(H226:H229)</f>
        <v/>
      </c>
      <c r="I230" s="29">
        <f>SUM(I226:I229)</f>
        <v/>
      </c>
    </row>
    <row r="231">
      <c r="A231" s="14" t="n"/>
      <c r="B231" s="17" t="inlineStr">
        <is>
          <t>Cost Center ('300',) Total</t>
        </is>
      </c>
      <c r="C231" s="32">
        <f>C212+C216+C221+C225+C230</f>
        <v/>
      </c>
      <c r="D231" s="32">
        <f>D212+D216+D221+D225+D230</f>
        <v/>
      </c>
      <c r="E231" s="32">
        <f>E212+E216+E221+E225+E230</f>
        <v/>
      </c>
      <c r="F231" s="32">
        <f>F212+F216+F221+F225+F230</f>
        <v/>
      </c>
      <c r="G231" s="32">
        <f>G212+G216+G221+G225+G230</f>
        <v/>
      </c>
      <c r="H231" s="32">
        <f>H212+H216+H221+H225+H230</f>
        <v/>
      </c>
      <c r="I231" s="32">
        <f>I212+I216+I221+I225+I230</f>
        <v/>
      </c>
    </row>
    <row r="233">
      <c r="A233" s="3" t="inlineStr">
        <is>
          <t>Cost Center: ('900',)</t>
        </is>
      </c>
    </row>
    <row r="234">
      <c r="A234" s="6" t="inlineStr">
        <is>
          <t>1000.2800.2110.55800.900</t>
        </is>
      </c>
      <c r="B234" s="6" t="inlineStr">
        <is>
          <t>Social Worker Travel</t>
        </is>
      </c>
      <c r="C234" s="24" t="n">
        <v>0</v>
      </c>
      <c r="D234" s="24" t="n">
        <v>0</v>
      </c>
      <c r="E234" s="24" t="n">
        <v>0</v>
      </c>
      <c r="F234" s="24" t="n">
        <v>0</v>
      </c>
      <c r="G234" s="24" t="n">
        <v>300</v>
      </c>
      <c r="H234" s="24">
        <f>G234-F234</f>
        <v/>
      </c>
      <c r="I234" s="8">
        <f>IF(F234=0,0,G234/F234-1)</f>
        <v/>
      </c>
    </row>
    <row r="235">
      <c r="A235" s="6" t="inlineStr">
        <is>
          <t>1000.2800.2140.55800.900</t>
        </is>
      </c>
      <c r="B235" s="6" t="inlineStr">
        <is>
          <t>Psychologist Travel - District Wide</t>
        </is>
      </c>
      <c r="C235" s="24" t="n">
        <v>0</v>
      </c>
      <c r="D235" s="24" t="n">
        <v>0</v>
      </c>
      <c r="E235" s="24" t="n">
        <v>0</v>
      </c>
      <c r="F235" s="24" t="n">
        <v>0</v>
      </c>
      <c r="G235" s="24" t="n">
        <v>1785</v>
      </c>
      <c r="H235" s="24">
        <f>G235-F235</f>
        <v/>
      </c>
      <c r="I235" s="8">
        <f>IF(F235=0,0,G235/F235-1)</f>
        <v/>
      </c>
    </row>
    <row r="236">
      <c r="A236" s="6" t="inlineStr">
        <is>
          <t>1000.2800.2150.55800.900</t>
        </is>
      </c>
      <c r="B236" s="6" t="inlineStr">
        <is>
          <t>Travel - Speech District Wide</t>
        </is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375</v>
      </c>
      <c r="H236" s="24">
        <f>G236-F236</f>
        <v/>
      </c>
      <c r="I236" s="8">
        <f>IF(F236=0,0,G236/F236-1)</f>
        <v/>
      </c>
    </row>
    <row r="237">
      <c r="A237" s="6" t="inlineStr">
        <is>
          <t>1000.2800.2160.55800.900</t>
        </is>
      </c>
      <c r="B237" s="6" t="inlineStr">
        <is>
          <t>Travel - OT - District Wide</t>
        </is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835</v>
      </c>
      <c r="H237" s="24">
        <f>G237-F237</f>
        <v/>
      </c>
      <c r="I237" s="8">
        <f>IF(F237=0,0,G237/F237-1)</f>
        <v/>
      </c>
    </row>
    <row r="238">
      <c r="A238" s="6" t="inlineStr">
        <is>
          <t>1000.2800.2170.55800.900</t>
        </is>
      </c>
      <c r="B238" s="6" t="inlineStr">
        <is>
          <t>Travel - PT - District Wide</t>
        </is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500</v>
      </c>
      <c r="H238" s="24">
        <f>G238-F238</f>
        <v/>
      </c>
      <c r="I238" s="8">
        <f>IF(F238=0,0,G238/F238-1)</f>
        <v/>
      </c>
    </row>
    <row r="239">
      <c r="A239" s="6" t="inlineStr">
        <is>
          <t>1000.2800.2190.51010.900</t>
        </is>
      </c>
      <c r="B239" s="6" t="inlineStr">
        <is>
          <t>BCBA Salary</t>
        </is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70000</v>
      </c>
      <c r="H239" s="24">
        <f>G239-F239</f>
        <v/>
      </c>
      <c r="I239" s="8">
        <f>IF(F239=0,0,G239/F239-1)</f>
        <v/>
      </c>
    </row>
    <row r="240">
      <c r="A240" s="6" t="inlineStr">
        <is>
          <t>1000.2800.2190.52010.900</t>
        </is>
      </c>
      <c r="B240" s="6" t="inlineStr">
        <is>
          <t>BCBA Benefits</t>
        </is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18000</v>
      </c>
      <c r="H240" s="24">
        <f>G240-F240</f>
        <v/>
      </c>
      <c r="I240" s="8">
        <f>IF(F240=0,0,G240/F240-1)</f>
        <v/>
      </c>
    </row>
    <row r="241">
      <c r="A241" s="6" t="inlineStr">
        <is>
          <t>1000.2800.2190.52310.900</t>
        </is>
      </c>
      <c r="B241" s="6" t="inlineStr">
        <is>
          <t>BCBA Retirement</t>
        </is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2000</v>
      </c>
      <c r="H241" s="24">
        <f>G241-F241</f>
        <v/>
      </c>
      <c r="I241" s="8">
        <f>IF(F241=0,0,G241/F241-1)</f>
        <v/>
      </c>
    </row>
    <row r="242">
      <c r="A242" s="14" t="n"/>
      <c r="B242" s="28" t="inlineStr">
        <is>
          <t>Program 2800 Total</t>
        </is>
      </c>
      <c r="C242" s="29">
        <f>SUM(C239:C241)</f>
        <v/>
      </c>
      <c r="D242" s="29">
        <f>SUM(D239:D241)</f>
        <v/>
      </c>
      <c r="E242" s="29">
        <f>SUM(E239:E241)</f>
        <v/>
      </c>
      <c r="F242" s="29">
        <f>SUM(F239:F241)</f>
        <v/>
      </c>
      <c r="G242" s="29">
        <f>SUM(G239:G241)</f>
        <v/>
      </c>
      <c r="H242" s="29">
        <f>SUM(H239:H241)</f>
        <v/>
      </c>
      <c r="I242" s="29">
        <f>SUM(I239:I241)</f>
        <v/>
      </c>
    </row>
    <row r="243">
      <c r="A243" s="6" t="inlineStr">
        <is>
          <t>1000.2500.2330.51010.900</t>
        </is>
      </c>
      <c r="B243" s="6" t="inlineStr">
        <is>
          <t>Instructional Strategist Salaries $125,550.70</t>
        </is>
      </c>
      <c r="C243" s="24" t="n">
        <v>216539.46</v>
      </c>
      <c r="D243" s="24" t="n">
        <v>233936.1</v>
      </c>
      <c r="E243" s="24" t="n">
        <v>251065</v>
      </c>
      <c r="F243" s="24" t="n">
        <v>252471</v>
      </c>
      <c r="G243" s="24" t="n">
        <v>1406</v>
      </c>
      <c r="H243" s="24">
        <f>G243-F243</f>
        <v/>
      </c>
      <c r="I243" s="8">
        <f>IF(F243=0,0,G243/F243-1)</f>
        <v/>
      </c>
    </row>
    <row r="244">
      <c r="A244" s="6" t="inlineStr">
        <is>
          <t>1000.2500.2330.51040.900</t>
        </is>
      </c>
      <c r="B244" s="6" t="inlineStr">
        <is>
          <t>Admin Salaries</t>
        </is>
      </c>
      <c r="C244" s="24" t="n">
        <v>128978.98</v>
      </c>
      <c r="D244" s="24" t="n">
        <v>136213.02</v>
      </c>
      <c r="E244" s="24" t="n">
        <v>140837.68</v>
      </c>
      <c r="F244" s="24" t="n">
        <v>136873</v>
      </c>
      <c r="G244" s="24" t="n">
        <v>126000</v>
      </c>
      <c r="H244" s="24">
        <f>G244-F244</f>
        <v/>
      </c>
      <c r="I244" s="8">
        <f>IF(F244=0,0,G244/F244-1)</f>
        <v/>
      </c>
    </row>
    <row r="245">
      <c r="A245" s="6" t="inlineStr">
        <is>
          <t>1000.2500.2330.51180.900</t>
        </is>
      </c>
      <c r="B245" s="6" t="inlineStr">
        <is>
          <t>Support Wages</t>
        </is>
      </c>
      <c r="C245" s="24" t="n">
        <v>47660.85</v>
      </c>
      <c r="D245" s="24" t="n">
        <v>51839.29</v>
      </c>
      <c r="E245" s="24" t="n">
        <v>52079.65</v>
      </c>
      <c r="F245" s="24" t="n">
        <v>55080</v>
      </c>
      <c r="G245" s="24" t="n">
        <v>53040</v>
      </c>
      <c r="H245" s="24">
        <f>G245-F245</f>
        <v/>
      </c>
      <c r="I245" s="8">
        <f>IF(F245=0,0,G245/F245-1)</f>
        <v/>
      </c>
    </row>
    <row r="246">
      <c r="A246" s="6" t="inlineStr">
        <is>
          <t>1000.2500.2330.51230.900</t>
        </is>
      </c>
      <c r="B246" s="6" t="inlineStr">
        <is>
          <t>Substitutes</t>
        </is>
      </c>
      <c r="C246" s="24" t="n">
        <v>0</v>
      </c>
      <c r="D246" s="24" t="n">
        <v>38214.28</v>
      </c>
      <c r="E246" s="24" t="n">
        <v>0</v>
      </c>
      <c r="F246" s="24" t="n">
        <v>15000</v>
      </c>
      <c r="G246" s="24" t="n">
        <v>0</v>
      </c>
      <c r="H246" s="24">
        <f>G246-F246</f>
        <v/>
      </c>
      <c r="I246" s="8">
        <f>IF(F246=0,0,G246/F246-1)</f>
        <v/>
      </c>
    </row>
    <row r="247">
      <c r="A247" s="6" t="inlineStr">
        <is>
          <t>1000.2500.2330.52010.900</t>
        </is>
      </c>
      <c r="B247" s="6" t="inlineStr">
        <is>
          <t>Instructional Strategist Benefits $11,664.91</t>
        </is>
      </c>
      <c r="C247" s="24" t="n">
        <v>6907.35</v>
      </c>
      <c r="D247" s="24" t="n">
        <v>35279.24</v>
      </c>
      <c r="E247" s="24" t="n">
        <v>41666</v>
      </c>
      <c r="F247" s="24" t="n">
        <v>34071</v>
      </c>
      <c r="G247" s="24" t="n">
        <v>-7595</v>
      </c>
      <c r="H247" s="24">
        <f>G247-F247</f>
        <v/>
      </c>
      <c r="I247" s="8">
        <f>IF(F247=0,0,G247/F247-1)</f>
        <v/>
      </c>
    </row>
    <row r="248">
      <c r="A248" s="6" t="inlineStr">
        <is>
          <t>1000.2500.2330.52030.900</t>
        </is>
      </c>
      <c r="B248" s="6" t="inlineStr">
        <is>
          <t>Sub Benefits</t>
        </is>
      </c>
      <c r="C248" s="24" t="n">
        <v>0</v>
      </c>
      <c r="D248" s="24" t="n">
        <v>76.88</v>
      </c>
      <c r="E248" s="24" t="n">
        <v>0</v>
      </c>
      <c r="F248" s="24" t="n">
        <v>750</v>
      </c>
      <c r="G248" s="24" t="n">
        <v>0</v>
      </c>
      <c r="H248" s="24">
        <f>G248-F248</f>
        <v/>
      </c>
      <c r="I248" s="8">
        <f>IF(F248=0,0,G248/F248-1)</f>
        <v/>
      </c>
    </row>
    <row r="249">
      <c r="A249" s="6" t="inlineStr">
        <is>
          <t>1000.2500.2330.52040.900</t>
        </is>
      </c>
      <c r="B249" s="6" t="inlineStr">
        <is>
          <t>Admin Benefits</t>
        </is>
      </c>
      <c r="C249" s="24" t="n">
        <v>6324.46</v>
      </c>
      <c r="D249" s="24" t="n">
        <v>4452.26</v>
      </c>
      <c r="E249" s="24" t="n">
        <v>9004.299999999999</v>
      </c>
      <c r="F249" s="24" t="n">
        <v>9679</v>
      </c>
      <c r="G249" s="24" t="n">
        <v>18114</v>
      </c>
      <c r="H249" s="24">
        <f>G249-F249</f>
        <v/>
      </c>
      <c r="I249" s="8">
        <f>IF(F249=0,0,G249/F249-1)</f>
        <v/>
      </c>
    </row>
    <row r="250">
      <c r="A250" s="6" t="inlineStr">
        <is>
          <t>1000.2500.2330.52080.900</t>
        </is>
      </c>
      <c r="B250" s="6" t="inlineStr">
        <is>
          <t>Support Benefits</t>
        </is>
      </c>
      <c r="C250" s="24" t="n">
        <v>17785.41</v>
      </c>
      <c r="D250" s="24" t="n">
        <v>19924.26</v>
      </c>
      <c r="E250" s="24" t="n">
        <v>22128.95</v>
      </c>
      <c r="F250" s="24" t="n">
        <v>23099</v>
      </c>
      <c r="G250" s="24" t="n">
        <v>22240</v>
      </c>
      <c r="H250" s="24">
        <f>G250-F250</f>
        <v/>
      </c>
      <c r="I250" s="8">
        <f>IF(F250=0,0,G250/F250-1)</f>
        <v/>
      </c>
    </row>
    <row r="251">
      <c r="A251" s="6" t="inlineStr">
        <is>
          <t>1000.2500.2330.52310.900</t>
        </is>
      </c>
      <c r="B251" s="6" t="inlineStr">
        <is>
          <t>Retirement</t>
        </is>
      </c>
      <c r="C251" s="24" t="n">
        <v>5213</v>
      </c>
      <c r="D251" s="24" t="n">
        <v>1243.02</v>
      </c>
      <c r="E251" s="24" t="n">
        <v>9522.469999999999</v>
      </c>
      <c r="F251" s="24" t="n">
        <v>5693</v>
      </c>
      <c r="G251" s="24" t="n">
        <v>11285</v>
      </c>
      <c r="H251" s="24">
        <f>G251-F251</f>
        <v/>
      </c>
      <c r="I251" s="8">
        <f>IF(F251=0,0,G251/F251-1)</f>
        <v/>
      </c>
    </row>
    <row r="252">
      <c r="A252" s="6" t="inlineStr">
        <is>
          <t>1000.2500.2330.52330.900</t>
        </is>
      </c>
      <c r="B252" s="6" t="inlineStr">
        <is>
          <t>Retirement</t>
        </is>
      </c>
      <c r="C252" s="24" t="n">
        <v>0</v>
      </c>
      <c r="D252" s="24" t="n">
        <v>512.59</v>
      </c>
      <c r="E252" s="24" t="n">
        <v>0</v>
      </c>
      <c r="F252" s="24" t="n">
        <v>624</v>
      </c>
      <c r="G252" s="24" t="n">
        <v>0</v>
      </c>
      <c r="H252" s="24">
        <f>G252-F252</f>
        <v/>
      </c>
      <c r="I252" s="8">
        <f>IF(F252=0,0,G252/F252-1)</f>
        <v/>
      </c>
    </row>
    <row r="253">
      <c r="A253" s="6" t="inlineStr">
        <is>
          <t>1000.2500.2330.52340.900</t>
        </is>
      </c>
      <c r="B253" s="6" t="inlineStr">
        <is>
          <t>Retirement</t>
        </is>
      </c>
      <c r="C253" s="24" t="n">
        <v>5365.62</v>
      </c>
      <c r="D253" s="24" t="n">
        <v>2096.8</v>
      </c>
      <c r="E253" s="24" t="n">
        <v>5637.1</v>
      </c>
      <c r="F253" s="24" t="n">
        <v>0</v>
      </c>
      <c r="G253" s="24" t="n">
        <v>5857</v>
      </c>
      <c r="H253" s="24">
        <f>G253-F253</f>
        <v/>
      </c>
      <c r="I253" s="8">
        <f>IF(F253=0,0,G253/F253-1)</f>
        <v/>
      </c>
    </row>
    <row r="254">
      <c r="A254" s="6" t="inlineStr">
        <is>
          <t>1000.2500.2330.52380.900</t>
        </is>
      </c>
      <c r="B254" s="6" t="inlineStr">
        <is>
          <t>Retirement</t>
        </is>
      </c>
      <c r="C254" s="24" t="n">
        <v>0</v>
      </c>
      <c r="D254" s="24" t="n">
        <v>0</v>
      </c>
      <c r="E254" s="24" t="n">
        <v>0</v>
      </c>
      <c r="F254" s="24" t="n">
        <v>0</v>
      </c>
      <c r="G254" s="24" t="n">
        <v>2652</v>
      </c>
      <c r="H254" s="24">
        <f>G254-F254</f>
        <v/>
      </c>
      <c r="I254" s="8">
        <f>IF(F254=0,0,G254/F254-1)</f>
        <v/>
      </c>
    </row>
    <row r="255">
      <c r="A255" s="6" t="inlineStr">
        <is>
          <t>1000.2500.2330.53000.900</t>
        </is>
      </c>
      <c r="B255" s="6" t="inlineStr">
        <is>
          <t>Legal</t>
        </is>
      </c>
      <c r="C255" s="24" t="n">
        <v>0</v>
      </c>
      <c r="D255" s="24" t="n">
        <v>0</v>
      </c>
      <c r="E255" s="24" t="n">
        <v>0</v>
      </c>
      <c r="F255" s="24" t="n">
        <v>0</v>
      </c>
      <c r="G255" s="24" t="n">
        <v>15000</v>
      </c>
      <c r="H255" s="24">
        <f>G255-F255</f>
        <v/>
      </c>
      <c r="I255" s="8">
        <f>IF(F255=0,0,G255/F255-1)</f>
        <v/>
      </c>
    </row>
    <row r="256">
      <c r="A256" s="6" t="inlineStr">
        <is>
          <t>1000.2500.2330.53400.900</t>
        </is>
      </c>
      <c r="B256" s="6" t="inlineStr">
        <is>
          <t>Contracted Services</t>
        </is>
      </c>
      <c r="C256" s="24" t="n">
        <v>60</v>
      </c>
      <c r="D256" s="24" t="n">
        <v>0</v>
      </c>
      <c r="E256" s="24" t="n">
        <v>13056.91</v>
      </c>
      <c r="F256" s="24" t="n">
        <v>0</v>
      </c>
      <c r="G256" s="24" t="n">
        <v>0</v>
      </c>
      <c r="H256" s="24">
        <f>G256-F256</f>
        <v/>
      </c>
      <c r="I256" s="8">
        <f>IF(F256=0,0,G256/F256-1)</f>
        <v/>
      </c>
    </row>
    <row r="257">
      <c r="A257" s="6" t="inlineStr">
        <is>
          <t>1000.2500.2330.53401.900</t>
        </is>
      </c>
      <c r="B257" s="6" t="inlineStr">
        <is>
          <t>Admin Purchased Services</t>
        </is>
      </c>
      <c r="C257" s="24" t="n">
        <v>0</v>
      </c>
      <c r="D257" s="24" t="n">
        <v>0</v>
      </c>
      <c r="E257" s="24" t="n">
        <v>0</v>
      </c>
      <c r="F257" s="24" t="n">
        <v>0</v>
      </c>
      <c r="G257" s="24" t="n">
        <v>15000</v>
      </c>
      <c r="H257" s="24">
        <f>G257-F257</f>
        <v/>
      </c>
      <c r="I257" s="8">
        <f>IF(F257=0,0,G257/F257-1)</f>
        <v/>
      </c>
    </row>
    <row r="258">
      <c r="A258" s="6" t="inlineStr">
        <is>
          <t>1000.2500.2330.53440.900</t>
        </is>
      </c>
      <c r="B258" s="6" t="inlineStr">
        <is>
          <t>Purchased Professional</t>
        </is>
      </c>
      <c r="C258" s="24" t="n">
        <v>8636.84</v>
      </c>
      <c r="D258" s="24" t="n">
        <v>1678.25</v>
      </c>
      <c r="E258" s="24" t="n">
        <v>8024.95</v>
      </c>
      <c r="F258" s="24" t="n">
        <v>15000</v>
      </c>
      <c r="G258" s="24" t="n">
        <v>0</v>
      </c>
      <c r="H258" s="24">
        <f>G258-F258</f>
        <v/>
      </c>
      <c r="I258" s="8">
        <f>IF(F258=0,0,G258/F258-1)</f>
        <v/>
      </c>
    </row>
    <row r="259">
      <c r="A259" s="6" t="inlineStr">
        <is>
          <t>1000.2500.2330.55310.900</t>
        </is>
      </c>
      <c r="B259" s="6" t="inlineStr">
        <is>
          <t>Postage</t>
        </is>
      </c>
      <c r="C259" s="24" t="n">
        <v>95.78</v>
      </c>
      <c r="D259" s="24" t="n">
        <v>89.26000000000001</v>
      </c>
      <c r="E259" s="24" t="n">
        <v>4.45</v>
      </c>
      <c r="F259" s="24" t="n">
        <v>2000</v>
      </c>
      <c r="G259" s="24" t="n">
        <v>2000</v>
      </c>
      <c r="H259" s="24">
        <f>G259-F259</f>
        <v/>
      </c>
      <c r="I259" s="8">
        <f>IF(F259=0,0,G259/F259-1)</f>
        <v/>
      </c>
    </row>
    <row r="260">
      <c r="A260" s="6" t="inlineStr">
        <is>
          <t>1000.2500.2330.55350.900</t>
        </is>
      </c>
      <c r="B260" s="6" t="inlineStr">
        <is>
          <t>Adori Special Ed Software</t>
        </is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3200</v>
      </c>
      <c r="H260" s="24">
        <f>G260-F260</f>
        <v/>
      </c>
      <c r="I260" s="8">
        <f>IF(F260=0,0,G260/F260-1)</f>
        <v/>
      </c>
    </row>
    <row r="261">
      <c r="A261" s="6" t="inlineStr">
        <is>
          <t>1000.2500.2330.55800.900</t>
        </is>
      </c>
      <c r="B261" s="6" t="inlineStr">
        <is>
          <t>Travel</t>
        </is>
      </c>
      <c r="C261" s="24" t="n">
        <v>1086.6</v>
      </c>
      <c r="D261" s="24" t="n">
        <v>2023.79</v>
      </c>
      <c r="E261" s="24" t="n">
        <v>4227.18</v>
      </c>
      <c r="F261" s="24" t="n">
        <v>10000</v>
      </c>
      <c r="G261" s="24" t="n">
        <v>6000</v>
      </c>
      <c r="H261" s="24">
        <f>G261-F261</f>
        <v/>
      </c>
      <c r="I261" s="8">
        <f>IF(F261=0,0,G261/F261-1)</f>
        <v/>
      </c>
    </row>
    <row r="262">
      <c r="A262" s="6" t="inlineStr">
        <is>
          <t>1000.2500.2330.56000.900</t>
        </is>
      </c>
      <c r="B262" s="6" t="inlineStr">
        <is>
          <t>Supplies</t>
        </is>
      </c>
      <c r="C262" s="24" t="n">
        <v>4277.11</v>
      </c>
      <c r="D262" s="24" t="n">
        <v>76.13</v>
      </c>
      <c r="E262" s="24" t="n">
        <v>1070.16</v>
      </c>
      <c r="F262" s="24" t="n">
        <v>1300</v>
      </c>
      <c r="G262" s="24" t="n">
        <v>4300</v>
      </c>
      <c r="H262" s="24">
        <f>G262-F262</f>
        <v/>
      </c>
      <c r="I262" s="8">
        <f>IF(F262=0,0,G262/F262-1)</f>
        <v/>
      </c>
    </row>
    <row r="263">
      <c r="A263" s="6" t="inlineStr">
        <is>
          <t>1000.2500.2330.58100.900</t>
        </is>
      </c>
      <c r="B263" s="6" t="inlineStr">
        <is>
          <t>Dues &amp; Fees</t>
        </is>
      </c>
      <c r="C263" s="24" t="n">
        <v>1403.76</v>
      </c>
      <c r="D263" s="24" t="n">
        <v>210.82</v>
      </c>
      <c r="E263" s="24" t="n">
        <v>0</v>
      </c>
      <c r="F263" s="24" t="n">
        <v>600</v>
      </c>
      <c r="G263" s="24" t="n">
        <v>650</v>
      </c>
      <c r="H263" s="24">
        <f>G263-F263</f>
        <v/>
      </c>
      <c r="I263" s="8">
        <f>IF(F263=0,0,G263/F263-1)</f>
        <v/>
      </c>
    </row>
    <row r="264">
      <c r="A264" s="6" t="inlineStr">
        <is>
          <t>1000.2500.2330.59000.900</t>
        </is>
      </c>
      <c r="B264" s="6" t="inlineStr">
        <is>
          <t>Contingency</t>
        </is>
      </c>
      <c r="C264" s="24" t="n">
        <v>0</v>
      </c>
      <c r="D264" s="24" t="n">
        <v>0</v>
      </c>
      <c r="E264" s="24" t="n">
        <v>0</v>
      </c>
      <c r="F264" s="24" t="n">
        <v>40000</v>
      </c>
      <c r="G264" s="24" t="n">
        <v>40000</v>
      </c>
      <c r="H264" s="24">
        <f>G264-F264</f>
        <v/>
      </c>
      <c r="I264" s="8">
        <f>IF(F264=0,0,G264/F264-1)</f>
        <v/>
      </c>
    </row>
    <row r="265">
      <c r="A265" s="14" t="n"/>
      <c r="B265" s="28" t="inlineStr">
        <is>
          <t>Program 2500 Total</t>
        </is>
      </c>
      <c r="C265" s="29">
        <f>SUM(C243:C264)</f>
        <v/>
      </c>
      <c r="D265" s="29">
        <f>SUM(D243:D264)</f>
        <v/>
      </c>
      <c r="E265" s="29">
        <f>SUM(E243:E264)</f>
        <v/>
      </c>
      <c r="F265" s="29">
        <f>SUM(F243:F264)</f>
        <v/>
      </c>
      <c r="G265" s="29">
        <f>SUM(G243:G264)</f>
        <v/>
      </c>
      <c r="H265" s="29">
        <f>SUM(H243:H264)</f>
        <v/>
      </c>
      <c r="I265" s="29">
        <f>SUM(I243:I264)</f>
        <v/>
      </c>
    </row>
    <row r="266">
      <c r="A266" s="14" t="n"/>
      <c r="B266" s="17" t="inlineStr">
        <is>
          <t>Cost Center ('900',) Total</t>
        </is>
      </c>
      <c r="C266" s="32">
        <f>C242+C265</f>
        <v/>
      </c>
      <c r="D266" s="32">
        <f>D242+D265</f>
        <v/>
      </c>
      <c r="E266" s="32">
        <f>E242+E265</f>
        <v/>
      </c>
      <c r="F266" s="32">
        <f>F242+F265</f>
        <v/>
      </c>
      <c r="G266" s="32">
        <f>G242+G265</f>
        <v/>
      </c>
      <c r="H266" s="32">
        <f>H242+H265</f>
        <v/>
      </c>
      <c r="I266" s="32">
        <f>I242+I265</f>
        <v/>
      </c>
    </row>
    <row r="268">
      <c r="A268" s="3" t="inlineStr">
        <is>
          <t>Cost Center: ('950',)</t>
        </is>
      </c>
    </row>
    <row r="269">
      <c r="A269" s="6" t="inlineStr">
        <is>
          <t>1000.2100.1000.51210.950</t>
        </is>
      </c>
      <c r="B269" s="6" t="inlineStr">
        <is>
          <t>Tutor Salaries/ESY</t>
        </is>
      </c>
      <c r="C269" s="24" t="n">
        <v>7185</v>
      </c>
      <c r="D269" s="24" t="n">
        <v>6359.06</v>
      </c>
      <c r="E269" s="24" t="n">
        <v>16109.23</v>
      </c>
      <c r="F269" s="24" t="n">
        <v>18000</v>
      </c>
      <c r="G269" s="24" t="n">
        <v>18000</v>
      </c>
      <c r="H269" s="24">
        <f>G269-F269</f>
        <v/>
      </c>
      <c r="I269" s="8">
        <f>IF(F269=0,0,G269/F269-1)</f>
        <v/>
      </c>
    </row>
    <row r="270">
      <c r="A270" s="6" t="inlineStr">
        <is>
          <t>1000.2100.1000.52010.950</t>
        </is>
      </c>
      <c r="B270" s="6" t="inlineStr">
        <is>
          <t>Benefit</t>
        </is>
      </c>
      <c r="C270" s="24" t="n">
        <v>189.88</v>
      </c>
      <c r="D270" s="24" t="n">
        <v>1153.53</v>
      </c>
      <c r="E270" s="24" t="n">
        <v>388.17</v>
      </c>
      <c r="F270" s="24" t="n">
        <v>0</v>
      </c>
      <c r="G270" s="24" t="n">
        <v>0</v>
      </c>
      <c r="H270" s="24">
        <f>G270-F270</f>
        <v/>
      </c>
      <c r="I270" s="8">
        <f>IF(F270=0,0,G270/F270-1)</f>
        <v/>
      </c>
    </row>
    <row r="271">
      <c r="A271" s="6" t="inlineStr">
        <is>
          <t>1000.2100.1000.52030.950</t>
        </is>
      </c>
      <c r="B271" s="6" t="inlineStr">
        <is>
          <t>Benefits</t>
        </is>
      </c>
      <c r="C271" s="24" t="n">
        <v>0</v>
      </c>
      <c r="D271" s="24" t="n">
        <v>0</v>
      </c>
      <c r="E271" s="24" t="n">
        <v>0</v>
      </c>
      <c r="F271" s="24" t="n">
        <v>900</v>
      </c>
      <c r="G271" s="24" t="n">
        <v>900</v>
      </c>
      <c r="H271" s="24">
        <f>G271-F271</f>
        <v/>
      </c>
      <c r="I271" s="8">
        <f>IF(F271=0,0,G271/F271-1)</f>
        <v/>
      </c>
    </row>
    <row r="272">
      <c r="A272" s="6" t="inlineStr">
        <is>
          <t>1000.2100.1000.52310.950</t>
        </is>
      </c>
      <c r="B272" s="6" t="inlineStr">
        <is>
          <t>Retirement</t>
        </is>
      </c>
      <c r="C272" s="24" t="n">
        <v>376.26</v>
      </c>
      <c r="D272" s="24" t="n">
        <v>168.76</v>
      </c>
      <c r="E272" s="24" t="n">
        <v>560.09</v>
      </c>
      <c r="F272" s="24" t="n">
        <v>0</v>
      </c>
      <c r="G272" s="24" t="n">
        <v>0</v>
      </c>
      <c r="H272" s="24">
        <f>G272-F272</f>
        <v/>
      </c>
      <c r="I272" s="8">
        <f>IF(F272=0,0,G272/F272-1)</f>
        <v/>
      </c>
    </row>
    <row r="273">
      <c r="A273" s="6" t="inlineStr">
        <is>
          <t>1000.2100.1000.52330.950</t>
        </is>
      </c>
      <c r="B273" s="6" t="inlineStr">
        <is>
          <t>Retirement</t>
        </is>
      </c>
      <c r="C273" s="24" t="n">
        <v>0</v>
      </c>
      <c r="D273" s="24" t="n">
        <v>0</v>
      </c>
      <c r="E273" s="24" t="n">
        <v>0</v>
      </c>
      <c r="F273" s="24" t="n">
        <v>714</v>
      </c>
      <c r="G273" s="24" t="n">
        <v>714</v>
      </c>
      <c r="H273" s="24">
        <f>G273-F273</f>
        <v/>
      </c>
      <c r="I273" s="8">
        <f>IF(F273=0,0,G273/F273-1)</f>
        <v/>
      </c>
    </row>
    <row r="274">
      <c r="A274" s="6" t="inlineStr">
        <is>
          <t>1000.2100.1000.53440.950</t>
        </is>
      </c>
      <c r="B274" s="6" t="inlineStr">
        <is>
          <t>Purchased Professional</t>
        </is>
      </c>
      <c r="C274" s="24" t="n">
        <v>863.62</v>
      </c>
      <c r="D274" s="24" t="n">
        <v>1472.75</v>
      </c>
      <c r="E274" s="24" t="n">
        <v>5774.55</v>
      </c>
      <c r="F274" s="24" t="n">
        <v>1000</v>
      </c>
      <c r="G274" s="24" t="n">
        <v>1000</v>
      </c>
      <c r="H274" s="24">
        <f>G274-F274</f>
        <v/>
      </c>
      <c r="I274" s="8">
        <f>IF(F274=0,0,G274/F274-1)</f>
        <v/>
      </c>
    </row>
    <row r="275">
      <c r="A275" s="14" t="n"/>
      <c r="B275" s="28" t="inlineStr">
        <is>
          <t>Program 2100 Total</t>
        </is>
      </c>
      <c r="C275" s="29">
        <f>SUM(C269:C274)</f>
        <v/>
      </c>
      <c r="D275" s="29">
        <f>SUM(D269:D274)</f>
        <v/>
      </c>
      <c r="E275" s="29">
        <f>SUM(E269:E274)</f>
        <v/>
      </c>
      <c r="F275" s="29">
        <f>SUM(F269:F274)</f>
        <v/>
      </c>
      <c r="G275" s="29">
        <f>SUM(G269:G274)</f>
        <v/>
      </c>
      <c r="H275" s="29">
        <f>SUM(H269:H274)</f>
        <v/>
      </c>
      <c r="I275" s="29">
        <f>SUM(I269:I274)</f>
        <v/>
      </c>
    </row>
    <row r="276">
      <c r="A276" s="6" t="inlineStr">
        <is>
          <t>1000.2800.2140.51010.950</t>
        </is>
      </c>
      <c r="B276" s="6" t="inlineStr">
        <is>
          <t>Psychological Services Salary K-8</t>
        </is>
      </c>
      <c r="C276" s="24" t="n">
        <v>0</v>
      </c>
      <c r="D276" s="24" t="n">
        <v>0</v>
      </c>
      <c r="E276" s="24" t="n">
        <v>68177.03999999999</v>
      </c>
      <c r="F276" s="24" t="n">
        <v>98339</v>
      </c>
      <c r="G276" s="24" t="n">
        <v>74489</v>
      </c>
      <c r="H276" s="24">
        <f>G276-F276</f>
        <v/>
      </c>
      <c r="I276" s="8">
        <f>IF(F276=0,0,G276/F276-1)</f>
        <v/>
      </c>
    </row>
    <row r="277">
      <c r="A277" s="6" t="inlineStr">
        <is>
          <t>1000.2800.2140.52010.950</t>
        </is>
      </c>
      <c r="B277" s="6" t="inlineStr">
        <is>
          <t>Psych Services Benefit</t>
        </is>
      </c>
      <c r="C277" s="24" t="n">
        <v>0</v>
      </c>
      <c r="D277" s="24" t="n">
        <v>0</v>
      </c>
      <c r="E277" s="24" t="n">
        <v>10011.07</v>
      </c>
      <c r="F277" s="24" t="n">
        <v>15504</v>
      </c>
      <c r="G277" s="24" t="n">
        <v>11161</v>
      </c>
      <c r="H277" s="24">
        <f>G277-F277</f>
        <v/>
      </c>
      <c r="I277" s="8">
        <f>IF(F277=0,0,G277/F277-1)</f>
        <v/>
      </c>
    </row>
    <row r="278">
      <c r="A278" s="6" t="inlineStr">
        <is>
          <t>1000.2800.2140.52310.950</t>
        </is>
      </c>
      <c r="B278" s="6" t="inlineStr">
        <is>
          <t>Retirement</t>
        </is>
      </c>
      <c r="C278" s="24" t="n">
        <v>0</v>
      </c>
      <c r="D278" s="24" t="n">
        <v>0</v>
      </c>
      <c r="E278" s="24" t="n">
        <v>2618.01</v>
      </c>
      <c r="F278" s="24" t="n">
        <v>4090</v>
      </c>
      <c r="G278" s="24" t="n">
        <v>3330</v>
      </c>
      <c r="H278" s="24">
        <f>G278-F278</f>
        <v/>
      </c>
      <c r="I278" s="8">
        <f>IF(F278=0,0,G278/F278-1)</f>
        <v/>
      </c>
    </row>
    <row r="279">
      <c r="A279" s="6" t="inlineStr">
        <is>
          <t>1000.2800.2140.55800.950</t>
        </is>
      </c>
      <c r="B279" s="6" t="inlineStr">
        <is>
          <t>Travel</t>
        </is>
      </c>
      <c r="C279" s="24" t="n">
        <v>0</v>
      </c>
      <c r="D279" s="24" t="n">
        <v>0</v>
      </c>
      <c r="E279" s="24" t="n">
        <v>0</v>
      </c>
      <c r="F279" s="24" t="n">
        <v>580</v>
      </c>
      <c r="G279" s="24" t="n">
        <v>0</v>
      </c>
      <c r="H279" s="24">
        <f>G279-F279</f>
        <v/>
      </c>
      <c r="I279" s="8">
        <f>IF(F279=0,0,G279/F279-1)</f>
        <v/>
      </c>
    </row>
    <row r="280">
      <c r="A280" s="14" t="n"/>
      <c r="B280" s="28" t="inlineStr">
        <is>
          <t>Program 2800 Total</t>
        </is>
      </c>
      <c r="C280" s="29">
        <f>SUM(C276:C279)</f>
        <v/>
      </c>
      <c r="D280" s="29">
        <f>SUM(D276:D279)</f>
        <v/>
      </c>
      <c r="E280" s="29">
        <f>SUM(E276:E279)</f>
        <v/>
      </c>
      <c r="F280" s="29">
        <f>SUM(F276:F279)</f>
        <v/>
      </c>
      <c r="G280" s="29">
        <f>SUM(G276:G279)</f>
        <v/>
      </c>
      <c r="H280" s="29">
        <f>SUM(H276:H279)</f>
        <v/>
      </c>
      <c r="I280" s="29">
        <f>SUM(I276:I279)</f>
        <v/>
      </c>
    </row>
    <row r="281">
      <c r="A281" s="6" t="inlineStr">
        <is>
          <t>1000.2800.2170.51010.950</t>
        </is>
      </c>
      <c r="B281" s="6" t="inlineStr">
        <is>
          <t>PT Salary</t>
        </is>
      </c>
      <c r="C281" s="24" t="n">
        <v>0</v>
      </c>
      <c r="D281" s="24" t="n">
        <v>38522.39</v>
      </c>
      <c r="E281" s="24" t="n">
        <v>38425.23</v>
      </c>
      <c r="F281" s="24" t="n">
        <v>73607.32000000001</v>
      </c>
      <c r="G281" s="24" t="n">
        <v>60522</v>
      </c>
      <c r="H281" s="24">
        <f>G281-F281</f>
        <v/>
      </c>
      <c r="I281" s="8">
        <f>IF(F281=0,0,G281/F281-1)</f>
        <v/>
      </c>
    </row>
    <row r="282">
      <c r="A282" s="6" t="inlineStr">
        <is>
          <t>1000.2800.2170.52010.950</t>
        </is>
      </c>
      <c r="B282" s="6" t="inlineStr">
        <is>
          <t>PT Benefits</t>
        </is>
      </c>
      <c r="C282" s="24" t="n">
        <v>0</v>
      </c>
      <c r="D282" s="24" t="n">
        <v>4183.76</v>
      </c>
      <c r="E282" s="24" t="n">
        <v>10538.82</v>
      </c>
      <c r="F282" s="24" t="n">
        <v>5156</v>
      </c>
      <c r="G282" s="24" t="n">
        <v>16519</v>
      </c>
      <c r="H282" s="24">
        <f>G282-F282</f>
        <v/>
      </c>
      <c r="I282" s="8">
        <f>IF(F282=0,0,G282/F282-1)</f>
        <v/>
      </c>
    </row>
    <row r="283">
      <c r="A283" s="6" t="inlineStr">
        <is>
          <t>1000.2800.2170.52310.950</t>
        </is>
      </c>
      <c r="B283" s="6" t="inlineStr">
        <is>
          <t>PT Retirement</t>
        </is>
      </c>
      <c r="C283" s="24" t="n">
        <v>0</v>
      </c>
      <c r="D283" s="24" t="n">
        <v>351.36</v>
      </c>
      <c r="E283" s="24" t="n">
        <v>1577.76</v>
      </c>
      <c r="F283" s="24" t="n">
        <v>3062</v>
      </c>
      <c r="G283" s="24" t="n">
        <v>2705</v>
      </c>
      <c r="H283" s="24">
        <f>G283-F283</f>
        <v/>
      </c>
      <c r="I283" s="8">
        <f>IF(F283=0,0,G283/F283-1)</f>
        <v/>
      </c>
    </row>
    <row r="284">
      <c r="A284" s="6" t="inlineStr">
        <is>
          <t>1000.2800.2170.55800.950</t>
        </is>
      </c>
      <c r="B284" s="6" t="inlineStr">
        <is>
          <t>Travel</t>
        </is>
      </c>
      <c r="C284" s="24" t="n">
        <v>0</v>
      </c>
      <c r="D284" s="24" t="n">
        <v>0</v>
      </c>
      <c r="E284" s="24" t="n">
        <v>0</v>
      </c>
      <c r="F284" s="24" t="n">
        <v>500</v>
      </c>
      <c r="G284" s="24" t="n">
        <v>0</v>
      </c>
      <c r="H284" s="24">
        <f>G284-F284</f>
        <v/>
      </c>
      <c r="I284" s="8">
        <f>IF(F284=0,0,G284/F284-1)</f>
        <v/>
      </c>
    </row>
    <row r="285">
      <c r="A285" s="14" t="n"/>
      <c r="B285" s="28" t="inlineStr">
        <is>
          <t>Program 2800 Total</t>
        </is>
      </c>
      <c r="C285" s="29">
        <f>SUM(C281:C284)</f>
        <v/>
      </c>
      <c r="D285" s="29">
        <f>SUM(D281:D284)</f>
        <v/>
      </c>
      <c r="E285" s="29">
        <f>SUM(E281:E284)</f>
        <v/>
      </c>
      <c r="F285" s="29">
        <f>SUM(F281:F284)</f>
        <v/>
      </c>
      <c r="G285" s="29">
        <f>SUM(G281:G284)</f>
        <v/>
      </c>
      <c r="H285" s="29">
        <f>SUM(H281:H284)</f>
        <v/>
      </c>
      <c r="I285" s="29">
        <f>SUM(I281:I284)</f>
        <v/>
      </c>
    </row>
    <row r="286">
      <c r="A286" s="6" t="inlineStr">
        <is>
          <t>1000.2500.2330.53440.950</t>
        </is>
      </c>
      <c r="B286" s="6" t="inlineStr">
        <is>
          <t>MAINECARE SEED</t>
        </is>
      </c>
      <c r="C286" s="24" t="n">
        <v>21629.26</v>
      </c>
      <c r="D286" s="24" t="n">
        <v>9244.780000000001</v>
      </c>
      <c r="E286" s="24" t="n">
        <v>0</v>
      </c>
      <c r="F286" s="24" t="n">
        <v>65000</v>
      </c>
      <c r="G286" s="24" t="n">
        <v>65000</v>
      </c>
      <c r="H286" s="24">
        <f>G286-F286</f>
        <v/>
      </c>
      <c r="I286" s="8">
        <f>IF(F286=0,0,G286/F286-1)</f>
        <v/>
      </c>
    </row>
    <row r="287">
      <c r="A287" s="14" t="n"/>
      <c r="B287" s="17" t="inlineStr">
        <is>
          <t>Cost Center ('950',) Total</t>
        </is>
      </c>
      <c r="C287" s="32">
        <f>C275+C280+C285</f>
        <v/>
      </c>
      <c r="D287" s="32">
        <f>D275+D280+D285</f>
        <v/>
      </c>
      <c r="E287" s="32">
        <f>E275+E280+E285</f>
        <v/>
      </c>
      <c r="F287" s="32">
        <f>F275+F280+F285</f>
        <v/>
      </c>
      <c r="G287" s="32">
        <f>G275+G280+G285</f>
        <v/>
      </c>
      <c r="H287" s="32">
        <f>H275+H280+H285</f>
        <v/>
      </c>
      <c r="I287" s="32">
        <f>I275+I280+I285</f>
        <v/>
      </c>
    </row>
    <row r="289">
      <c r="A289" s="3" t="inlineStr">
        <is>
          <t>Cost Center: ('990',)</t>
        </is>
      </c>
    </row>
    <row r="290">
      <c r="A290" s="6" t="inlineStr">
        <is>
          <t>1000.2400.1000.53440.990</t>
        </is>
      </c>
      <c r="B290" s="6" t="inlineStr">
        <is>
          <t>Tutoring Services - Hospital/Homebound SEC$0.00</t>
        </is>
      </c>
      <c r="C290" s="24" t="n">
        <v>0</v>
      </c>
      <c r="D290" s="24" t="n">
        <v>697.5</v>
      </c>
      <c r="E290" s="24" t="n">
        <v>0</v>
      </c>
      <c r="F290" s="24" t="n">
        <v>15000</v>
      </c>
      <c r="G290" s="24" t="n">
        <v>15000</v>
      </c>
      <c r="H290" s="24">
        <f>G290-F290</f>
        <v/>
      </c>
      <c r="I290" s="8">
        <f>IF(F290=0,0,G290/F290-1)</f>
        <v/>
      </c>
    </row>
    <row r="291">
      <c r="A291" s="6" t="inlineStr">
        <is>
          <t>1000.2800.2140.51010.990</t>
        </is>
      </c>
      <c r="B291" s="6" t="inlineStr">
        <is>
          <t>Psychological Services Salary 9-12</t>
        </is>
      </c>
      <c r="C291" s="24" t="n">
        <v>0</v>
      </c>
      <c r="D291" s="24" t="n">
        <v>0</v>
      </c>
      <c r="E291" s="24" t="n">
        <v>68177.27</v>
      </c>
      <c r="F291" s="24" t="n">
        <v>0</v>
      </c>
      <c r="G291" s="24" t="n">
        <v>74489</v>
      </c>
      <c r="H291" s="24">
        <f>G291-F291</f>
        <v/>
      </c>
      <c r="I291" s="8">
        <f>IF(F291=0,0,G291/F291-1)</f>
        <v/>
      </c>
    </row>
    <row r="292">
      <c r="A292" s="6" t="inlineStr">
        <is>
          <t>1000.2800.2140.52010.990</t>
        </is>
      </c>
      <c r="B292" s="6" t="inlineStr">
        <is>
          <t>Psych Services Benefit</t>
        </is>
      </c>
      <c r="C292" s="24" t="n">
        <v>0</v>
      </c>
      <c r="D292" s="24" t="n">
        <v>0</v>
      </c>
      <c r="E292" s="24" t="n">
        <v>10011.12</v>
      </c>
      <c r="F292" s="24" t="n">
        <v>0</v>
      </c>
      <c r="G292" s="24" t="n">
        <v>11161</v>
      </c>
      <c r="H292" s="24">
        <f>G292-F292</f>
        <v/>
      </c>
      <c r="I292" s="8">
        <f>IF(F292=0,0,G292/F292-1)</f>
        <v/>
      </c>
    </row>
    <row r="293">
      <c r="A293" s="6" t="inlineStr">
        <is>
          <t>1000.2800.2140.52310.990</t>
        </is>
      </c>
      <c r="B293" s="6" t="inlineStr">
        <is>
          <t>Retirement</t>
        </is>
      </c>
      <c r="C293" s="24" t="n">
        <v>0</v>
      </c>
      <c r="D293" s="24" t="n">
        <v>0</v>
      </c>
      <c r="E293" s="24" t="n">
        <v>2618.02</v>
      </c>
      <c r="F293" s="24" t="n">
        <v>0</v>
      </c>
      <c r="G293" s="24" t="n">
        <v>3330</v>
      </c>
      <c r="H293" s="24">
        <f>G293-F293</f>
        <v/>
      </c>
      <c r="I293" s="8">
        <f>IF(F293=0,0,G293/F293-1)</f>
        <v/>
      </c>
    </row>
    <row r="294">
      <c r="A294" s="14" t="n"/>
      <c r="B294" s="28" t="inlineStr">
        <is>
          <t>Program 2800 Total</t>
        </is>
      </c>
      <c r="C294" s="29">
        <f>SUM(C291:C293)</f>
        <v/>
      </c>
      <c r="D294" s="29">
        <f>SUM(D291:D293)</f>
        <v/>
      </c>
      <c r="E294" s="29">
        <f>SUM(E291:E293)</f>
        <v/>
      </c>
      <c r="F294" s="29">
        <f>SUM(F291:F293)</f>
        <v/>
      </c>
      <c r="G294" s="29">
        <f>SUM(G291:G293)</f>
        <v/>
      </c>
      <c r="H294" s="29">
        <f>SUM(H291:H293)</f>
        <v/>
      </c>
      <c r="I294" s="29">
        <f>SUM(I291:I293)</f>
        <v/>
      </c>
    </row>
    <row r="295">
      <c r="A295" s="6" t="inlineStr">
        <is>
          <t>1000.2800.2150.51010.990</t>
        </is>
      </c>
      <c r="B295" s="6" t="inlineStr">
        <is>
          <t>Speech &amp; Audiology Salaries</t>
        </is>
      </c>
      <c r="C295" s="24" t="n">
        <v>37967.54</v>
      </c>
      <c r="D295" s="24" t="n">
        <v>40173.28</v>
      </c>
      <c r="E295" s="24" t="n">
        <v>0</v>
      </c>
      <c r="F295" s="24" t="n">
        <v>0</v>
      </c>
      <c r="G295" s="24" t="n">
        <v>0</v>
      </c>
      <c r="H295" s="24">
        <f>G295-F295</f>
        <v/>
      </c>
      <c r="I295" s="8">
        <f>IF(F295=0,0,G295/F295-1)</f>
        <v/>
      </c>
    </row>
    <row r="296">
      <c r="A296" s="6" t="inlineStr">
        <is>
          <t>1000.2800.2150.52010.990</t>
        </is>
      </c>
      <c r="B296" s="6" t="inlineStr">
        <is>
          <t>Speech &amp; Audiology Benefits</t>
        </is>
      </c>
      <c r="C296" s="24" t="n">
        <v>9796.379999999999</v>
      </c>
      <c r="D296" s="24" t="n">
        <v>2198.99</v>
      </c>
      <c r="E296" s="24" t="n">
        <v>0</v>
      </c>
      <c r="F296" s="24" t="n">
        <v>0</v>
      </c>
      <c r="G296" s="24" t="n">
        <v>0</v>
      </c>
      <c r="H296" s="24">
        <f>G296-F296</f>
        <v/>
      </c>
      <c r="I296" s="8">
        <f>IF(F296=0,0,G296/F296-1)</f>
        <v/>
      </c>
    </row>
    <row r="297">
      <c r="A297" s="6" t="inlineStr">
        <is>
          <t>1000.2800.2150.52310.990</t>
        </is>
      </c>
      <c r="B297" s="6" t="inlineStr">
        <is>
          <t>Retirement</t>
        </is>
      </c>
      <c r="C297" s="24" t="n">
        <v>1579.5</v>
      </c>
      <c r="D297" s="24" t="n">
        <v>373.38</v>
      </c>
      <c r="E297" s="24" t="n">
        <v>0</v>
      </c>
      <c r="F297" s="24" t="n">
        <v>0</v>
      </c>
      <c r="G297" s="24" t="n">
        <v>0</v>
      </c>
      <c r="H297" s="24">
        <f>G297-F297</f>
        <v/>
      </c>
      <c r="I297" s="8">
        <f>IF(F297=0,0,G297/F297-1)</f>
        <v/>
      </c>
    </row>
    <row r="298">
      <c r="A298" s="14" t="n"/>
      <c r="B298" s="28" t="inlineStr">
        <is>
          <t>Program 2800 Total</t>
        </is>
      </c>
      <c r="C298" s="29">
        <f>SUM(C295:C297)</f>
        <v/>
      </c>
      <c r="D298" s="29">
        <f>SUM(D295:D297)</f>
        <v/>
      </c>
      <c r="E298" s="29">
        <f>SUM(E295:E297)</f>
        <v/>
      </c>
      <c r="F298" s="29">
        <f>SUM(F295:F297)</f>
        <v/>
      </c>
      <c r="G298" s="29">
        <f>SUM(G295:G297)</f>
        <v/>
      </c>
      <c r="H298" s="29">
        <f>SUM(H295:H297)</f>
        <v/>
      </c>
      <c r="I298" s="29">
        <f>SUM(I295:I297)</f>
        <v/>
      </c>
    </row>
    <row r="299">
      <c r="A299" s="6" t="inlineStr">
        <is>
          <t>1000.2500.2330.53440.990</t>
        </is>
      </c>
      <c r="B299" s="6" t="inlineStr">
        <is>
          <t>MAINE CARE SEED</t>
        </is>
      </c>
      <c r="C299" s="24" t="n">
        <v>1880.81</v>
      </c>
      <c r="D299" s="24" t="n">
        <v>0</v>
      </c>
      <c r="E299" s="24" t="n">
        <v>0</v>
      </c>
      <c r="F299" s="24" t="n">
        <v>2400</v>
      </c>
      <c r="G299" s="24" t="n">
        <v>2400</v>
      </c>
      <c r="H299" s="24">
        <f>G299-F299</f>
        <v/>
      </c>
      <c r="I299" s="8">
        <f>IF(F299=0,0,G299/F299-1)</f>
        <v/>
      </c>
    </row>
    <row r="300">
      <c r="A300" s="14" t="n"/>
      <c r="B300" s="17" t="inlineStr">
        <is>
          <t>Cost Center ('990',) Total</t>
        </is>
      </c>
      <c r="C300" s="32">
        <f>C294+C298</f>
        <v/>
      </c>
      <c r="D300" s="32">
        <f>D294+D298</f>
        <v/>
      </c>
      <c r="E300" s="32">
        <f>E294+E298</f>
        <v/>
      </c>
      <c r="F300" s="32">
        <f>F294+F298</f>
        <v/>
      </c>
      <c r="G300" s="32">
        <f>G294+G298</f>
        <v/>
      </c>
      <c r="H300" s="32">
        <f>H294+H298</f>
        <v/>
      </c>
      <c r="I300" s="32">
        <f>I294+I298</f>
        <v/>
      </c>
    </row>
    <row r="302">
      <c r="A302" s="14" t="n"/>
      <c r="B302" s="33" t="inlineStr">
        <is>
          <t>ARTICLE 2 TOTAL</t>
        </is>
      </c>
      <c r="C302" s="34">
        <f>C40+C80+C115+C153+C190+C231+C266+C287+C300</f>
        <v/>
      </c>
      <c r="D302" s="34">
        <f>D40+D80+D115+D153+D190+D231+D266+D287+D300</f>
        <v/>
      </c>
      <c r="E302" s="34">
        <f>E40+E80+E115+E153+E190+E231+E266+E287+E300</f>
        <v/>
      </c>
      <c r="F302" s="34">
        <f>F40+F80+F115+F153+F190+F231+F266+F287+F300</f>
        <v/>
      </c>
      <c r="G302" s="34">
        <f>G40+G80+G115+G153+G190+G231+G266+G287+G300</f>
        <v/>
      </c>
      <c r="H302" s="34">
        <f>H40+H80+H115+H153+H190+H231+H266+H287+H300</f>
        <v/>
      </c>
      <c r="I302" s="34">
        <f>I40+I80+I115+I153+I190+I231+I266+I287+I300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3 - Career &amp; Technical Education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('300',)</t>
        </is>
      </c>
    </row>
    <row r="7">
      <c r="A7" s="6" t="inlineStr">
        <is>
          <t>1000.3000.1000.55640.300</t>
        </is>
      </c>
      <c r="B7" s="6" t="inlineStr">
        <is>
          <t>MVR 10 Assessment $99,418.85 $101,705.42</t>
        </is>
      </c>
      <c r="C7" s="24" t="n">
        <v>142979.04</v>
      </c>
      <c r="D7" s="24" t="n">
        <v>184596</v>
      </c>
      <c r="E7" s="24" t="n">
        <v>47.36</v>
      </c>
      <c r="F7" s="6" t="n"/>
      <c r="G7" s="6" t="n"/>
      <c r="H7" s="24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4 - Other Instruction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1000.9100.1000.51180.010</t>
        </is>
      </c>
      <c r="B7" s="6" t="inlineStr">
        <is>
          <t>Support Wages - DCS</t>
        </is>
      </c>
      <c r="C7" s="24" t="n">
        <v>0</v>
      </c>
      <c r="D7" s="24" t="n">
        <v>0</v>
      </c>
      <c r="E7" s="24" t="n">
        <v>1208.75</v>
      </c>
      <c r="F7" s="24" t="n">
        <v>0</v>
      </c>
      <c r="G7" s="24" t="n">
        <v>0</v>
      </c>
      <c r="H7" s="24">
        <f>G7-F7</f>
        <v/>
      </c>
      <c r="I7" s="8">
        <f>IF(F7=0,0,G7/F7-1)</f>
        <v/>
      </c>
    </row>
    <row r="8">
      <c r="A8" s="6" t="inlineStr">
        <is>
          <t>1000.9100.1000.51500.010</t>
        </is>
      </c>
      <c r="B8" s="6" t="inlineStr">
        <is>
          <t>Stipends</t>
        </is>
      </c>
      <c r="C8" s="24" t="n">
        <v>22852.58</v>
      </c>
      <c r="D8" s="24" t="n">
        <v>26116.2</v>
      </c>
      <c r="E8" s="24" t="n">
        <v>26004</v>
      </c>
      <c r="F8" s="24" t="n">
        <v>26112</v>
      </c>
      <c r="G8" s="24" t="n">
        <v>30030</v>
      </c>
      <c r="H8" s="24">
        <f>G8-F8</f>
        <v/>
      </c>
      <c r="I8" s="8">
        <f>IF(F8=0,0,G8/F8-1)</f>
        <v/>
      </c>
    </row>
    <row r="9">
      <c r="A9" s="6" t="inlineStr">
        <is>
          <t>1000.9100.1000.52000.010</t>
        </is>
      </c>
      <c r="B9" s="6" t="inlineStr">
        <is>
          <t>Benefits</t>
        </is>
      </c>
      <c r="C9" s="24" t="n">
        <v>664.64</v>
      </c>
      <c r="D9" s="24" t="n">
        <v>193.49</v>
      </c>
      <c r="E9" s="24" t="n">
        <v>1716.17</v>
      </c>
      <c r="F9" s="24" t="n">
        <v>1496</v>
      </c>
      <c r="G9" s="24" t="n">
        <v>1762</v>
      </c>
      <c r="H9" s="24">
        <f>G9-F9</f>
        <v/>
      </c>
      <c r="I9" s="8">
        <f>IF(F9=0,0,G9/F9-1)</f>
        <v/>
      </c>
    </row>
    <row r="10">
      <c r="A10" s="6" t="inlineStr">
        <is>
          <t>1000.9100.1000.52080.010</t>
        </is>
      </c>
      <c r="B10" s="6" t="inlineStr">
        <is>
          <t>Support Benefits - DCS</t>
        </is>
      </c>
      <c r="C10" s="24" t="n">
        <v>0</v>
      </c>
      <c r="D10" s="24" t="n">
        <v>0</v>
      </c>
      <c r="E10" s="24" t="n">
        <v>23.21</v>
      </c>
      <c r="F10" s="24" t="n">
        <v>0</v>
      </c>
      <c r="G10" s="24" t="n">
        <v>0</v>
      </c>
      <c r="H10" s="24">
        <f>G10-F10</f>
        <v/>
      </c>
      <c r="I10" s="8">
        <f>IF(F10=0,0,G10/F10-1)</f>
        <v/>
      </c>
    </row>
    <row r="11">
      <c r="A11" s="6" t="inlineStr">
        <is>
          <t>1000.9100.1000.52300.010</t>
        </is>
      </c>
      <c r="B11" s="6" t="inlineStr">
        <is>
          <t>Retirement</t>
        </is>
      </c>
      <c r="C11" s="24" t="n">
        <v>13.67</v>
      </c>
      <c r="D11" s="24" t="n">
        <v>0</v>
      </c>
      <c r="E11" s="24" t="n">
        <v>879.5700000000001</v>
      </c>
      <c r="F11" s="24" t="n">
        <v>1245</v>
      </c>
      <c r="G11" s="24" t="n">
        <v>1321</v>
      </c>
      <c r="H11" s="24">
        <f>G11-F11</f>
        <v/>
      </c>
      <c r="I11" s="8">
        <f>IF(F11=0,0,G11/F11-1)</f>
        <v/>
      </c>
    </row>
    <row r="12">
      <c r="A12" s="6" t="inlineStr">
        <is>
          <t>1000.9100.1000.52380.010</t>
        </is>
      </c>
      <c r="B12" s="6" t="inlineStr">
        <is>
          <t>Retirement for Regular Employees</t>
        </is>
      </c>
      <c r="C12" s="24" t="n">
        <v>0</v>
      </c>
      <c r="D12" s="24" t="n">
        <v>0</v>
      </c>
      <c r="E12" s="24" t="n">
        <v>46.3</v>
      </c>
      <c r="F12" s="24" t="n">
        <v>0</v>
      </c>
      <c r="G12" s="24" t="n">
        <v>0</v>
      </c>
      <c r="H12" s="24">
        <f>G12-F12</f>
        <v/>
      </c>
      <c r="I12" s="8">
        <f>IF(F12=0,0,G12/F12-1)</f>
        <v/>
      </c>
    </row>
    <row r="13">
      <c r="A13" s="6" t="inlineStr">
        <is>
          <t>1000.9100.1000.56000.010</t>
        </is>
      </c>
      <c r="B13" s="6" t="inlineStr">
        <is>
          <t>Supplies</t>
        </is>
      </c>
      <c r="C13" s="24" t="n">
        <v>514.8</v>
      </c>
      <c r="D13" s="24" t="n">
        <v>0</v>
      </c>
      <c r="E13" s="24" t="n">
        <v>100</v>
      </c>
      <c r="F13" s="24" t="n">
        <v>750</v>
      </c>
      <c r="G13" s="24" t="n">
        <v>1250</v>
      </c>
      <c r="H13" s="24">
        <f>G13-F13</f>
        <v/>
      </c>
      <c r="I13" s="8">
        <f>IF(F13=0,0,G13/F13-1)</f>
        <v/>
      </c>
    </row>
    <row r="14">
      <c r="A14" s="6" t="inlineStr">
        <is>
          <t>1000.9100.1000.58100.010</t>
        </is>
      </c>
      <c r="B14" s="6" t="inlineStr">
        <is>
          <t>Dues &amp; Fees</t>
        </is>
      </c>
      <c r="C14" s="24" t="n">
        <v>678.5</v>
      </c>
      <c r="D14" s="24" t="n">
        <v>0</v>
      </c>
      <c r="E14" s="24" t="n">
        <v>752</v>
      </c>
      <c r="F14" s="24" t="n">
        <v>1609</v>
      </c>
      <c r="G14" s="24" t="n">
        <v>1409</v>
      </c>
      <c r="H14" s="24">
        <f>G14-F14</f>
        <v/>
      </c>
      <c r="I14" s="8">
        <f>IF(F14=0,0,G14/F14-1)</f>
        <v/>
      </c>
    </row>
    <row r="15">
      <c r="A15" s="14" t="n"/>
      <c r="B15" s="28" t="inlineStr">
        <is>
          <t>Program 9100 Total</t>
        </is>
      </c>
      <c r="C15" s="29">
        <f>SUM(C7:C14)</f>
        <v/>
      </c>
      <c r="D15" s="29">
        <f>SUM(D7:D14)</f>
        <v/>
      </c>
      <c r="E15" s="29">
        <f>SUM(E7:E14)</f>
        <v/>
      </c>
      <c r="F15" s="29">
        <f>SUM(F7:F14)</f>
        <v/>
      </c>
      <c r="G15" s="29">
        <f>SUM(G7:G14)</f>
        <v/>
      </c>
      <c r="H15" s="29">
        <f>SUM(H7:H14)</f>
        <v/>
      </c>
      <c r="I15" s="29">
        <f>SUM(I7:I14)</f>
        <v/>
      </c>
    </row>
    <row r="16">
      <c r="A16" s="6" t="inlineStr">
        <is>
          <t>1000.9200.1000.51500.010</t>
        </is>
      </c>
      <c r="B16" s="6" t="inlineStr">
        <is>
          <t>EXTRA-CURRICULAR STIPENDS - DCS</t>
        </is>
      </c>
      <c r="C16" s="24" t="n">
        <v>0</v>
      </c>
      <c r="D16" s="24" t="n">
        <v>0</v>
      </c>
      <c r="E16" s="24" t="n">
        <v>31736</v>
      </c>
      <c r="F16" s="24" t="n">
        <v>0</v>
      </c>
      <c r="G16" s="24" t="n">
        <v>33975</v>
      </c>
      <c r="H16" s="24">
        <f>G16-F16</f>
        <v/>
      </c>
      <c r="I16" s="8">
        <f>IF(F16=0,0,G16/F16-1)</f>
        <v/>
      </c>
    </row>
    <row r="17">
      <c r="A17" s="6" t="inlineStr">
        <is>
          <t>1000.9200.1000.52000.010</t>
        </is>
      </c>
      <c r="B17" s="6" t="inlineStr">
        <is>
          <t>EXTRA-CURR STIPEND BENEFITS</t>
        </is>
      </c>
      <c r="C17" s="24" t="n">
        <v>0</v>
      </c>
      <c r="D17" s="24" t="n">
        <v>0</v>
      </c>
      <c r="E17" s="24" t="n">
        <v>2292.5</v>
      </c>
      <c r="F17" s="24" t="n">
        <v>0</v>
      </c>
      <c r="G17" s="24" t="n">
        <v>802</v>
      </c>
      <c r="H17" s="24">
        <f>G17-F17</f>
        <v/>
      </c>
      <c r="I17" s="8">
        <f>IF(F17=0,0,G17/F17-1)</f>
        <v/>
      </c>
    </row>
    <row r="18">
      <c r="A18" s="6" t="inlineStr">
        <is>
          <t>1000.9200.1000.52300.010</t>
        </is>
      </c>
      <c r="B18" s="6" t="inlineStr">
        <is>
          <t>EXTRA-CURR STIPEND RETIREMENT</t>
        </is>
      </c>
      <c r="C18" s="24" t="n">
        <v>0</v>
      </c>
      <c r="D18" s="24" t="n">
        <v>0</v>
      </c>
      <c r="E18" s="24" t="n">
        <v>315.18</v>
      </c>
      <c r="F18" s="24" t="n">
        <v>0</v>
      </c>
      <c r="G18" s="24" t="n">
        <v>1609</v>
      </c>
      <c r="H18" s="24">
        <f>G18-F18</f>
        <v/>
      </c>
      <c r="I18" s="8">
        <f>IF(F18=0,0,G18/F18-1)</f>
        <v/>
      </c>
    </row>
    <row r="19">
      <c r="A19" s="14" t="n"/>
      <c r="B19" s="28" t="inlineStr">
        <is>
          <t>Program 9200 Total</t>
        </is>
      </c>
      <c r="C19" s="29">
        <f>SUM(C16:C18)</f>
        <v/>
      </c>
      <c r="D19" s="29">
        <f>SUM(D16:D18)</f>
        <v/>
      </c>
      <c r="E19" s="29">
        <f>SUM(E16:E18)</f>
        <v/>
      </c>
      <c r="F19" s="29">
        <f>SUM(F16:F18)</f>
        <v/>
      </c>
      <c r="G19" s="29">
        <f>SUM(G16:G18)</f>
        <v/>
      </c>
      <c r="H19" s="29">
        <f>SUM(H16:H18)</f>
        <v/>
      </c>
      <c r="I19" s="29">
        <f>SUM(I16:I18)</f>
        <v/>
      </c>
    </row>
    <row r="20">
      <c r="A20" s="14" t="n"/>
      <c r="B20" s="30" t="inlineStr">
        <is>
          <t>Function 1000 Total</t>
        </is>
      </c>
      <c r="C20" s="31">
        <f>C15+C19</f>
        <v/>
      </c>
      <c r="D20" s="31">
        <f>D15+D19</f>
        <v/>
      </c>
      <c r="E20" s="31">
        <f>E15+E19</f>
        <v/>
      </c>
      <c r="F20" s="31">
        <f>F15+F19</f>
        <v/>
      </c>
      <c r="G20" s="31">
        <f>G15+G19</f>
        <v/>
      </c>
      <c r="H20" s="31">
        <f>H15+H19</f>
        <v/>
      </c>
      <c r="I20" s="31">
        <f>I15+I19</f>
        <v/>
      </c>
    </row>
    <row r="21">
      <c r="A21" s="14" t="n"/>
      <c r="B21" s="17" t="inlineStr">
        <is>
          <t>Cost Center ('010',) Total</t>
        </is>
      </c>
      <c r="C21" s="32">
        <f>C20</f>
        <v/>
      </c>
      <c r="D21" s="32">
        <f>D20</f>
        <v/>
      </c>
      <c r="E21" s="32">
        <f>E20</f>
        <v/>
      </c>
      <c r="F21" s="32">
        <f>F20</f>
        <v/>
      </c>
      <c r="G21" s="32">
        <f>G20</f>
        <v/>
      </c>
      <c r="H21" s="32">
        <f>H20</f>
        <v/>
      </c>
      <c r="I21" s="32">
        <f>I20</f>
        <v/>
      </c>
    </row>
    <row r="23">
      <c r="A23" s="3" t="inlineStr">
        <is>
          <t>Cost Center: ('020',)</t>
        </is>
      </c>
    </row>
    <row r="24">
      <c r="A24" s="6" t="inlineStr">
        <is>
          <t>1000.9100.1000.51500.020</t>
        </is>
      </c>
      <c r="B24" s="6" t="inlineStr">
        <is>
          <t>Stipends Paid</t>
        </is>
      </c>
      <c r="C24" s="24" t="n">
        <v>0</v>
      </c>
      <c r="D24" s="24" t="n">
        <v>0</v>
      </c>
      <c r="E24" s="24" t="n">
        <v>1272</v>
      </c>
      <c r="F24" s="24" t="n">
        <v>1272</v>
      </c>
      <c r="G24" s="24" t="n">
        <v>1272</v>
      </c>
      <c r="H24" s="24">
        <f>G24-F24</f>
        <v/>
      </c>
      <c r="I24" s="8">
        <f>IF(F24=0,0,G24/F24-1)</f>
        <v/>
      </c>
    </row>
    <row r="25">
      <c r="A25" s="6" t="inlineStr">
        <is>
          <t>1000.9100.1000.52000.020</t>
        </is>
      </c>
      <c r="B25" s="6" t="inlineStr">
        <is>
          <t>Employee Benefits</t>
        </is>
      </c>
      <c r="C25" s="24" t="n">
        <v>0</v>
      </c>
      <c r="D25" s="24" t="n">
        <v>0</v>
      </c>
      <c r="E25" s="24" t="n">
        <v>31.21</v>
      </c>
      <c r="F25" s="24" t="n">
        <v>0</v>
      </c>
      <c r="G25" s="24" t="n">
        <v>30</v>
      </c>
      <c r="H25" s="24">
        <f>G25-F25</f>
        <v/>
      </c>
      <c r="I25" s="8">
        <f>IF(F25=0,0,G25/F25-1)</f>
        <v/>
      </c>
    </row>
    <row r="26">
      <c r="A26" s="6" t="inlineStr">
        <is>
          <t>1000.9100.1000.52300.020</t>
        </is>
      </c>
      <c r="B26" s="6" t="inlineStr">
        <is>
          <t>Retirement - Stipends</t>
        </is>
      </c>
      <c r="C26" s="24" t="n">
        <v>0</v>
      </c>
      <c r="D26" s="24" t="n">
        <v>0</v>
      </c>
      <c r="E26" s="24" t="n">
        <v>48.88</v>
      </c>
      <c r="F26" s="24" t="n">
        <v>0</v>
      </c>
      <c r="G26" s="24" t="n">
        <v>57</v>
      </c>
      <c r="H26" s="24">
        <f>G26-F26</f>
        <v/>
      </c>
      <c r="I26" s="8">
        <f>IF(F26=0,0,G26/F26-1)</f>
        <v/>
      </c>
    </row>
    <row r="27">
      <c r="A27" s="14" t="n"/>
      <c r="B27" s="28" t="inlineStr">
        <is>
          <t>Program 9100 Total</t>
        </is>
      </c>
      <c r="C27" s="29">
        <f>SUM(C24:C26)</f>
        <v/>
      </c>
      <c r="D27" s="29">
        <f>SUM(D24:D26)</f>
        <v/>
      </c>
      <c r="E27" s="29">
        <f>SUM(E24:E26)</f>
        <v/>
      </c>
      <c r="F27" s="29">
        <f>SUM(F24:F26)</f>
        <v/>
      </c>
      <c r="G27" s="29">
        <f>SUM(G24:G26)</f>
        <v/>
      </c>
      <c r="H27" s="29">
        <f>SUM(H24:H26)</f>
        <v/>
      </c>
      <c r="I27" s="29">
        <f>SUM(I24:I26)</f>
        <v/>
      </c>
    </row>
    <row r="28">
      <c r="A28" s="14" t="n"/>
      <c r="B28" s="17" t="inlineStr">
        <is>
          <t>Cost Center ('020',) Total</t>
        </is>
      </c>
      <c r="C28" s="32">
        <f>C27</f>
        <v/>
      </c>
      <c r="D28" s="32">
        <f>D27</f>
        <v/>
      </c>
      <c r="E28" s="32">
        <f>E27</f>
        <v/>
      </c>
      <c r="F28" s="32">
        <f>F27</f>
        <v/>
      </c>
      <c r="G28" s="32">
        <f>G27</f>
        <v/>
      </c>
      <c r="H28" s="32">
        <f>H27</f>
        <v/>
      </c>
      <c r="I28" s="32">
        <f>I27</f>
        <v/>
      </c>
    </row>
    <row r="30">
      <c r="A30" s="3" t="inlineStr">
        <is>
          <t>Cost Center: ('030',)</t>
        </is>
      </c>
    </row>
    <row r="31">
      <c r="A31" s="6" t="inlineStr">
        <is>
          <t>1000.9100.1000.51500.030</t>
        </is>
      </c>
      <c r="B31" s="6" t="inlineStr">
        <is>
          <t>Stipends</t>
        </is>
      </c>
      <c r="C31" s="24" t="n">
        <v>8070.92</v>
      </c>
      <c r="D31" s="24" t="n">
        <v>5332.51</v>
      </c>
      <c r="E31" s="24" t="n">
        <v>7593</v>
      </c>
      <c r="F31" s="24" t="n">
        <v>3815</v>
      </c>
      <c r="G31" s="24" t="n">
        <v>3816</v>
      </c>
      <c r="H31" s="24">
        <f>G31-F31</f>
        <v/>
      </c>
      <c r="I31" s="8">
        <f>IF(F31=0,0,G31/F31-1)</f>
        <v/>
      </c>
    </row>
    <row r="32">
      <c r="A32" s="6" t="inlineStr">
        <is>
          <t>1000.9100.1000.52000.030</t>
        </is>
      </c>
      <c r="B32" s="6" t="inlineStr">
        <is>
          <t>Stipend Benefits</t>
        </is>
      </c>
      <c r="C32" s="24" t="n">
        <v>39.06</v>
      </c>
      <c r="D32" s="24" t="n">
        <v>2.82</v>
      </c>
      <c r="E32" s="24" t="n">
        <v>132.44</v>
      </c>
      <c r="F32" s="24" t="n">
        <v>396</v>
      </c>
      <c r="G32" s="24" t="n">
        <v>85</v>
      </c>
      <c r="H32" s="24">
        <f>G32-F32</f>
        <v/>
      </c>
      <c r="I32" s="8">
        <f>IF(F32=0,0,G32/F32-1)</f>
        <v/>
      </c>
    </row>
    <row r="33">
      <c r="A33" s="6" t="inlineStr">
        <is>
          <t>1000.9100.1000.52300.030</t>
        </is>
      </c>
      <c r="B33" s="6" t="inlineStr">
        <is>
          <t>MPERS Employer Contribution</t>
        </is>
      </c>
      <c r="C33" s="24" t="n">
        <v>0</v>
      </c>
      <c r="D33" s="24" t="n">
        <v>0</v>
      </c>
      <c r="E33" s="24" t="n">
        <v>294.86</v>
      </c>
      <c r="F33" s="24" t="n">
        <v>329</v>
      </c>
      <c r="G33" s="24" t="n">
        <v>171</v>
      </c>
      <c r="H33" s="24">
        <f>G33-F33</f>
        <v/>
      </c>
      <c r="I33" s="8">
        <f>IF(F33=0,0,G33/F33-1)</f>
        <v/>
      </c>
    </row>
    <row r="34">
      <c r="A34" s="6" t="inlineStr">
        <is>
          <t>1000.9100.1000.58100.030</t>
        </is>
      </c>
      <c r="B34" s="6" t="inlineStr">
        <is>
          <t>Dues &amp; Fees</t>
        </is>
      </c>
      <c r="C34" s="24" t="n">
        <v>0</v>
      </c>
      <c r="D34" s="24" t="n">
        <v>0</v>
      </c>
      <c r="E34" s="24" t="n">
        <v>0</v>
      </c>
      <c r="F34" s="24" t="n">
        <v>200</v>
      </c>
      <c r="G34" s="24" t="n">
        <v>200</v>
      </c>
      <c r="H34" s="24">
        <f>G34-F34</f>
        <v/>
      </c>
      <c r="I34" s="8">
        <f>IF(F34=0,0,G34/F34-1)</f>
        <v/>
      </c>
    </row>
    <row r="35">
      <c r="A35" s="14" t="n"/>
      <c r="B35" s="28" t="inlineStr">
        <is>
          <t>Program 9100 Total</t>
        </is>
      </c>
      <c r="C35" s="29">
        <f>SUM(C31:C34)</f>
        <v/>
      </c>
      <c r="D35" s="29">
        <f>SUM(D31:D34)</f>
        <v/>
      </c>
      <c r="E35" s="29">
        <f>SUM(E31:E34)</f>
        <v/>
      </c>
      <c r="F35" s="29">
        <f>SUM(F31:F34)</f>
        <v/>
      </c>
      <c r="G35" s="29">
        <f>SUM(G31:G34)</f>
        <v/>
      </c>
      <c r="H35" s="29">
        <f>SUM(H31:H34)</f>
        <v/>
      </c>
      <c r="I35" s="29">
        <f>SUM(I31:I34)</f>
        <v/>
      </c>
    </row>
    <row r="36">
      <c r="A36" s="6" t="inlineStr">
        <is>
          <t>1000.9200.1000.51500.030</t>
        </is>
      </c>
      <c r="B36" s="6" t="inlineStr">
        <is>
          <t>Extra-Curricular Stipends - PES</t>
        </is>
      </c>
      <c r="C36" s="24" t="n">
        <v>0</v>
      </c>
      <c r="D36" s="24" t="n">
        <v>0</v>
      </c>
      <c r="E36" s="24" t="n">
        <v>2016</v>
      </c>
      <c r="F36" s="24" t="n">
        <v>0</v>
      </c>
      <c r="G36" s="24" t="n">
        <v>2016</v>
      </c>
      <c r="H36" s="24">
        <f>G36-F36</f>
        <v/>
      </c>
      <c r="I36" s="8">
        <f>IF(F36=0,0,G36/F36-1)</f>
        <v/>
      </c>
    </row>
    <row r="37">
      <c r="A37" s="6" t="inlineStr">
        <is>
          <t>1000.9200.1000.52000.030</t>
        </is>
      </c>
      <c r="B37" s="6" t="inlineStr">
        <is>
          <t>Extra-Curricular Stipends Benefits - PES</t>
        </is>
      </c>
      <c r="C37" s="24" t="n">
        <v>0</v>
      </c>
      <c r="D37" s="24" t="n">
        <v>0</v>
      </c>
      <c r="E37" s="24" t="n">
        <v>270.28</v>
      </c>
      <c r="F37" s="24" t="n">
        <v>0</v>
      </c>
      <c r="G37" s="24" t="n">
        <v>122</v>
      </c>
      <c r="H37" s="24">
        <f>G37-F37</f>
        <v/>
      </c>
      <c r="I37" s="8">
        <f>IF(F37=0,0,G37/F37-1)</f>
        <v/>
      </c>
    </row>
    <row r="38">
      <c r="A38" s="6" t="inlineStr">
        <is>
          <t>1000.9200.1000.52300.030</t>
        </is>
      </c>
      <c r="B38" s="6" t="inlineStr">
        <is>
          <t>Extra-Curricular Stipends Retirements - PES$0.00</t>
        </is>
      </c>
      <c r="C38" s="24" t="n">
        <v>0</v>
      </c>
      <c r="D38" s="24" t="n">
        <v>94.84</v>
      </c>
      <c r="E38" s="24" t="n">
        <v>0</v>
      </c>
      <c r="F38" s="24" t="n">
        <v>90</v>
      </c>
      <c r="G38" s="24" t="n">
        <v>90</v>
      </c>
      <c r="H38" s="24">
        <f>G38-F38</f>
        <v/>
      </c>
      <c r="I38" s="8">
        <f>IF(F38=0,0,G38/F38-1)</f>
        <v/>
      </c>
    </row>
    <row r="39">
      <c r="A39" s="14" t="n"/>
      <c r="B39" s="28" t="inlineStr">
        <is>
          <t>Program 9200 Total</t>
        </is>
      </c>
      <c r="C39" s="29">
        <f>SUM(C36:C38)</f>
        <v/>
      </c>
      <c r="D39" s="29">
        <f>SUM(D36:D38)</f>
        <v/>
      </c>
      <c r="E39" s="29">
        <f>SUM(E36:E38)</f>
        <v/>
      </c>
      <c r="F39" s="29">
        <f>SUM(F36:F38)</f>
        <v/>
      </c>
      <c r="G39" s="29">
        <f>SUM(G36:G38)</f>
        <v/>
      </c>
      <c r="H39" s="29">
        <f>SUM(H36:H38)</f>
        <v/>
      </c>
      <c r="I39" s="29">
        <f>SUM(I36:I38)</f>
        <v/>
      </c>
    </row>
    <row r="40">
      <c r="A40" s="14" t="n"/>
      <c r="B40" s="30" t="inlineStr">
        <is>
          <t>Function 1000 Total</t>
        </is>
      </c>
      <c r="C40" s="31">
        <f>C35+C39</f>
        <v/>
      </c>
      <c r="D40" s="31">
        <f>D35+D39</f>
        <v/>
      </c>
      <c r="E40" s="31">
        <f>E35+E39</f>
        <v/>
      </c>
      <c r="F40" s="31">
        <f>F35+F39</f>
        <v/>
      </c>
      <c r="G40" s="31">
        <f>G35+G39</f>
        <v/>
      </c>
      <c r="H40" s="31">
        <f>H35+H39</f>
        <v/>
      </c>
      <c r="I40" s="31">
        <f>I35+I39</f>
        <v/>
      </c>
    </row>
    <row r="41">
      <c r="A41" s="14" t="n"/>
      <c r="B41" s="17" t="inlineStr">
        <is>
          <t>Cost Center ('030',) Total</t>
        </is>
      </c>
      <c r="C41" s="32">
        <f>C40</f>
        <v/>
      </c>
      <c r="D41" s="32">
        <f>D40</f>
        <v/>
      </c>
      <c r="E41" s="32">
        <f>E40</f>
        <v/>
      </c>
      <c r="F41" s="32">
        <f>F40</f>
        <v/>
      </c>
      <c r="G41" s="32">
        <f>G40</f>
        <v/>
      </c>
      <c r="H41" s="32">
        <f>H40</f>
        <v/>
      </c>
      <c r="I41" s="32">
        <f>I40</f>
        <v/>
      </c>
    </row>
    <row r="43">
      <c r="A43" s="3" t="inlineStr">
        <is>
          <t>Cost Center: ('040',)</t>
        </is>
      </c>
    </row>
    <row r="44">
      <c r="A44" s="6" t="inlineStr">
        <is>
          <t>1000.9100.1000.51500.040</t>
        </is>
      </c>
      <c r="B44" s="6" t="inlineStr">
        <is>
          <t>Stipends</t>
        </is>
      </c>
      <c r="C44" s="24" t="n">
        <v>10470.01</v>
      </c>
      <c r="D44" s="24" t="n">
        <v>11035.99</v>
      </c>
      <c r="E44" s="24" t="n">
        <v>12375.07</v>
      </c>
      <c r="F44" s="24" t="n">
        <v>9798</v>
      </c>
      <c r="G44" s="24" t="n">
        <v>9798</v>
      </c>
      <c r="H44" s="24">
        <f>G44-F44</f>
        <v/>
      </c>
      <c r="I44" s="8">
        <f>IF(F44=0,0,G44/F44-1)</f>
        <v/>
      </c>
    </row>
    <row r="45">
      <c r="A45" s="6" t="inlineStr">
        <is>
          <t>1000.9100.1000.52000.040</t>
        </is>
      </c>
      <c r="B45" s="6" t="inlineStr">
        <is>
          <t>Stipend Benefits</t>
        </is>
      </c>
      <c r="C45" s="24" t="n">
        <v>91.33</v>
      </c>
      <c r="D45" s="24" t="n">
        <v>5.01</v>
      </c>
      <c r="E45" s="24" t="n">
        <v>779.03</v>
      </c>
      <c r="F45" s="24" t="n">
        <v>573</v>
      </c>
      <c r="G45" s="24" t="n">
        <v>633</v>
      </c>
      <c r="H45" s="24">
        <f>G45-F45</f>
        <v/>
      </c>
      <c r="I45" s="8">
        <f>IF(F45=0,0,G45/F45-1)</f>
        <v/>
      </c>
    </row>
    <row r="46">
      <c r="A46" s="6" t="inlineStr">
        <is>
          <t>1000.9100.1000.52300.040</t>
        </is>
      </c>
      <c r="B46" s="6" t="inlineStr">
        <is>
          <t>RETIREMENT</t>
        </is>
      </c>
      <c r="C46" s="24" t="n">
        <v>13.83</v>
      </c>
      <c r="D46" s="24" t="n">
        <v>0</v>
      </c>
      <c r="E46" s="24" t="n">
        <v>339.46</v>
      </c>
      <c r="F46" s="24" t="n">
        <v>476</v>
      </c>
      <c r="G46" s="24" t="n">
        <v>438</v>
      </c>
      <c r="H46" s="24">
        <f>G46-F46</f>
        <v/>
      </c>
      <c r="I46" s="8">
        <f>IF(F46=0,0,G46/F46-1)</f>
        <v/>
      </c>
    </row>
    <row r="47">
      <c r="A47" s="6" t="inlineStr">
        <is>
          <t>1000.9100.1000.58100.040</t>
        </is>
      </c>
      <c r="B47" s="6" t="inlineStr">
        <is>
          <t>Dues &amp; Fees</t>
        </is>
      </c>
      <c r="C47" s="24" t="n">
        <v>175</v>
      </c>
      <c r="D47" s="24" t="n">
        <v>0</v>
      </c>
      <c r="E47" s="24" t="n">
        <v>0</v>
      </c>
      <c r="F47" s="24" t="n">
        <v>400</v>
      </c>
      <c r="G47" s="24" t="n">
        <v>400</v>
      </c>
      <c r="H47" s="24">
        <f>G47-F47</f>
        <v/>
      </c>
      <c r="I47" s="8">
        <f>IF(F47=0,0,G47/F47-1)</f>
        <v/>
      </c>
    </row>
    <row r="48">
      <c r="A48" s="14" t="n"/>
      <c r="B48" s="28" t="inlineStr">
        <is>
          <t>Program 9100 Total</t>
        </is>
      </c>
      <c r="C48" s="29">
        <f>SUM(C44:C47)</f>
        <v/>
      </c>
      <c r="D48" s="29">
        <f>SUM(D44:D47)</f>
        <v/>
      </c>
      <c r="E48" s="29">
        <f>SUM(E44:E47)</f>
        <v/>
      </c>
      <c r="F48" s="29">
        <f>SUM(F44:F47)</f>
        <v/>
      </c>
      <c r="G48" s="29">
        <f>SUM(G44:G47)</f>
        <v/>
      </c>
      <c r="H48" s="29">
        <f>SUM(H44:H47)</f>
        <v/>
      </c>
      <c r="I48" s="29">
        <f>SUM(I44:I47)</f>
        <v/>
      </c>
    </row>
    <row r="49">
      <c r="A49" s="14" t="n"/>
      <c r="B49" s="17" t="inlineStr">
        <is>
          <t>Cost Center ('040',) Total</t>
        </is>
      </c>
      <c r="C49" s="32">
        <f>C48</f>
        <v/>
      </c>
      <c r="D49" s="32">
        <f>D48</f>
        <v/>
      </c>
      <c r="E49" s="32">
        <f>E48</f>
        <v/>
      </c>
      <c r="F49" s="32">
        <f>F48</f>
        <v/>
      </c>
      <c r="G49" s="32">
        <f>G48</f>
        <v/>
      </c>
      <c r="H49" s="32">
        <f>H48</f>
        <v/>
      </c>
      <c r="I49" s="32">
        <f>I48</f>
        <v/>
      </c>
    </row>
    <row r="51">
      <c r="A51" s="3" t="inlineStr">
        <is>
          <t>Cost Center: ('050',)</t>
        </is>
      </c>
    </row>
    <row r="52">
      <c r="A52" s="6" t="inlineStr">
        <is>
          <t>1000.9100.1000.51500.050</t>
        </is>
      </c>
      <c r="B52" s="6" t="inlineStr">
        <is>
          <t>Stipends</t>
        </is>
      </c>
      <c r="C52" s="24" t="n">
        <v>27155.45</v>
      </c>
      <c r="D52" s="24" t="n">
        <v>22327.67</v>
      </c>
      <c r="E52" s="24" t="n">
        <v>23998.5</v>
      </c>
      <c r="F52" s="24" t="n">
        <v>33250</v>
      </c>
      <c r="G52" s="24" t="n">
        <v>41958</v>
      </c>
      <c r="H52" s="24">
        <f>G52-F52</f>
        <v/>
      </c>
      <c r="I52" s="8">
        <f>IF(F52=0,0,G52/F52-1)</f>
        <v/>
      </c>
    </row>
    <row r="53">
      <c r="A53" s="6" t="inlineStr">
        <is>
          <t>1000.9100.1000.52000.050</t>
        </is>
      </c>
      <c r="B53" s="6" t="inlineStr">
        <is>
          <t>Stipend Benefits</t>
        </is>
      </c>
      <c r="C53" s="24" t="n">
        <v>215.56</v>
      </c>
      <c r="D53" s="24" t="n">
        <v>20.37</v>
      </c>
      <c r="E53" s="24" t="n">
        <v>1045.47</v>
      </c>
      <c r="F53" s="24" t="n">
        <v>1444</v>
      </c>
      <c r="G53" s="24" t="n">
        <v>1721</v>
      </c>
      <c r="H53" s="24">
        <f>G53-F53</f>
        <v/>
      </c>
      <c r="I53" s="8">
        <f>IF(F53=0,0,G53/F53-1)</f>
        <v/>
      </c>
    </row>
    <row r="54">
      <c r="A54" s="6" t="inlineStr">
        <is>
          <t>1000.9100.1000.52300.050</t>
        </is>
      </c>
      <c r="B54" s="6" t="inlineStr">
        <is>
          <t>Retirement</t>
        </is>
      </c>
      <c r="C54" s="24" t="n">
        <v>11.44</v>
      </c>
      <c r="D54" s="24" t="n">
        <v>0</v>
      </c>
      <c r="E54" s="24" t="n">
        <v>872.59</v>
      </c>
      <c r="F54" s="24" t="n">
        <v>1201</v>
      </c>
      <c r="G54" s="24" t="n">
        <v>1876</v>
      </c>
      <c r="H54" s="24">
        <f>G54-F54</f>
        <v/>
      </c>
      <c r="I54" s="8">
        <f>IF(F54=0,0,G54/F54-1)</f>
        <v/>
      </c>
    </row>
    <row r="55">
      <c r="A55" s="6" t="inlineStr">
        <is>
          <t>1000.9100.1000.56000.050</t>
        </is>
      </c>
      <c r="B55" s="6" t="inlineStr">
        <is>
          <t>Supplies</t>
        </is>
      </c>
      <c r="C55" s="24" t="n">
        <v>2117.05</v>
      </c>
      <c r="D55" s="24" t="n">
        <v>-120.48</v>
      </c>
      <c r="E55" s="24" t="n">
        <v>0</v>
      </c>
      <c r="F55" s="24" t="n">
        <v>0</v>
      </c>
      <c r="G55" s="24" t="n">
        <v>0</v>
      </c>
      <c r="H55" s="24">
        <f>G55-F55</f>
        <v/>
      </c>
      <c r="I55" s="8">
        <f>IF(F55=0,0,G55/F55-1)</f>
        <v/>
      </c>
    </row>
    <row r="56">
      <c r="A56" s="6" t="inlineStr">
        <is>
          <t>1000.9100.1000.56100.050</t>
        </is>
      </c>
      <c r="B56" s="6" t="inlineStr">
        <is>
          <t>Instructional Supplies</t>
        </is>
      </c>
      <c r="C56" s="24" t="n">
        <v>0</v>
      </c>
      <c r="D56" s="24" t="n">
        <v>4973.86</v>
      </c>
      <c r="E56" s="24" t="n">
        <v>3906.04</v>
      </c>
      <c r="F56" s="24" t="n">
        <v>3900</v>
      </c>
      <c r="G56" s="24" t="n">
        <v>3900</v>
      </c>
      <c r="H56" s="24">
        <f>G56-F56</f>
        <v/>
      </c>
      <c r="I56" s="8">
        <f>IF(F56=0,0,G56/F56-1)</f>
        <v/>
      </c>
    </row>
    <row r="57">
      <c r="A57" s="6" t="inlineStr">
        <is>
          <t>1000.9100.1000.58100.050</t>
        </is>
      </c>
      <c r="B57" s="6" t="inlineStr">
        <is>
          <t>Dues &amp; Fees</t>
        </is>
      </c>
      <c r="C57" s="24" t="n">
        <v>1463</v>
      </c>
      <c r="D57" s="24" t="n">
        <v>27157</v>
      </c>
      <c r="E57" s="24" t="n">
        <v>2465.9</v>
      </c>
      <c r="F57" s="24" t="n">
        <v>2750</v>
      </c>
      <c r="G57" s="24" t="n">
        <v>2350</v>
      </c>
      <c r="H57" s="24">
        <f>G57-F57</f>
        <v/>
      </c>
      <c r="I57" s="8">
        <f>IF(F57=0,0,G57/F57-1)</f>
        <v/>
      </c>
    </row>
    <row r="58">
      <c r="A58" s="14" t="n"/>
      <c r="B58" s="28" t="inlineStr">
        <is>
          <t>Program 9100 Total</t>
        </is>
      </c>
      <c r="C58" s="29">
        <f>SUM(C52:C57)</f>
        <v/>
      </c>
      <c r="D58" s="29">
        <f>SUM(D52:D57)</f>
        <v/>
      </c>
      <c r="E58" s="29">
        <f>SUM(E52:E57)</f>
        <v/>
      </c>
      <c r="F58" s="29">
        <f>SUM(F52:F57)</f>
        <v/>
      </c>
      <c r="G58" s="29">
        <f>SUM(G52:G57)</f>
        <v/>
      </c>
      <c r="H58" s="29">
        <f>SUM(H52:H57)</f>
        <v/>
      </c>
      <c r="I58" s="29">
        <f>SUM(I52:I57)</f>
        <v/>
      </c>
    </row>
    <row r="59">
      <c r="A59" s="6" t="inlineStr">
        <is>
          <t>1000.9200.1000.51040.050</t>
        </is>
      </c>
      <c r="B59" s="6" t="inlineStr">
        <is>
          <t>Athletic Director Salary</t>
        </is>
      </c>
      <c r="C59" s="24" t="n">
        <v>34653.22</v>
      </c>
      <c r="D59" s="24" t="n">
        <v>0</v>
      </c>
      <c r="E59" s="24" t="n">
        <v>-106.44</v>
      </c>
      <c r="F59" s="24" t="n">
        <v>0</v>
      </c>
      <c r="G59" s="24" t="n">
        <v>0</v>
      </c>
      <c r="H59" s="24">
        <f>G59-F59</f>
        <v/>
      </c>
      <c r="I59" s="8">
        <f>IF(F59=0,0,G59/F59-1)</f>
        <v/>
      </c>
    </row>
    <row r="60">
      <c r="A60" s="6" t="inlineStr">
        <is>
          <t>1000.9200.1000.51180.050</t>
        </is>
      </c>
      <c r="B60" s="6" t="inlineStr">
        <is>
          <t>Support Salary</t>
        </is>
      </c>
      <c r="C60" s="24" t="n">
        <v>0</v>
      </c>
      <c r="D60" s="24" t="n">
        <v>0</v>
      </c>
      <c r="E60" s="24" t="n">
        <v>2007.53</v>
      </c>
      <c r="F60" s="24" t="n">
        <v>0</v>
      </c>
      <c r="G60" s="24" t="n">
        <v>0</v>
      </c>
      <c r="H60" s="24">
        <f>G60-F60</f>
        <v/>
      </c>
      <c r="I60" s="8">
        <f>IF(F60=0,0,G60/F60-1)</f>
        <v/>
      </c>
    </row>
    <row r="61">
      <c r="A61" s="6" t="inlineStr">
        <is>
          <t>1000.9200.1000.51230.050</t>
        </is>
      </c>
      <c r="B61" s="6" t="inlineStr">
        <is>
          <t>Other Wages</t>
        </is>
      </c>
      <c r="C61" s="24" t="n">
        <v>5823.07</v>
      </c>
      <c r="D61" s="24" t="n">
        <v>0</v>
      </c>
      <c r="E61" s="24" t="n">
        <v>200</v>
      </c>
      <c r="F61" s="24" t="n">
        <v>0</v>
      </c>
      <c r="G61" s="24" t="n">
        <v>0</v>
      </c>
      <c r="H61" s="24">
        <f>G61-F61</f>
        <v/>
      </c>
      <c r="I61" s="8">
        <f>IF(F61=0,0,G61/F61-1)</f>
        <v/>
      </c>
    </row>
    <row r="62">
      <c r="A62" s="6" t="inlineStr">
        <is>
          <t>1000.9200.1000.51500.050</t>
        </is>
      </c>
      <c r="B62" s="6" t="inlineStr">
        <is>
          <t>Stipends-Coaches</t>
        </is>
      </c>
      <c r="C62" s="24" t="n">
        <v>84948.47</v>
      </c>
      <c r="D62" s="24" t="n">
        <v>89064.14999999999</v>
      </c>
      <c r="E62" s="24" t="n">
        <v>66742.11</v>
      </c>
      <c r="F62" s="24" t="n">
        <v>114106</v>
      </c>
      <c r="G62" s="24" t="n">
        <v>73489</v>
      </c>
      <c r="H62" s="24">
        <f>G62-F62</f>
        <v/>
      </c>
      <c r="I62" s="8">
        <f>IF(F62=0,0,G62/F62-1)</f>
        <v/>
      </c>
    </row>
    <row r="63">
      <c r="A63" s="6" t="inlineStr">
        <is>
          <t>1000.9200.1000.52000.050</t>
        </is>
      </c>
      <c r="B63" s="6" t="inlineStr">
        <is>
          <t>Benefits</t>
        </is>
      </c>
      <c r="C63" s="24" t="n">
        <v>3620.62</v>
      </c>
      <c r="D63" s="24" t="n">
        <v>1167.6</v>
      </c>
      <c r="E63" s="24" t="n">
        <v>5627.06</v>
      </c>
      <c r="F63" s="24" t="n">
        <v>5705</v>
      </c>
      <c r="G63" s="24" t="n">
        <v>4438</v>
      </c>
      <c r="H63" s="24">
        <f>G63-F63</f>
        <v/>
      </c>
      <c r="I63" s="8">
        <f>IF(F63=0,0,G63/F63-1)</f>
        <v/>
      </c>
    </row>
    <row r="64">
      <c r="A64" s="6" t="inlineStr">
        <is>
          <t>1000.9200.1000.52030.050</t>
        </is>
      </c>
      <c r="B64" s="6" t="inlineStr">
        <is>
          <t>Other Benefits</t>
        </is>
      </c>
      <c r="C64" s="24" t="n">
        <v>581.45</v>
      </c>
      <c r="D64" s="24" t="n">
        <v>59.09</v>
      </c>
      <c r="E64" s="24" t="n">
        <v>589.1900000000001</v>
      </c>
      <c r="F64" s="24" t="n">
        <v>0</v>
      </c>
      <c r="G64" s="24" t="n">
        <v>0</v>
      </c>
      <c r="H64" s="24">
        <f>G64-F64</f>
        <v/>
      </c>
      <c r="I64" s="8">
        <f>IF(F64=0,0,G64/F64-1)</f>
        <v/>
      </c>
    </row>
    <row r="65">
      <c r="A65" s="6" t="inlineStr">
        <is>
          <t>1000.9200.1000.52040.050</t>
        </is>
      </c>
      <c r="B65" s="6" t="inlineStr">
        <is>
          <t>AD Benefits</t>
        </is>
      </c>
      <c r="C65" s="24" t="n">
        <v>4016.27</v>
      </c>
      <c r="D65" s="24" t="n">
        <v>0</v>
      </c>
      <c r="E65" s="24" t="n">
        <v>0</v>
      </c>
      <c r="F65" s="24" t="n">
        <v>6994</v>
      </c>
      <c r="G65" s="24" t="n">
        <v>0</v>
      </c>
      <c r="H65" s="24">
        <f>G65-F65</f>
        <v/>
      </c>
      <c r="I65" s="8">
        <f>IF(F65=0,0,G65/F65-1)</f>
        <v/>
      </c>
    </row>
    <row r="66">
      <c r="A66" s="6" t="inlineStr">
        <is>
          <t>1000.9200.1000.52080.050</t>
        </is>
      </c>
      <c r="B66" s="6" t="inlineStr">
        <is>
          <t>Support Benefits</t>
        </is>
      </c>
      <c r="C66" s="24" t="n">
        <v>0</v>
      </c>
      <c r="D66" s="24" t="n">
        <v>0</v>
      </c>
      <c r="E66" s="24" t="n">
        <v>297.12</v>
      </c>
      <c r="F66" s="24" t="n">
        <v>904</v>
      </c>
      <c r="G66" s="24" t="n">
        <v>0</v>
      </c>
      <c r="H66" s="24">
        <f>G66-F66</f>
        <v/>
      </c>
      <c r="I66" s="8">
        <f>IF(F66=0,0,G66/F66-1)</f>
        <v/>
      </c>
    </row>
    <row r="67">
      <c r="A67" s="6" t="inlineStr">
        <is>
          <t>1000.9200.1000.52300.050</t>
        </is>
      </c>
      <c r="B67" s="6" t="inlineStr">
        <is>
          <t>Retirement</t>
        </is>
      </c>
      <c r="C67" s="24" t="n">
        <v>139.49</v>
      </c>
      <c r="D67" s="24" t="n">
        <v>0</v>
      </c>
      <c r="E67" s="24" t="n">
        <v>1119.08</v>
      </c>
      <c r="F67" s="24" t="n">
        <v>4746</v>
      </c>
      <c r="G67" s="24" t="n">
        <v>3285</v>
      </c>
      <c r="H67" s="24">
        <f>G67-F67</f>
        <v/>
      </c>
      <c r="I67" s="8">
        <f>IF(F67=0,0,G67/F67-1)</f>
        <v/>
      </c>
    </row>
    <row r="68">
      <c r="A68" s="6" t="inlineStr">
        <is>
          <t>1000.9200.1000.52330.050</t>
        </is>
      </c>
      <c r="B68" s="6" t="inlineStr">
        <is>
          <t>Retirement</t>
        </is>
      </c>
      <c r="C68" s="24" t="n">
        <v>22.1</v>
      </c>
      <c r="D68" s="24" t="n">
        <v>0</v>
      </c>
      <c r="E68" s="24" t="n">
        <v>3.84</v>
      </c>
      <c r="F68" s="24" t="n">
        <v>0</v>
      </c>
      <c r="G68" s="24" t="n">
        <v>0</v>
      </c>
      <c r="H68" s="24">
        <f>G68-F68</f>
        <v/>
      </c>
      <c r="I68" s="8">
        <f>IF(F68=0,0,G68/F68-1)</f>
        <v/>
      </c>
    </row>
    <row r="69">
      <c r="A69" s="6" t="inlineStr">
        <is>
          <t>1000.9200.1000.52340.050</t>
        </is>
      </c>
      <c r="B69" s="6" t="inlineStr">
        <is>
          <t>Retirement</t>
        </is>
      </c>
      <c r="C69" s="24" t="n">
        <v>1441.6</v>
      </c>
      <c r="D69" s="24" t="n">
        <v>0</v>
      </c>
      <c r="E69" s="24" t="n">
        <v>0</v>
      </c>
      <c r="F69" s="24" t="n">
        <v>1370</v>
      </c>
      <c r="G69" s="24" t="n">
        <v>0</v>
      </c>
      <c r="H69" s="24">
        <f>G69-F69</f>
        <v/>
      </c>
      <c r="I69" s="8">
        <f>IF(F69=0,0,G69/F69-1)</f>
        <v/>
      </c>
    </row>
    <row r="70">
      <c r="A70" s="6" t="inlineStr">
        <is>
          <t>1000.9200.1000.52380.050</t>
        </is>
      </c>
      <c r="B70" s="6" t="inlineStr">
        <is>
          <t>Retirement for Regular Employees</t>
        </is>
      </c>
      <c r="C70" s="24" t="n">
        <v>0</v>
      </c>
      <c r="D70" s="24" t="n">
        <v>0</v>
      </c>
      <c r="E70" s="24" t="n">
        <v>62.19</v>
      </c>
      <c r="F70" s="24" t="n">
        <v>0</v>
      </c>
      <c r="G70" s="24" t="n">
        <v>0</v>
      </c>
      <c r="H70" s="24">
        <f>G70-F70</f>
        <v/>
      </c>
      <c r="I70" s="8">
        <f>IF(F70=0,0,G70/F70-1)</f>
        <v/>
      </c>
    </row>
    <row r="71">
      <c r="A71" s="6" t="inlineStr">
        <is>
          <t>1000.9200.1000.53000.050</t>
        </is>
      </c>
      <c r="B71" s="6" t="inlineStr">
        <is>
          <t>Game Officials</t>
        </is>
      </c>
      <c r="C71" s="24" t="n">
        <v>9628.860000000001</v>
      </c>
      <c r="D71" s="24" t="n">
        <v>3818.28</v>
      </c>
      <c r="E71" s="24" t="n">
        <v>12610.84</v>
      </c>
      <c r="F71" s="24" t="n">
        <v>21917</v>
      </c>
      <c r="G71" s="24" t="n">
        <v>26647</v>
      </c>
      <c r="H71" s="24">
        <f>G71-F71</f>
        <v/>
      </c>
      <c r="I71" s="8">
        <f>IF(F71=0,0,G71/F71-1)</f>
        <v/>
      </c>
    </row>
    <row r="72">
      <c r="A72" s="6" t="inlineStr">
        <is>
          <t>1000.9200.1000.58100.050</t>
        </is>
      </c>
      <c r="B72" s="6" t="inlineStr">
        <is>
          <t>Dues and Fees</t>
        </is>
      </c>
      <c r="C72" s="24" t="n">
        <v>16482.94</v>
      </c>
      <c r="D72" s="24" t="n">
        <v>6612.05</v>
      </c>
      <c r="E72" s="24" t="n">
        <v>13995.5</v>
      </c>
      <c r="F72" s="24" t="n">
        <v>17958</v>
      </c>
      <c r="G72" s="24" t="n">
        <v>18558</v>
      </c>
      <c r="H72" s="24">
        <f>G72-F72</f>
        <v/>
      </c>
      <c r="I72" s="8">
        <f>IF(F72=0,0,G72/F72-1)</f>
        <v/>
      </c>
    </row>
    <row r="73">
      <c r="A73" s="14" t="n"/>
      <c r="B73" s="28" t="inlineStr">
        <is>
          <t>Program 9200 Total</t>
        </is>
      </c>
      <c r="C73" s="29">
        <f>SUM(C59:C72)</f>
        <v/>
      </c>
      <c r="D73" s="29">
        <f>SUM(D59:D72)</f>
        <v/>
      </c>
      <c r="E73" s="29">
        <f>SUM(E59:E72)</f>
        <v/>
      </c>
      <c r="F73" s="29">
        <f>SUM(F59:F72)</f>
        <v/>
      </c>
      <c r="G73" s="29">
        <f>SUM(G59:G72)</f>
        <v/>
      </c>
      <c r="H73" s="29">
        <f>SUM(H59:H72)</f>
        <v/>
      </c>
      <c r="I73" s="29">
        <f>SUM(I59:I72)</f>
        <v/>
      </c>
    </row>
    <row r="74">
      <c r="A74" s="14" t="n"/>
      <c r="B74" s="30" t="inlineStr">
        <is>
          <t>Function 1000 Total</t>
        </is>
      </c>
      <c r="C74" s="31">
        <f>C58+C73</f>
        <v/>
      </c>
      <c r="D74" s="31">
        <f>D58+D73</f>
        <v/>
      </c>
      <c r="E74" s="31">
        <f>E58+E73</f>
        <v/>
      </c>
      <c r="F74" s="31">
        <f>F58+F73</f>
        <v/>
      </c>
      <c r="G74" s="31">
        <f>G58+G73</f>
        <v/>
      </c>
      <c r="H74" s="31">
        <f>H58+H73</f>
        <v/>
      </c>
      <c r="I74" s="31">
        <f>I58+I73</f>
        <v/>
      </c>
    </row>
    <row r="75">
      <c r="A75" s="6" t="inlineStr">
        <is>
          <t>1000.9200.2330.51010.050</t>
        </is>
      </c>
      <c r="B75" s="6" t="inlineStr">
        <is>
          <t>Athletic Director Salary -</t>
        </is>
      </c>
      <c r="C75" s="24" t="n">
        <v>0</v>
      </c>
      <c r="D75" s="24" t="n">
        <v>0</v>
      </c>
      <c r="E75" s="24" t="n">
        <v>31675.47</v>
      </c>
      <c r="F75" s="24" t="n">
        <v>32942</v>
      </c>
      <c r="G75" s="24" t="n">
        <v>32626</v>
      </c>
      <c r="H75" s="24">
        <f>G75-F75</f>
        <v/>
      </c>
      <c r="I75" s="8">
        <f>IF(F75=0,0,G75/F75-1)</f>
        <v/>
      </c>
    </row>
    <row r="76">
      <c r="A76" s="6" t="inlineStr">
        <is>
          <t>1000.9200.2330.51180.050</t>
        </is>
      </c>
      <c r="B76" s="6" t="inlineStr">
        <is>
          <t>Athletic Office Support Staff Wages -</t>
        </is>
      </c>
      <c r="C76" s="24" t="n">
        <v>0</v>
      </c>
      <c r="D76" s="24" t="n">
        <v>0</v>
      </c>
      <c r="E76" s="24" t="n">
        <v>7446.31</v>
      </c>
      <c r="F76" s="24" t="n">
        <v>5249</v>
      </c>
      <c r="G76" s="24" t="n">
        <v>5968</v>
      </c>
      <c r="H76" s="24">
        <f>G76-F76</f>
        <v/>
      </c>
      <c r="I76" s="8">
        <f>IF(F76=0,0,G76/F76-1)</f>
        <v/>
      </c>
    </row>
    <row r="77">
      <c r="A77" s="6" t="inlineStr">
        <is>
          <t>1000.9200.2330.52010.050</t>
        </is>
      </c>
      <c r="B77" s="6" t="inlineStr">
        <is>
          <t>Athletic Director Benefits -</t>
        </is>
      </c>
      <c r="C77" s="24" t="n">
        <v>0</v>
      </c>
      <c r="D77" s="24" t="n">
        <v>0</v>
      </c>
      <c r="E77" s="24" t="n">
        <v>5842.86</v>
      </c>
      <c r="F77" s="24" t="n">
        <v>0</v>
      </c>
      <c r="G77" s="24" t="n">
        <v>18847</v>
      </c>
      <c r="H77" s="24">
        <f>G77-F77</f>
        <v/>
      </c>
      <c r="I77" s="8">
        <f>IF(F77=0,0,G77/F77-1)</f>
        <v/>
      </c>
    </row>
    <row r="78">
      <c r="A78" s="6" t="inlineStr">
        <is>
          <t>1000.9200.2330.52080.050</t>
        </is>
      </c>
      <c r="B78" s="6" t="inlineStr">
        <is>
          <t>Athletic Office Support Staff Benefits -</t>
        </is>
      </c>
      <c r="C78" s="24" t="n">
        <v>0</v>
      </c>
      <c r="D78" s="24" t="n">
        <v>0</v>
      </c>
      <c r="E78" s="24" t="n">
        <v>586.8</v>
      </c>
      <c r="F78" s="24" t="n">
        <v>0</v>
      </c>
      <c r="G78" s="24" t="n">
        <v>1612</v>
      </c>
      <c r="H78" s="24">
        <f>G78-F78</f>
        <v/>
      </c>
      <c r="I78" s="8">
        <f>IF(F78=0,0,G78/F78-1)</f>
        <v/>
      </c>
    </row>
    <row r="79">
      <c r="A79" s="6" t="inlineStr">
        <is>
          <t>1000.9200.2330.52310.050</t>
        </is>
      </c>
      <c r="B79" s="6" t="inlineStr">
        <is>
          <t>Athletic Director Retirement -</t>
        </is>
      </c>
      <c r="C79" s="24" t="n">
        <v>0</v>
      </c>
      <c r="D79" s="24" t="n">
        <v>0</v>
      </c>
      <c r="E79" s="24" t="n">
        <v>1212.24</v>
      </c>
      <c r="F79" s="24" t="n">
        <v>0</v>
      </c>
      <c r="G79" s="24" t="n">
        <v>1944</v>
      </c>
      <c r="H79" s="24">
        <f>G79-F79</f>
        <v/>
      </c>
      <c r="I79" s="8">
        <f>IF(F79=0,0,G79/F79-1)</f>
        <v/>
      </c>
    </row>
    <row r="80">
      <c r="A80" s="14" t="n"/>
      <c r="B80" s="28" t="inlineStr">
        <is>
          <t>Program 9200 Total</t>
        </is>
      </c>
      <c r="C80" s="29">
        <f>SUM(C75:C79)</f>
        <v/>
      </c>
      <c r="D80" s="29">
        <f>SUM(D75:D79)</f>
        <v/>
      </c>
      <c r="E80" s="29">
        <f>SUM(E75:E79)</f>
        <v/>
      </c>
      <c r="F80" s="29">
        <f>SUM(F75:F79)</f>
        <v/>
      </c>
      <c r="G80" s="29">
        <f>SUM(G75:G79)</f>
        <v/>
      </c>
      <c r="H80" s="29">
        <f>SUM(H75:H79)</f>
        <v/>
      </c>
      <c r="I80" s="29">
        <f>SUM(I75:I79)</f>
        <v/>
      </c>
    </row>
    <row r="81">
      <c r="A81" s="14" t="n"/>
      <c r="B81" s="17" t="inlineStr">
        <is>
          <t>Cost Center ('050',) Total</t>
        </is>
      </c>
      <c r="C81" s="32">
        <f>C74+C80</f>
        <v/>
      </c>
      <c r="D81" s="32">
        <f>D74+D80</f>
        <v/>
      </c>
      <c r="E81" s="32">
        <f>E74+E80</f>
        <v/>
      </c>
      <c r="F81" s="32">
        <f>F74+F80</f>
        <v/>
      </c>
      <c r="G81" s="32">
        <f>G74+G80</f>
        <v/>
      </c>
      <c r="H81" s="32">
        <f>H74+H80</f>
        <v/>
      </c>
      <c r="I81" s="32">
        <f>I74+I80</f>
        <v/>
      </c>
    </row>
    <row r="83">
      <c r="A83" s="3" t="inlineStr">
        <is>
          <t>Cost Center: ('300',)</t>
        </is>
      </c>
    </row>
    <row r="84">
      <c r="A84" s="6" t="inlineStr">
        <is>
          <t>1000.4300.1000.51210.300</t>
        </is>
      </c>
      <c r="B84" s="6" t="inlineStr">
        <is>
          <t>Summer School Tutor Wages - FHS</t>
        </is>
      </c>
      <c r="C84" s="24" t="n">
        <v>0</v>
      </c>
      <c r="D84" s="24" t="n">
        <v>0</v>
      </c>
      <c r="E84" s="24" t="n">
        <v>5580</v>
      </c>
      <c r="F84" s="24" t="n">
        <v>0</v>
      </c>
      <c r="G84" s="24" t="n">
        <v>0</v>
      </c>
      <c r="H84" s="24">
        <f>G84-F84</f>
        <v/>
      </c>
      <c r="I84" s="8">
        <f>IF(F84=0,0,G84/F84-1)</f>
        <v/>
      </c>
    </row>
    <row r="85">
      <c r="A85" s="6" t="inlineStr">
        <is>
          <t>1000.4300.1000.52010.300</t>
        </is>
      </c>
      <c r="B85" s="6" t="inlineStr">
        <is>
          <t>Summer School Teacher Benefits - FHS</t>
        </is>
      </c>
      <c r="C85" s="24" t="n">
        <v>0</v>
      </c>
      <c r="D85" s="24" t="n">
        <v>0</v>
      </c>
      <c r="E85" s="24" t="n">
        <v>1891.68</v>
      </c>
      <c r="F85" s="24" t="n">
        <v>0</v>
      </c>
      <c r="G85" s="24" t="n">
        <v>0</v>
      </c>
      <c r="H85" s="24">
        <f>G85-F85</f>
        <v/>
      </c>
      <c r="I85" s="8">
        <f>IF(F85=0,0,G85/F85-1)</f>
        <v/>
      </c>
    </row>
    <row r="86">
      <c r="A86" s="6" t="inlineStr">
        <is>
          <t>1000.4300.1000.52310.300</t>
        </is>
      </c>
      <c r="B86" s="6" t="inlineStr">
        <is>
          <t>Summer School Teacher Retirement - FHS</t>
        </is>
      </c>
      <c r="C86" s="24" t="n">
        <v>0</v>
      </c>
      <c r="D86" s="24" t="n">
        <v>0</v>
      </c>
      <c r="E86" s="24" t="n">
        <v>140.54</v>
      </c>
      <c r="F86" s="24" t="n">
        <v>0</v>
      </c>
      <c r="G86" s="24" t="n">
        <v>0</v>
      </c>
      <c r="H86" s="24">
        <f>G86-F86</f>
        <v/>
      </c>
      <c r="I86" s="8">
        <f>IF(F86=0,0,G86/F86-1)</f>
        <v/>
      </c>
    </row>
    <row r="87">
      <c r="A87" s="14" t="n"/>
      <c r="B87" s="28" t="inlineStr">
        <is>
          <t>Program 4300 Total</t>
        </is>
      </c>
      <c r="C87" s="29">
        <f>SUM(C84:C86)</f>
        <v/>
      </c>
      <c r="D87" s="29">
        <f>SUM(D84:D86)</f>
        <v/>
      </c>
      <c r="E87" s="29">
        <f>SUM(E84:E86)</f>
        <v/>
      </c>
      <c r="F87" s="29">
        <f>SUM(F84:F86)</f>
        <v/>
      </c>
      <c r="G87" s="29">
        <f>SUM(G84:G86)</f>
        <v/>
      </c>
      <c r="H87" s="29">
        <f>SUM(H84:H86)</f>
        <v/>
      </c>
      <c r="I87" s="29">
        <f>SUM(I84:I86)</f>
        <v/>
      </c>
    </row>
    <row r="88">
      <c r="A88" s="6" t="inlineStr">
        <is>
          <t>1000.9500.1000.51500.300</t>
        </is>
      </c>
      <c r="B88" s="6" t="inlineStr">
        <is>
          <t>Stipends</t>
        </is>
      </c>
      <c r="C88" s="24" t="n">
        <v>81262.81</v>
      </c>
      <c r="D88" s="24" t="n">
        <v>80157.39999999999</v>
      </c>
      <c r="E88" s="24" t="n">
        <v>70731</v>
      </c>
      <c r="F88" s="24" t="n">
        <v>80000</v>
      </c>
      <c r="G88" s="24" t="n">
        <v>93855</v>
      </c>
      <c r="H88" s="24">
        <f>G88-F88</f>
        <v/>
      </c>
      <c r="I88" s="8">
        <f>IF(F88=0,0,G88/F88-1)</f>
        <v/>
      </c>
    </row>
    <row r="89">
      <c r="A89" s="6" t="inlineStr">
        <is>
          <t>1000.9500.1000.52000.300</t>
        </is>
      </c>
      <c r="B89" s="6" t="inlineStr">
        <is>
          <t>Stipend Benefits</t>
        </is>
      </c>
      <c r="C89" s="24" t="n">
        <v>2001.47</v>
      </c>
      <c r="D89" s="24" t="n">
        <v>440.91</v>
      </c>
      <c r="E89" s="24" t="n">
        <v>4255.51</v>
      </c>
      <c r="F89" s="24" t="n">
        <v>3834</v>
      </c>
      <c r="G89" s="24" t="n">
        <v>2130</v>
      </c>
      <c r="H89" s="24">
        <f>G89-F89</f>
        <v/>
      </c>
      <c r="I89" s="8">
        <f>IF(F89=0,0,G89/F89-1)</f>
        <v/>
      </c>
    </row>
    <row r="90">
      <c r="A90" s="6" t="inlineStr">
        <is>
          <t>1000.9500.1000.52300.300</t>
        </is>
      </c>
      <c r="B90" s="6" t="inlineStr">
        <is>
          <t>Retirement</t>
        </is>
      </c>
      <c r="C90" s="24" t="n">
        <v>45.2</v>
      </c>
      <c r="D90" s="24" t="n">
        <v>0</v>
      </c>
      <c r="E90" s="24" t="n">
        <v>2380.76</v>
      </c>
      <c r="F90" s="24" t="n">
        <v>3189</v>
      </c>
      <c r="G90" s="24" t="n">
        <v>4195</v>
      </c>
      <c r="H90" s="24">
        <f>G90-F90</f>
        <v/>
      </c>
      <c r="I90" s="8">
        <f>IF(F90=0,0,G90/F90-1)</f>
        <v/>
      </c>
    </row>
    <row r="91">
      <c r="A91" s="6" t="inlineStr">
        <is>
          <t>1000.9500.1000.53400.300</t>
        </is>
      </c>
      <c r="B91" s="6" t="inlineStr">
        <is>
          <t>Co-Curricular Purch Professional</t>
        </is>
      </c>
      <c r="C91" s="24" t="n">
        <v>0</v>
      </c>
      <c r="D91" s="24" t="n">
        <v>0</v>
      </c>
      <c r="E91" s="24" t="n">
        <v>0</v>
      </c>
      <c r="F91" s="24" t="n">
        <v>0</v>
      </c>
      <c r="G91" s="24" t="n">
        <v>4377</v>
      </c>
      <c r="H91" s="24">
        <f>G91-F91</f>
        <v/>
      </c>
      <c r="I91" s="8">
        <f>IF(F91=0,0,G91/F91-1)</f>
        <v/>
      </c>
    </row>
    <row r="92">
      <c r="A92" s="6" t="inlineStr">
        <is>
          <t>1000.9500.1000.55800.300</t>
        </is>
      </c>
      <c r="B92" s="6" t="inlineStr">
        <is>
          <t>Co-Curricular Travel</t>
        </is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150</v>
      </c>
      <c r="H92" s="24">
        <f>G92-F92</f>
        <v/>
      </c>
      <c r="I92" s="8">
        <f>IF(F92=0,0,G92/F92-1)</f>
        <v/>
      </c>
    </row>
    <row r="93">
      <c r="A93" s="6" t="inlineStr">
        <is>
          <t>1000.9500.1000.56000.300</t>
        </is>
      </c>
      <c r="B93" s="6" t="inlineStr">
        <is>
          <t>Supplies</t>
        </is>
      </c>
      <c r="C93" s="24" t="n">
        <v>1116.02</v>
      </c>
      <c r="D93" s="24" t="n">
        <v>0</v>
      </c>
      <c r="E93" s="24" t="n">
        <v>697.9299999999999</v>
      </c>
      <c r="F93" s="24" t="n">
        <v>0</v>
      </c>
      <c r="G93" s="24" t="n">
        <v>0</v>
      </c>
      <c r="H93" s="24">
        <f>G93-F93</f>
        <v/>
      </c>
      <c r="I93" s="8">
        <f>IF(F93=0,0,G93/F93-1)</f>
        <v/>
      </c>
    </row>
    <row r="94">
      <c r="A94" s="6" t="inlineStr">
        <is>
          <t>1000.9500.1000.56100.300</t>
        </is>
      </c>
      <c r="B94" s="6" t="inlineStr">
        <is>
          <t>Instructional Supplies</t>
        </is>
      </c>
      <c r="C94" s="24" t="n">
        <v>0</v>
      </c>
      <c r="D94" s="24" t="n">
        <v>2692.79</v>
      </c>
      <c r="E94" s="24" t="n">
        <v>2550.74</v>
      </c>
      <c r="F94" s="24" t="n">
        <v>2205</v>
      </c>
      <c r="G94" s="24" t="n">
        <v>2670</v>
      </c>
      <c r="H94" s="24">
        <f>G94-F94</f>
        <v/>
      </c>
      <c r="I94" s="8">
        <f>IF(F94=0,0,G94/F94-1)</f>
        <v/>
      </c>
    </row>
    <row r="95">
      <c r="A95" s="6" t="inlineStr">
        <is>
          <t>1000.9500.1000.58100.300</t>
        </is>
      </c>
      <c r="B95" s="6" t="inlineStr">
        <is>
          <t>Dues and Fees</t>
        </is>
      </c>
      <c r="C95" s="24" t="n">
        <v>4595</v>
      </c>
      <c r="D95" s="24" t="n">
        <v>5643.07</v>
      </c>
      <c r="E95" s="24" t="n">
        <v>8397.219999999999</v>
      </c>
      <c r="F95" s="24" t="n">
        <v>13470</v>
      </c>
      <c r="G95" s="24" t="n">
        <v>9550</v>
      </c>
      <c r="H95" s="24">
        <f>G95-F95</f>
        <v/>
      </c>
      <c r="I95" s="8">
        <f>IF(F95=0,0,G95/F95-1)</f>
        <v/>
      </c>
    </row>
    <row r="96">
      <c r="A96" s="14" t="n"/>
      <c r="B96" s="28" t="inlineStr">
        <is>
          <t>Program 9500 Total</t>
        </is>
      </c>
      <c r="C96" s="29">
        <f>SUM(C88:C95)</f>
        <v/>
      </c>
      <c r="D96" s="29">
        <f>SUM(D88:D95)</f>
        <v/>
      </c>
      <c r="E96" s="29">
        <f>SUM(E88:E95)</f>
        <v/>
      </c>
      <c r="F96" s="29">
        <f>SUM(F88:F95)</f>
        <v/>
      </c>
      <c r="G96" s="29">
        <f>SUM(G88:G95)</f>
        <v/>
      </c>
      <c r="H96" s="29">
        <f>SUM(H88:H95)</f>
        <v/>
      </c>
      <c r="I96" s="29">
        <f>SUM(I88:I95)</f>
        <v/>
      </c>
    </row>
    <row r="97">
      <c r="A97" s="6" t="inlineStr">
        <is>
          <t>1000.9600.1000.51040.300</t>
        </is>
      </c>
      <c r="B97" s="6" t="inlineStr">
        <is>
          <t>Athletic Director Salaries</t>
        </is>
      </c>
      <c r="C97" s="24" t="n">
        <v>80857.89999999999</v>
      </c>
      <c r="D97" s="24" t="n">
        <v>0</v>
      </c>
      <c r="E97" s="24" t="n">
        <v>0</v>
      </c>
      <c r="F97" s="24" t="n">
        <v>0</v>
      </c>
      <c r="G97" s="24" t="n">
        <v>0</v>
      </c>
      <c r="H97" s="24">
        <f>G97-F97</f>
        <v/>
      </c>
      <c r="I97" s="8">
        <f>IF(F97=0,0,G97/F97-1)</f>
        <v/>
      </c>
    </row>
    <row r="98">
      <c r="A98" s="6" t="inlineStr">
        <is>
          <t>1000.9600.1000.51230.300</t>
        </is>
      </c>
      <c r="B98" s="6" t="inlineStr">
        <is>
          <t>Other Wages</t>
        </is>
      </c>
      <c r="C98" s="24" t="n">
        <v>14505.37</v>
      </c>
      <c r="D98" s="24" t="n">
        <v>0</v>
      </c>
      <c r="E98" s="24" t="n">
        <v>0</v>
      </c>
      <c r="F98" s="24" t="n">
        <v>0</v>
      </c>
      <c r="G98" s="24" t="n">
        <v>0</v>
      </c>
      <c r="H98" s="24">
        <f>G98-F98</f>
        <v/>
      </c>
      <c r="I98" s="8">
        <f>IF(F98=0,0,G98/F98-1)</f>
        <v/>
      </c>
    </row>
    <row r="99">
      <c r="A99" s="6" t="inlineStr">
        <is>
          <t>1000.9600.1000.51500.300</t>
        </is>
      </c>
      <c r="B99" s="6" t="inlineStr">
        <is>
          <t>Stipends-Coaches</t>
        </is>
      </c>
      <c r="C99" s="24" t="n">
        <v>108087.66</v>
      </c>
      <c r="D99" s="24" t="n">
        <v>151983.6</v>
      </c>
      <c r="E99" s="24" t="n">
        <v>155001.69</v>
      </c>
      <c r="F99" s="24" t="n">
        <v>164788</v>
      </c>
      <c r="G99" s="24" t="n">
        <v>163381</v>
      </c>
      <c r="H99" s="24">
        <f>G99-F99</f>
        <v/>
      </c>
      <c r="I99" s="8">
        <f>IF(F99=0,0,G99/F99-1)</f>
        <v/>
      </c>
    </row>
    <row r="100">
      <c r="A100" s="6" t="inlineStr">
        <is>
          <t>1000.9600.1000.52000.300</t>
        </is>
      </c>
      <c r="B100" s="6" t="inlineStr">
        <is>
          <t>Stipend Benefits</t>
        </is>
      </c>
      <c r="C100" s="24" t="n">
        <v>8050.66</v>
      </c>
      <c r="D100" s="24" t="n">
        <v>719.0700000000001</v>
      </c>
      <c r="E100" s="24" t="n">
        <v>10869.48</v>
      </c>
      <c r="F100" s="24" t="n">
        <v>8239</v>
      </c>
      <c r="G100" s="24" t="n">
        <v>3708</v>
      </c>
      <c r="H100" s="24">
        <f>G100-F100</f>
        <v/>
      </c>
      <c r="I100" s="8">
        <f>IF(F100=0,0,G100/F100-1)</f>
        <v/>
      </c>
    </row>
    <row r="101">
      <c r="A101" s="6" t="inlineStr">
        <is>
          <t>1000.9600.1000.52030.300</t>
        </is>
      </c>
      <c r="B101" s="6" t="inlineStr">
        <is>
          <t>Other Benefits</t>
        </is>
      </c>
      <c r="C101" s="24" t="n">
        <v>1377.34</v>
      </c>
      <c r="D101" s="24" t="n">
        <v>144.61</v>
      </c>
      <c r="E101" s="24" t="n">
        <v>1323.61</v>
      </c>
      <c r="F101" s="24" t="n">
        <v>0</v>
      </c>
      <c r="G101" s="24" t="n">
        <v>0</v>
      </c>
      <c r="H101" s="24">
        <f>G101-F101</f>
        <v/>
      </c>
      <c r="I101" s="8">
        <f>IF(F101=0,0,G101/F101-1)</f>
        <v/>
      </c>
    </row>
    <row r="102">
      <c r="A102" s="6" t="inlineStr">
        <is>
          <t>1000.9600.1000.52040.300</t>
        </is>
      </c>
      <c r="B102" s="6" t="inlineStr">
        <is>
          <t>Athletic Director Benefits</t>
        </is>
      </c>
      <c r="C102" s="24" t="n">
        <v>9370.75</v>
      </c>
      <c r="D102" s="24" t="n">
        <v>0</v>
      </c>
      <c r="E102" s="24" t="n">
        <v>0</v>
      </c>
      <c r="F102" s="24" t="n">
        <v>16364</v>
      </c>
      <c r="G102" s="24" t="n">
        <v>0</v>
      </c>
      <c r="H102" s="24">
        <f>G102-F102</f>
        <v/>
      </c>
      <c r="I102" s="8">
        <f>IF(F102=0,0,G102/F102-1)</f>
        <v/>
      </c>
    </row>
    <row r="103">
      <c r="A103" s="6" t="inlineStr">
        <is>
          <t>1000.9600.1000.52080.300</t>
        </is>
      </c>
      <c r="B103" s="6" t="inlineStr">
        <is>
          <t>Support Beneifts</t>
        </is>
      </c>
      <c r="C103" s="24" t="n">
        <v>0</v>
      </c>
      <c r="D103" s="24" t="n">
        <v>0</v>
      </c>
      <c r="E103" s="24" t="n">
        <v>0</v>
      </c>
      <c r="F103" s="24" t="n">
        <v>2121</v>
      </c>
      <c r="G103" s="24" t="n">
        <v>0</v>
      </c>
      <c r="H103" s="24">
        <f>G103-F103</f>
        <v/>
      </c>
      <c r="I103" s="8">
        <f>IF(F103=0,0,G103/F103-1)</f>
        <v/>
      </c>
    </row>
    <row r="104">
      <c r="A104" s="6" t="inlineStr">
        <is>
          <t>1000.9600.1000.52300.300</t>
        </is>
      </c>
      <c r="B104" s="6" t="inlineStr">
        <is>
          <t>Retirement</t>
        </is>
      </c>
      <c r="C104" s="24" t="n">
        <v>247.61</v>
      </c>
      <c r="D104" s="24" t="n">
        <v>116.48</v>
      </c>
      <c r="E104" s="24" t="n">
        <v>3797.32</v>
      </c>
      <c r="F104" s="24" t="n">
        <v>6855</v>
      </c>
      <c r="G104" s="24" t="n">
        <v>7303</v>
      </c>
      <c r="H104" s="24">
        <f>G104-F104</f>
        <v/>
      </c>
      <c r="I104" s="8">
        <f>IF(F104=0,0,G104/F104-1)</f>
        <v/>
      </c>
    </row>
    <row r="105">
      <c r="A105" s="6" t="inlineStr">
        <is>
          <t>1000.9600.1000.52330.300</t>
        </is>
      </c>
      <c r="B105" s="6" t="inlineStr">
        <is>
          <t>Retirement</t>
        </is>
      </c>
      <c r="C105" s="24" t="n">
        <v>61.98</v>
      </c>
      <c r="D105" s="24" t="n">
        <v>0</v>
      </c>
      <c r="E105" s="24" t="n">
        <v>0.96</v>
      </c>
      <c r="F105" s="24" t="n">
        <v>0</v>
      </c>
      <c r="G105" s="24" t="n">
        <v>0</v>
      </c>
      <c r="H105" s="24">
        <f>G105-F105</f>
        <v/>
      </c>
      <c r="I105" s="8">
        <f>IF(F105=0,0,G105/F105-1)</f>
        <v/>
      </c>
    </row>
    <row r="106">
      <c r="A106" s="6" t="inlineStr">
        <is>
          <t>1000.9600.1000.52340.300</t>
        </is>
      </c>
      <c r="B106" s="6" t="inlineStr">
        <is>
          <t>Retirement</t>
        </is>
      </c>
      <c r="C106" s="24" t="n">
        <v>3363.68</v>
      </c>
      <c r="D106" s="24" t="n">
        <v>0</v>
      </c>
      <c r="E106" s="24" t="n">
        <v>0</v>
      </c>
      <c r="F106" s="24" t="n">
        <v>3136</v>
      </c>
      <c r="G106" s="24" t="n">
        <v>0</v>
      </c>
      <c r="H106" s="24">
        <f>G106-F106</f>
        <v/>
      </c>
      <c r="I106" s="8">
        <f>IF(F106=0,0,G106/F106-1)</f>
        <v/>
      </c>
    </row>
    <row r="107">
      <c r="A107" s="6" t="inlineStr">
        <is>
          <t>1000.9600.1000.53000.300</t>
        </is>
      </c>
      <c r="B107" s="6" t="inlineStr">
        <is>
          <t>Game Officials</t>
        </is>
      </c>
      <c r="C107" s="24" t="n">
        <v>23029.98</v>
      </c>
      <c r="D107" s="24" t="n">
        <v>27704.56</v>
      </c>
      <c r="E107" s="24" t="n">
        <v>40556.96</v>
      </c>
      <c r="F107" s="24" t="n">
        <v>47407</v>
      </c>
      <c r="G107" s="24" t="n">
        <v>54557</v>
      </c>
      <c r="H107" s="24">
        <f>G107-F107</f>
        <v/>
      </c>
      <c r="I107" s="8">
        <f>IF(F107=0,0,G107/F107-1)</f>
        <v/>
      </c>
    </row>
    <row r="108">
      <c r="A108" s="6" t="inlineStr">
        <is>
          <t>1000.9600.1000.55000.300</t>
        </is>
      </c>
      <c r="B108" s="6" t="inlineStr">
        <is>
          <t>Purchased Services</t>
        </is>
      </c>
      <c r="C108" s="24" t="n">
        <v>23649.07</v>
      </c>
      <c r="D108" s="24" t="n">
        <v>28007.12</v>
      </c>
      <c r="E108" s="24" t="n">
        <v>25959.92</v>
      </c>
      <c r="F108" s="24" t="n">
        <v>58718</v>
      </c>
      <c r="G108" s="24" t="n">
        <v>103710</v>
      </c>
      <c r="H108" s="24">
        <f>G108-F108</f>
        <v/>
      </c>
      <c r="I108" s="8">
        <f>IF(F108=0,0,G108/F108-1)</f>
        <v/>
      </c>
    </row>
    <row r="109">
      <c r="A109" s="6" t="inlineStr">
        <is>
          <t>1000.9600.1000.55800.300</t>
        </is>
      </c>
      <c r="B109" s="6" t="inlineStr">
        <is>
          <t>Travel</t>
        </is>
      </c>
      <c r="C109" s="24" t="n">
        <v>862.72</v>
      </c>
      <c r="D109" s="24" t="n">
        <v>1806</v>
      </c>
      <c r="E109" s="24" t="n">
        <v>1276.33</v>
      </c>
      <c r="F109" s="24" t="n">
        <v>1270</v>
      </c>
      <c r="G109" s="24" t="n">
        <v>1270</v>
      </c>
      <c r="H109" s="24">
        <f>G109-F109</f>
        <v/>
      </c>
      <c r="I109" s="8">
        <f>IF(F109=0,0,G109/F109-1)</f>
        <v/>
      </c>
    </row>
    <row r="110">
      <c r="A110" s="6" t="inlineStr">
        <is>
          <t>1000.9600.1000.56000.300</t>
        </is>
      </c>
      <c r="B110" s="6" t="inlineStr">
        <is>
          <t>Supplies</t>
        </is>
      </c>
      <c r="C110" s="24" t="n">
        <v>25667.73</v>
      </c>
      <c r="D110" s="24" t="n">
        <v>45470.85</v>
      </c>
      <c r="E110" s="24" t="n">
        <v>39739.5</v>
      </c>
      <c r="F110" s="24" t="n">
        <v>41838</v>
      </c>
      <c r="G110" s="24" t="n">
        <v>42000</v>
      </c>
      <c r="H110" s="24">
        <f>G110-F110</f>
        <v/>
      </c>
      <c r="I110" s="8">
        <f>IF(F110=0,0,G110/F110-1)</f>
        <v/>
      </c>
    </row>
    <row r="111">
      <c r="A111" s="6" t="inlineStr">
        <is>
          <t>1000.9600.1000.58100.300</t>
        </is>
      </c>
      <c r="B111" s="6" t="inlineStr">
        <is>
          <t>Dues and Fees</t>
        </is>
      </c>
      <c r="C111" s="24" t="n">
        <v>33806.39</v>
      </c>
      <c r="D111" s="24" t="n">
        <v>34853.33</v>
      </c>
      <c r="E111" s="24" t="n">
        <v>43562.69</v>
      </c>
      <c r="F111" s="24" t="n">
        <v>46969</v>
      </c>
      <c r="G111" s="24" t="n">
        <v>50114</v>
      </c>
      <c r="H111" s="24">
        <f>G111-F111</f>
        <v/>
      </c>
      <c r="I111" s="8">
        <f>IF(F111=0,0,G111/F111-1)</f>
        <v/>
      </c>
    </row>
    <row r="112">
      <c r="A112" s="14" t="n"/>
      <c r="B112" s="28" t="inlineStr">
        <is>
          <t>Program 9600 Total</t>
        </is>
      </c>
      <c r="C112" s="29">
        <f>SUM(C97:C111)</f>
        <v/>
      </c>
      <c r="D112" s="29">
        <f>SUM(D97:D111)</f>
        <v/>
      </c>
      <c r="E112" s="29">
        <f>SUM(E97:E111)</f>
        <v/>
      </c>
      <c r="F112" s="29">
        <f>SUM(F97:F111)</f>
        <v/>
      </c>
      <c r="G112" s="29">
        <f>SUM(G97:G111)</f>
        <v/>
      </c>
      <c r="H112" s="29">
        <f>SUM(H97:H111)</f>
        <v/>
      </c>
      <c r="I112" s="29">
        <f>SUM(I97:I111)</f>
        <v/>
      </c>
    </row>
    <row r="113">
      <c r="A113" s="14" t="n"/>
      <c r="B113" s="30" t="inlineStr">
        <is>
          <t>Function 1000 Total</t>
        </is>
      </c>
      <c r="C113" s="31">
        <f>C87+C96+C112</f>
        <v/>
      </c>
      <c r="D113" s="31">
        <f>D87+D96+D112</f>
        <v/>
      </c>
      <c r="E113" s="31">
        <f>E87+E96+E112</f>
        <v/>
      </c>
      <c r="F113" s="31">
        <f>F87+F96+F112</f>
        <v/>
      </c>
      <c r="G113" s="31">
        <f>G87+G96+G112</f>
        <v/>
      </c>
      <c r="H113" s="31">
        <f>H87+H96+H112</f>
        <v/>
      </c>
      <c r="I113" s="31">
        <f>I87+I96+I112</f>
        <v/>
      </c>
    </row>
    <row r="114">
      <c r="A114" s="6" t="inlineStr">
        <is>
          <t>1000.9600.2330.51010.300</t>
        </is>
      </c>
      <c r="B114" s="6" t="inlineStr">
        <is>
          <t>Athletic Director Salary - FHS</t>
        </is>
      </c>
      <c r="C114" s="24" t="n">
        <v>0</v>
      </c>
      <c r="D114" s="24" t="n">
        <v>0</v>
      </c>
      <c r="E114" s="24" t="n">
        <v>73661.16</v>
      </c>
      <c r="F114" s="24" t="n">
        <v>75387</v>
      </c>
      <c r="G114" s="24" t="n">
        <v>76127</v>
      </c>
      <c r="H114" s="24">
        <f>G114-F114</f>
        <v/>
      </c>
      <c r="I114" s="8">
        <f>IF(F114=0,0,G114/F114-1)</f>
        <v/>
      </c>
    </row>
    <row r="115">
      <c r="A115" s="6" t="inlineStr">
        <is>
          <t>1000.9600.2330.51180.300</t>
        </is>
      </c>
      <c r="B115" s="6" t="inlineStr">
        <is>
          <t>Athletic Office Support Staff Wages - FHS</t>
        </is>
      </c>
      <c r="C115" s="24" t="n">
        <v>0</v>
      </c>
      <c r="D115" s="24" t="n">
        <v>0</v>
      </c>
      <c r="E115" s="24" t="n">
        <v>13273.45</v>
      </c>
      <c r="F115" s="24" t="n">
        <v>12189</v>
      </c>
      <c r="G115" s="24" t="n">
        <v>13926</v>
      </c>
      <c r="H115" s="24">
        <f>G115-F115</f>
        <v/>
      </c>
      <c r="I115" s="8">
        <f>IF(F115=0,0,G115/F115-1)</f>
        <v/>
      </c>
    </row>
    <row r="116">
      <c r="A116" s="6" t="inlineStr">
        <is>
          <t>1000.9600.2330.52010.300</t>
        </is>
      </c>
      <c r="B116" s="6" t="inlineStr">
        <is>
          <t>Athletic Director Benefits - FHS</t>
        </is>
      </c>
      <c r="C116" s="24" t="n">
        <v>0</v>
      </c>
      <c r="D116" s="24" t="n">
        <v>0</v>
      </c>
      <c r="E116" s="24" t="n">
        <v>13633.39</v>
      </c>
      <c r="F116" s="24" t="n">
        <v>0</v>
      </c>
      <c r="G116" s="24" t="n">
        <v>42639</v>
      </c>
      <c r="H116" s="24">
        <f>G116-F116</f>
        <v/>
      </c>
      <c r="I116" s="8">
        <f>IF(F116=0,0,G116/F116-1)</f>
        <v/>
      </c>
    </row>
    <row r="117">
      <c r="A117" s="6" t="inlineStr">
        <is>
          <t>1000.9600.2330.52080.300</t>
        </is>
      </c>
      <c r="B117" s="6" t="inlineStr">
        <is>
          <t>Athletic Office Support Staff Benefits - FHS</t>
        </is>
      </c>
      <c r="C117" s="24" t="n">
        <v>0</v>
      </c>
      <c r="D117" s="24" t="n">
        <v>0</v>
      </c>
      <c r="E117" s="24" t="n">
        <v>1043.5</v>
      </c>
      <c r="F117" s="24" t="n">
        <v>0</v>
      </c>
      <c r="G117" s="24" t="n">
        <v>3662</v>
      </c>
      <c r="H117" s="24">
        <f>G117-F117</f>
        <v/>
      </c>
      <c r="I117" s="8">
        <f>IF(F117=0,0,G117/F117-1)</f>
        <v/>
      </c>
    </row>
    <row r="118">
      <c r="A118" s="6" t="inlineStr">
        <is>
          <t>1000.9600.2330.52310.300</t>
        </is>
      </c>
      <c r="B118" s="6" t="inlineStr">
        <is>
          <t>Athletic Director Retirement - FHS</t>
        </is>
      </c>
      <c r="C118" s="24" t="n">
        <v>0</v>
      </c>
      <c r="D118" s="24" t="n">
        <v>0</v>
      </c>
      <c r="E118" s="24" t="n">
        <v>2828.64</v>
      </c>
      <c r="F118" s="24" t="n">
        <v>0</v>
      </c>
      <c r="G118" s="24" t="n">
        <v>4536</v>
      </c>
      <c r="H118" s="24">
        <f>G118-F118</f>
        <v/>
      </c>
      <c r="I118" s="8">
        <f>IF(F118=0,0,G118/F118-1)</f>
        <v/>
      </c>
    </row>
    <row r="119">
      <c r="A119" s="14" t="n"/>
      <c r="B119" s="28" t="inlineStr">
        <is>
          <t>Program 9600 Total</t>
        </is>
      </c>
      <c r="C119" s="29">
        <f>SUM(C114:C118)</f>
        <v/>
      </c>
      <c r="D119" s="29">
        <f>SUM(D114:D118)</f>
        <v/>
      </c>
      <c r="E119" s="29">
        <f>SUM(E114:E118)</f>
        <v/>
      </c>
      <c r="F119" s="29">
        <f>SUM(F114:F118)</f>
        <v/>
      </c>
      <c r="G119" s="29">
        <f>SUM(G114:G118)</f>
        <v/>
      </c>
      <c r="H119" s="29">
        <f>SUM(H114:H118)</f>
        <v/>
      </c>
      <c r="I119" s="29">
        <f>SUM(I114:I118)</f>
        <v/>
      </c>
    </row>
    <row r="120">
      <c r="A120" s="14" t="n"/>
      <c r="B120" s="17" t="inlineStr">
        <is>
          <t>Cost Center ('300',) Total</t>
        </is>
      </c>
      <c r="C120" s="32">
        <f>C113+C119</f>
        <v/>
      </c>
      <c r="D120" s="32">
        <f>D113+D119</f>
        <v/>
      </c>
      <c r="E120" s="32">
        <f>E113+E119</f>
        <v/>
      </c>
      <c r="F120" s="32">
        <f>F113+F119</f>
        <v/>
      </c>
      <c r="G120" s="32">
        <f>G113+G119</f>
        <v/>
      </c>
      <c r="H120" s="32">
        <f>H113+H119</f>
        <v/>
      </c>
      <c r="I120" s="32">
        <f>I113+I119</f>
        <v/>
      </c>
    </row>
    <row r="122">
      <c r="A122" s="3" t="inlineStr">
        <is>
          <t>Cost Center: ('950',)</t>
        </is>
      </c>
    </row>
    <row r="123">
      <c r="A123" s="6" t="inlineStr">
        <is>
          <t>1000.9100.1000.51500.950</t>
        </is>
      </c>
      <c r="B123" s="6" t="inlineStr">
        <is>
          <t>Stipends Paid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1272</v>
      </c>
      <c r="H123" s="24">
        <f>G123-F123</f>
        <v/>
      </c>
      <c r="I123" s="8">
        <f>IF(F123=0,0,G123/F123-1)</f>
        <v/>
      </c>
    </row>
    <row r="124">
      <c r="A124" s="6" t="inlineStr">
        <is>
          <t>1000.9100.1000.52000.950</t>
        </is>
      </c>
      <c r="B124" s="6" t="inlineStr">
        <is>
          <t>Employee Benefits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30</v>
      </c>
      <c r="H124" s="24">
        <f>G124-F124</f>
        <v/>
      </c>
      <c r="I124" s="8">
        <f>IF(F124=0,0,G124/F124-1)</f>
        <v/>
      </c>
    </row>
    <row r="125">
      <c r="A125" s="14" t="n"/>
      <c r="B125" s="28" t="inlineStr">
        <is>
          <t>Program 9100 Total</t>
        </is>
      </c>
      <c r="C125" s="29">
        <f>SUM(C123:C124)</f>
        <v/>
      </c>
      <c r="D125" s="29">
        <f>SUM(D123:D124)</f>
        <v/>
      </c>
      <c r="E125" s="29">
        <f>SUM(E123:E124)</f>
        <v/>
      </c>
      <c r="F125" s="29">
        <f>SUM(F123:F124)</f>
        <v/>
      </c>
      <c r="G125" s="29">
        <f>SUM(G123:G124)</f>
        <v/>
      </c>
      <c r="H125" s="29">
        <f>SUM(H123:H124)</f>
        <v/>
      </c>
      <c r="I125" s="29">
        <f>SUM(I123:I124)</f>
        <v/>
      </c>
    </row>
    <row r="126">
      <c r="A126" s="14" t="n"/>
      <c r="B126" s="17" t="inlineStr">
        <is>
          <t>Cost Center ('950',) Total</t>
        </is>
      </c>
      <c r="C126" s="32">
        <f>C125</f>
        <v/>
      </c>
      <c r="D126" s="32">
        <f>D125</f>
        <v/>
      </c>
      <c r="E126" s="32">
        <f>E125</f>
        <v/>
      </c>
      <c r="F126" s="32">
        <f>F125</f>
        <v/>
      </c>
      <c r="G126" s="32">
        <f>G125</f>
        <v/>
      </c>
      <c r="H126" s="32">
        <f>H125</f>
        <v/>
      </c>
      <c r="I126" s="32">
        <f>I125</f>
        <v/>
      </c>
    </row>
    <row r="128">
      <c r="A128" s="3" t="inlineStr">
        <is>
          <t>Cost Center: ('990',)</t>
        </is>
      </c>
    </row>
    <row r="129">
      <c r="A129" s="6" t="inlineStr">
        <is>
          <t>1000.9600.2700.56260.990</t>
        </is>
      </c>
      <c r="B129" s="6" t="inlineStr">
        <is>
          <t>Extra Curricular Fleet Fuel</t>
        </is>
      </c>
      <c r="C129" s="24" t="n">
        <v>0</v>
      </c>
      <c r="D129" s="24" t="n">
        <v>0</v>
      </c>
      <c r="E129" s="24" t="n">
        <v>72.40000000000001</v>
      </c>
      <c r="F129" s="24" t="n">
        <v>0</v>
      </c>
      <c r="G129" s="24" t="n">
        <v>0</v>
      </c>
      <c r="H129" s="24">
        <f>G129-F129</f>
        <v/>
      </c>
      <c r="I129" s="8">
        <f>IF(F129=0,0,G129/F129-1)</f>
        <v/>
      </c>
    </row>
    <row r="130">
      <c r="A130" s="6" t="inlineStr">
        <is>
          <t>1000.9600.2700.58500.990</t>
        </is>
      </c>
      <c r="B130" s="6" t="inlineStr">
        <is>
          <t>Extra-Curricular Purchased Transporation</t>
        </is>
      </c>
      <c r="C130" s="24" t="n">
        <v>0</v>
      </c>
      <c r="D130" s="24" t="n">
        <v>0</v>
      </c>
      <c r="E130" s="24" t="n">
        <v>154</v>
      </c>
      <c r="F130" s="24" t="n">
        <v>0</v>
      </c>
      <c r="G130" s="24" t="n">
        <v>0</v>
      </c>
      <c r="H130" s="24">
        <f>G130-F130</f>
        <v/>
      </c>
      <c r="I130" s="8">
        <f>IF(F130=0,0,G130/F130-1)</f>
        <v/>
      </c>
    </row>
    <row r="131">
      <c r="A131" s="14" t="n"/>
      <c r="B131" s="28" t="inlineStr">
        <is>
          <t>Program 9600 Total</t>
        </is>
      </c>
      <c r="C131" s="29">
        <f>SUM(C129:C130)</f>
        <v/>
      </c>
      <c r="D131" s="29">
        <f>SUM(D129:D130)</f>
        <v/>
      </c>
      <c r="E131" s="29">
        <f>SUM(E129:E130)</f>
        <v/>
      </c>
      <c r="F131" s="29">
        <f>SUM(F129:F130)</f>
        <v/>
      </c>
      <c r="G131" s="29">
        <f>SUM(G129:G130)</f>
        <v/>
      </c>
      <c r="H131" s="29">
        <f>SUM(H129:H130)</f>
        <v/>
      </c>
      <c r="I131" s="29">
        <f>SUM(I129:I130)</f>
        <v/>
      </c>
    </row>
    <row r="132">
      <c r="A132" s="14" t="n"/>
      <c r="B132" s="17" t="inlineStr">
        <is>
          <t>Cost Center ('990',) Total</t>
        </is>
      </c>
      <c r="C132" s="32">
        <f>C131</f>
        <v/>
      </c>
      <c r="D132" s="32">
        <f>D131</f>
        <v/>
      </c>
      <c r="E132" s="32">
        <f>E131</f>
        <v/>
      </c>
      <c r="F132" s="32">
        <f>F131</f>
        <v/>
      </c>
      <c r="G132" s="32">
        <f>G131</f>
        <v/>
      </c>
      <c r="H132" s="32">
        <f>H131</f>
        <v/>
      </c>
      <c r="I132" s="32">
        <f>I131</f>
        <v/>
      </c>
    </row>
    <row r="134">
      <c r="A134" s="14" t="n"/>
      <c r="B134" s="33" t="inlineStr">
        <is>
          <t>ARTICLE 4 TOTAL</t>
        </is>
      </c>
      <c r="C134" s="34">
        <f>C21+C28+C41+C49+C81+C120+C126+C132</f>
        <v/>
      </c>
      <c r="D134" s="34">
        <f>D21+D28+D41+D49+D81+D120+D126+D132</f>
        <v/>
      </c>
      <c r="E134" s="34">
        <f>E21+E28+E41+E49+E81+E120+E126+E132</f>
        <v/>
      </c>
      <c r="F134" s="34">
        <f>F21+F28+F41+F49+F81+F120+F126+F132</f>
        <v/>
      </c>
      <c r="G134" s="34">
        <f>G21+G28+G41+G49+G81+G120+G126+G132</f>
        <v/>
      </c>
      <c r="H134" s="34">
        <f>H21+H28+H41+H49+H81+H120+H126+H132</f>
        <v/>
      </c>
      <c r="I134" s="34">
        <f>I21+I28+I41+I49+I81+I120+I126+I132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I37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5 - Student &amp; Staff Support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1000.0000.2110.51010.010</t>
        </is>
      </c>
      <c r="B7" s="6" t="inlineStr">
        <is>
          <t>Social Worker Salaries</t>
        </is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35000</v>
      </c>
      <c r="H7" s="24">
        <f>G7-F7</f>
        <v/>
      </c>
      <c r="I7" s="8">
        <f>IF(F7=0,0,G7/F7-1)</f>
        <v/>
      </c>
    </row>
    <row r="8">
      <c r="A8" s="6" t="inlineStr">
        <is>
          <t>1000.0000.2110.52010.010</t>
        </is>
      </c>
      <c r="B8" s="6" t="inlineStr">
        <is>
          <t>Social Worker Benefits</t>
        </is>
      </c>
      <c r="C8" s="24" t="n">
        <v>0</v>
      </c>
      <c r="D8" s="24" t="n">
        <v>0</v>
      </c>
      <c r="E8" s="24" t="n">
        <v>0</v>
      </c>
      <c r="F8" s="24" t="n">
        <v>0</v>
      </c>
      <c r="G8" s="24" t="n">
        <v>10781</v>
      </c>
      <c r="H8" s="24">
        <f>G8-F8</f>
        <v/>
      </c>
      <c r="I8" s="8">
        <f>IF(F8=0,0,G8/F8-1)</f>
        <v/>
      </c>
    </row>
    <row r="9">
      <c r="A9" s="6" t="inlineStr">
        <is>
          <t>1000.0000.2110.52310.010</t>
        </is>
      </c>
      <c r="B9" s="6" t="inlineStr">
        <is>
          <t>Social Worker Retirement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1565</v>
      </c>
      <c r="H9" s="24">
        <f>G9-F9</f>
        <v/>
      </c>
      <c r="I9" s="8">
        <f>IF(F9=0,0,G9/F9-1)</f>
        <v/>
      </c>
    </row>
    <row r="10">
      <c r="A10" s="14" t="n"/>
      <c r="B10" s="28" t="inlineStr">
        <is>
          <t>Program 0000 Total</t>
        </is>
      </c>
      <c r="C10" s="29">
        <f>SUM(C7:C9)</f>
        <v/>
      </c>
      <c r="D10" s="29">
        <f>SUM(D7:D9)</f>
        <v/>
      </c>
      <c r="E10" s="29">
        <f>SUM(E7:E9)</f>
        <v/>
      </c>
      <c r="F10" s="29">
        <f>SUM(F7:F9)</f>
        <v/>
      </c>
      <c r="G10" s="29">
        <f>SUM(G7:G9)</f>
        <v/>
      </c>
      <c r="H10" s="29">
        <f>SUM(H7:H9)</f>
        <v/>
      </c>
      <c r="I10" s="29">
        <f>SUM(I7:I9)</f>
        <v/>
      </c>
    </row>
    <row r="11">
      <c r="A11" s="6" t="inlineStr">
        <is>
          <t>1000.0000.2120.51010.010</t>
        </is>
      </c>
      <c r="B11" s="6" t="inlineStr">
        <is>
          <t>Guidance Salaries</t>
        </is>
      </c>
      <c r="C11" s="24" t="n">
        <v>58967.74</v>
      </c>
      <c r="D11" s="24" t="n">
        <v>55616.41</v>
      </c>
      <c r="E11" s="24" t="n">
        <v>97478.35000000001</v>
      </c>
      <c r="F11" s="24" t="n">
        <v>104837</v>
      </c>
      <c r="G11" s="24" t="n">
        <v>149369</v>
      </c>
      <c r="H11" s="24">
        <f>G11-F11</f>
        <v/>
      </c>
      <c r="I11" s="8">
        <f>IF(F11=0,0,G11/F11-1)</f>
        <v/>
      </c>
    </row>
    <row r="12">
      <c r="A12" s="6" t="inlineStr">
        <is>
          <t>1000.0000.2120.52010.010</t>
        </is>
      </c>
      <c r="B12" s="6" t="inlineStr">
        <is>
          <t>Benefits</t>
        </is>
      </c>
      <c r="C12" s="24" t="n">
        <v>5541.9</v>
      </c>
      <c r="D12" s="24" t="n">
        <v>3385.99</v>
      </c>
      <c r="E12" s="24" t="n">
        <v>11156.53</v>
      </c>
      <c r="F12" s="24" t="n">
        <v>16523</v>
      </c>
      <c r="G12" s="24" t="n">
        <v>25594</v>
      </c>
      <c r="H12" s="24">
        <f>G12-F12</f>
        <v/>
      </c>
      <c r="I12" s="8">
        <f>IF(F12=0,0,G12/F12-1)</f>
        <v/>
      </c>
    </row>
    <row r="13">
      <c r="A13" s="6" t="inlineStr">
        <is>
          <t>1000.0000.2120.52310.010</t>
        </is>
      </c>
      <c r="B13" s="6" t="inlineStr">
        <is>
          <t>Retirement</t>
        </is>
      </c>
      <c r="C13" s="24" t="n">
        <v>2588.64</v>
      </c>
      <c r="D13" s="24" t="n">
        <v>610.4299999999999</v>
      </c>
      <c r="E13" s="24" t="n">
        <v>3743.1</v>
      </c>
      <c r="F13" s="24" t="n">
        <v>4377</v>
      </c>
      <c r="G13" s="24" t="n">
        <v>6676</v>
      </c>
      <c r="H13" s="24">
        <f>G13-F13</f>
        <v/>
      </c>
      <c r="I13" s="8">
        <f>IF(F13=0,0,G13/F13-1)</f>
        <v/>
      </c>
    </row>
    <row r="14">
      <c r="A14" s="6" t="inlineStr">
        <is>
          <t>1000.0000.2120.53000.010</t>
        </is>
      </c>
      <c r="B14" s="6" t="inlineStr">
        <is>
          <t>Professional Services</t>
        </is>
      </c>
      <c r="C14" s="24" t="n">
        <v>0</v>
      </c>
      <c r="D14" s="24" t="n">
        <v>0</v>
      </c>
      <c r="E14" s="24" t="n">
        <v>0</v>
      </c>
      <c r="F14" s="24" t="n">
        <v>300</v>
      </c>
      <c r="G14" s="24" t="n">
        <v>300</v>
      </c>
      <c r="H14" s="24">
        <f>G14-F14</f>
        <v/>
      </c>
      <c r="I14" s="8">
        <f>IF(F14=0,0,G14/F14-1)</f>
        <v/>
      </c>
    </row>
    <row r="15">
      <c r="A15" s="6" t="inlineStr">
        <is>
          <t>1000.0000.2120.54330.010</t>
        </is>
      </c>
      <c r="B15" s="6" t="inlineStr">
        <is>
          <t>Software</t>
        </is>
      </c>
      <c r="C15" s="24" t="n">
        <v>0</v>
      </c>
      <c r="D15" s="24" t="n">
        <v>0</v>
      </c>
      <c r="E15" s="24" t="n">
        <v>333.33</v>
      </c>
      <c r="F15" s="24" t="n">
        <v>334</v>
      </c>
      <c r="G15" s="24" t="n">
        <v>334</v>
      </c>
      <c r="H15" s="24">
        <f>G15-F15</f>
        <v/>
      </c>
      <c r="I15" s="8">
        <f>IF(F15=0,0,G15/F15-1)</f>
        <v/>
      </c>
    </row>
    <row r="16">
      <c r="A16" s="6" t="inlineStr">
        <is>
          <t>1000.0000.2120.55810.010</t>
        </is>
      </c>
      <c r="B16" s="6" t="inlineStr">
        <is>
          <t>Travel - Guidance</t>
        </is>
      </c>
      <c r="C16" s="24" t="n">
        <v>0</v>
      </c>
      <c r="D16" s="24" t="n">
        <v>0</v>
      </c>
      <c r="E16" s="24" t="n">
        <v>0</v>
      </c>
      <c r="F16" s="24" t="n">
        <v>0</v>
      </c>
      <c r="G16" s="24" t="n">
        <v>200</v>
      </c>
      <c r="H16" s="24">
        <f>G16-F16</f>
        <v/>
      </c>
      <c r="I16" s="8">
        <f>IF(F16=0,0,G16/F16-1)</f>
        <v/>
      </c>
    </row>
    <row r="17">
      <c r="A17" s="6" t="inlineStr">
        <is>
          <t>1000.0000.2120.56100.010</t>
        </is>
      </c>
      <c r="B17" s="6" t="inlineStr">
        <is>
          <t>Supplies</t>
        </is>
      </c>
      <c r="C17" s="24" t="n">
        <v>325.92</v>
      </c>
      <c r="D17" s="24" t="n">
        <v>535.09</v>
      </c>
      <c r="E17" s="24" t="n">
        <v>94.31</v>
      </c>
      <c r="F17" s="24" t="n">
        <v>250</v>
      </c>
      <c r="G17" s="24" t="n">
        <v>525</v>
      </c>
      <c r="H17" s="24">
        <f>G17-F17</f>
        <v/>
      </c>
      <c r="I17" s="8">
        <f>IF(F17=0,0,G17/F17-1)</f>
        <v/>
      </c>
    </row>
    <row r="18">
      <c r="A18" s="6" t="inlineStr">
        <is>
          <t>1000.0000.2120.57300.010</t>
        </is>
      </c>
      <c r="B18" s="6" t="inlineStr">
        <is>
          <t>Equipment</t>
        </is>
      </c>
      <c r="C18" s="24" t="n">
        <v>0</v>
      </c>
      <c r="D18" s="24" t="n">
        <v>266.82</v>
      </c>
      <c r="E18" s="24" t="n">
        <v>500</v>
      </c>
      <c r="F18" s="24" t="n">
        <v>500</v>
      </c>
      <c r="G18" s="24" t="n">
        <v>750</v>
      </c>
      <c r="H18" s="24">
        <f>G18-F18</f>
        <v/>
      </c>
      <c r="I18" s="8">
        <f>IF(F18=0,0,G18/F18-1)</f>
        <v/>
      </c>
    </row>
    <row r="19">
      <c r="A19" s="6" t="inlineStr">
        <is>
          <t>1000.0000.2120.58100.010</t>
        </is>
      </c>
      <c r="B19" s="6" t="inlineStr">
        <is>
          <t>Dues &amp; Fees</t>
        </is>
      </c>
      <c r="C19" s="24" t="n">
        <v>0</v>
      </c>
      <c r="D19" s="24" t="n">
        <v>0</v>
      </c>
      <c r="E19" s="24" t="n">
        <v>254</v>
      </c>
      <c r="F19" s="24" t="n">
        <v>508</v>
      </c>
      <c r="G19" s="24" t="n">
        <v>608</v>
      </c>
      <c r="H19" s="24">
        <f>G19-F19</f>
        <v/>
      </c>
      <c r="I19" s="8">
        <f>IF(F19=0,0,G19/F19-1)</f>
        <v/>
      </c>
    </row>
    <row r="20">
      <c r="A20" s="14" t="n"/>
      <c r="B20" s="28" t="inlineStr">
        <is>
          <t>Program 0000 Total</t>
        </is>
      </c>
      <c r="C20" s="29">
        <f>SUM(C11:C19)</f>
        <v/>
      </c>
      <c r="D20" s="29">
        <f>SUM(D11:D19)</f>
        <v/>
      </c>
      <c r="E20" s="29">
        <f>SUM(E11:E19)</f>
        <v/>
      </c>
      <c r="F20" s="29">
        <f>SUM(F11:F19)</f>
        <v/>
      </c>
      <c r="G20" s="29">
        <f>SUM(G11:G19)</f>
        <v/>
      </c>
      <c r="H20" s="29">
        <f>SUM(H11:H19)</f>
        <v/>
      </c>
      <c r="I20" s="29">
        <f>SUM(I11:I19)</f>
        <v/>
      </c>
    </row>
    <row r="21">
      <c r="A21" s="6" t="inlineStr">
        <is>
          <t>1000.0000.2130.51010.010</t>
        </is>
      </c>
      <c r="B21" s="6" t="inlineStr">
        <is>
          <t>Nurse Salary</t>
        </is>
      </c>
      <c r="C21" s="24" t="n">
        <v>65996.06</v>
      </c>
      <c r="D21" s="24" t="n">
        <v>68809.41</v>
      </c>
      <c r="E21" s="24" t="n">
        <v>82035.8</v>
      </c>
      <c r="F21" s="24" t="n">
        <v>72464</v>
      </c>
      <c r="G21" s="24" t="n">
        <v>75001</v>
      </c>
      <c r="H21" s="24">
        <f>G21-F21</f>
        <v/>
      </c>
      <c r="I21" s="8">
        <f>IF(F21=0,0,G21/F21-1)</f>
        <v/>
      </c>
    </row>
    <row r="22">
      <c r="A22" s="6" t="inlineStr">
        <is>
          <t>1000.0000.2130.51200.010</t>
        </is>
      </c>
      <c r="B22" s="6" t="inlineStr">
        <is>
          <t>Nurse Substitute - DCS</t>
        </is>
      </c>
      <c r="C22" s="24" t="n">
        <v>0</v>
      </c>
      <c r="D22" s="24" t="n">
        <v>0</v>
      </c>
      <c r="E22" s="24" t="n">
        <v>1470</v>
      </c>
      <c r="F22" s="24" t="n">
        <v>0</v>
      </c>
      <c r="G22" s="24" t="n">
        <v>0</v>
      </c>
      <c r="H22" s="24">
        <f>G22-F22</f>
        <v/>
      </c>
      <c r="I22" s="8">
        <f>IF(F22=0,0,G22/F22-1)</f>
        <v/>
      </c>
    </row>
    <row r="23">
      <c r="A23" s="6" t="inlineStr">
        <is>
          <t>1000.0000.2130.52000.010</t>
        </is>
      </c>
      <c r="B23" s="6" t="inlineStr">
        <is>
          <t>Employee Benefits</t>
        </is>
      </c>
      <c r="C23" s="24" t="n">
        <v>0</v>
      </c>
      <c r="D23" s="24" t="n">
        <v>0</v>
      </c>
      <c r="E23" s="24" t="n">
        <v>28.7</v>
      </c>
      <c r="F23" s="24" t="n">
        <v>0</v>
      </c>
      <c r="G23" s="24" t="n">
        <v>0</v>
      </c>
      <c r="H23" s="24">
        <f>G23-F23</f>
        <v/>
      </c>
      <c r="I23" s="8">
        <f>IF(F23=0,0,G23/F23-1)</f>
        <v/>
      </c>
    </row>
    <row r="24">
      <c r="A24" s="6" t="inlineStr">
        <is>
          <t>1000.0000.2130.52010.010</t>
        </is>
      </c>
      <c r="B24" s="6" t="inlineStr">
        <is>
          <t>Nurse Benefits</t>
        </is>
      </c>
      <c r="C24" s="24" t="n">
        <v>15120.47</v>
      </c>
      <c r="D24" s="24" t="n">
        <v>3342.45</v>
      </c>
      <c r="E24" s="24" t="n">
        <v>20269.2</v>
      </c>
      <c r="F24" s="24" t="n">
        <v>16073</v>
      </c>
      <c r="G24" s="24" t="n">
        <v>20643</v>
      </c>
      <c r="H24" s="24">
        <f>G24-F24</f>
        <v/>
      </c>
      <c r="I24" s="8">
        <f>IF(F24=0,0,G24/F24-1)</f>
        <v/>
      </c>
    </row>
    <row r="25">
      <c r="A25" s="6" t="inlineStr">
        <is>
          <t>1000.0000.2130.52300.010</t>
        </is>
      </c>
      <c r="B25" s="6" t="inlineStr">
        <is>
          <t>Retirement - Stipends</t>
        </is>
      </c>
      <c r="C25" s="24" t="n">
        <v>0</v>
      </c>
      <c r="D25" s="24" t="n">
        <v>0</v>
      </c>
      <c r="E25" s="24" t="n">
        <v>53.78</v>
      </c>
      <c r="F25" s="24" t="n">
        <v>0</v>
      </c>
      <c r="G25" s="24" t="n">
        <v>0</v>
      </c>
      <c r="H25" s="24">
        <f>G25-F25</f>
        <v/>
      </c>
      <c r="I25" s="8">
        <f>IF(F25=0,0,G25/F25-1)</f>
        <v/>
      </c>
    </row>
    <row r="26">
      <c r="A26" s="6" t="inlineStr">
        <is>
          <t>1000.0000.2130.52310.010</t>
        </is>
      </c>
      <c r="B26" s="6" t="inlineStr">
        <is>
          <t>Retirement</t>
        </is>
      </c>
      <c r="C26" s="24" t="n">
        <v>2745.34</v>
      </c>
      <c r="D26" s="24" t="n">
        <v>649.02</v>
      </c>
      <c r="E26" s="24" t="n">
        <v>4728.33</v>
      </c>
      <c r="F26" s="24" t="n">
        <v>3014</v>
      </c>
      <c r="G26" s="24" t="n">
        <v>3353</v>
      </c>
      <c r="H26" s="24">
        <f>G26-F26</f>
        <v/>
      </c>
      <c r="I26" s="8">
        <f>IF(F26=0,0,G26/F26-1)</f>
        <v/>
      </c>
    </row>
    <row r="27">
      <c r="A27" s="6" t="inlineStr">
        <is>
          <t>1000.0000.2130.53000.010</t>
        </is>
      </c>
      <c r="B27" s="6" t="inlineStr">
        <is>
          <t>Professional Services</t>
        </is>
      </c>
      <c r="C27" s="24" t="n">
        <v>0</v>
      </c>
      <c r="D27" s="24" t="n">
        <v>129</v>
      </c>
      <c r="E27" s="24" t="n">
        <v>31</v>
      </c>
      <c r="F27" s="24" t="n">
        <v>300</v>
      </c>
      <c r="G27" s="24" t="n">
        <v>300</v>
      </c>
      <c r="H27" s="24">
        <f>G27-F27</f>
        <v/>
      </c>
      <c r="I27" s="8">
        <f>IF(F27=0,0,G27/F27-1)</f>
        <v/>
      </c>
    </row>
    <row r="28">
      <c r="A28" s="6" t="inlineStr">
        <is>
          <t>1000.0000.2130.54310.010</t>
        </is>
      </c>
      <c r="B28" s="6" t="inlineStr">
        <is>
          <t>Repairs &amp; Maintenance</t>
        </is>
      </c>
      <c r="C28" s="24" t="n">
        <v>0</v>
      </c>
      <c r="D28" s="24" t="n">
        <v>0</v>
      </c>
      <c r="E28" s="24" t="n">
        <v>0</v>
      </c>
      <c r="F28" s="24" t="n">
        <v>135</v>
      </c>
      <c r="G28" s="24" t="n">
        <v>135</v>
      </c>
      <c r="H28" s="24">
        <f>G28-F28</f>
        <v/>
      </c>
      <c r="I28" s="8">
        <f>IF(F28=0,0,G28/F28-1)</f>
        <v/>
      </c>
    </row>
    <row r="29">
      <c r="A29" s="6" t="inlineStr">
        <is>
          <t>1000.0000.2130.55800.010</t>
        </is>
      </c>
      <c r="B29" s="6" t="inlineStr">
        <is>
          <t>Travel</t>
        </is>
      </c>
      <c r="C29" s="24" t="n">
        <v>0</v>
      </c>
      <c r="D29" s="24" t="n">
        <v>0</v>
      </c>
      <c r="E29" s="24" t="n">
        <v>5.04</v>
      </c>
      <c r="F29" s="24" t="n">
        <v>100</v>
      </c>
      <c r="G29" s="24" t="n">
        <v>0</v>
      </c>
      <c r="H29" s="24">
        <f>G29-F29</f>
        <v/>
      </c>
      <c r="I29" s="8">
        <f>IF(F29=0,0,G29/F29-1)</f>
        <v/>
      </c>
    </row>
    <row r="30">
      <c r="A30" s="6" t="inlineStr">
        <is>
          <t>1000.0000.2130.56000.010</t>
        </is>
      </c>
      <c r="B30" s="6" t="inlineStr">
        <is>
          <t>Supplies</t>
        </is>
      </c>
      <c r="C30" s="24" t="n">
        <v>1093.4</v>
      </c>
      <c r="D30" s="24" t="n">
        <v>1019.53</v>
      </c>
      <c r="E30" s="24" t="n">
        <v>792.1799999999999</v>
      </c>
      <c r="F30" s="24" t="n">
        <v>1228.78</v>
      </c>
      <c r="G30" s="24" t="n">
        <v>1437</v>
      </c>
      <c r="H30" s="24">
        <f>G30-F30</f>
        <v/>
      </c>
      <c r="I30" s="8">
        <f>IF(F30=0,0,G30/F30-1)</f>
        <v/>
      </c>
    </row>
    <row r="31">
      <c r="A31" s="14" t="n"/>
      <c r="B31" s="28" t="inlineStr">
        <is>
          <t>Program 0000 Total</t>
        </is>
      </c>
      <c r="C31" s="29">
        <f>SUM(C21:C30)</f>
        <v/>
      </c>
      <c r="D31" s="29">
        <f>SUM(D21:D30)</f>
        <v/>
      </c>
      <c r="E31" s="29">
        <f>SUM(E21:E30)</f>
        <v/>
      </c>
      <c r="F31" s="29">
        <f>SUM(F21:F30)</f>
        <v/>
      </c>
      <c r="G31" s="29">
        <f>SUM(G21:G30)</f>
        <v/>
      </c>
      <c r="H31" s="29">
        <f>SUM(H21:H30)</f>
        <v/>
      </c>
      <c r="I31" s="29">
        <f>SUM(I21:I30)</f>
        <v/>
      </c>
    </row>
    <row r="32">
      <c r="A32" s="6" t="inlineStr">
        <is>
          <t>1000.0000.2213.51500.010</t>
        </is>
      </c>
      <c r="B32" s="6" t="inlineStr">
        <is>
          <t>Stipends-Acad Leadership and LCC</t>
        </is>
      </c>
      <c r="C32" s="24" t="n">
        <v>0</v>
      </c>
      <c r="D32" s="24" t="n">
        <v>0</v>
      </c>
      <c r="E32" s="24" t="n">
        <v>29535</v>
      </c>
      <c r="F32" s="24" t="n">
        <v>19586</v>
      </c>
      <c r="G32" s="24" t="n">
        <v>27177</v>
      </c>
      <c r="H32" s="24">
        <f>G32-F32</f>
        <v/>
      </c>
      <c r="I32" s="8">
        <f>IF(F32=0,0,G32/F32-1)</f>
        <v/>
      </c>
    </row>
    <row r="33">
      <c r="A33" s="6" t="inlineStr">
        <is>
          <t>1000.0000.2213.52000.010</t>
        </is>
      </c>
      <c r="B33" s="6" t="inlineStr">
        <is>
          <t>Stipend Benefits - DCS</t>
        </is>
      </c>
      <c r="C33" s="24" t="n">
        <v>0</v>
      </c>
      <c r="D33" s="24" t="n">
        <v>0</v>
      </c>
      <c r="E33" s="24" t="n">
        <v>528.39</v>
      </c>
      <c r="F33" s="24" t="n">
        <v>0</v>
      </c>
      <c r="G33" s="24" t="n">
        <v>0</v>
      </c>
      <c r="H33" s="24">
        <f>G33-F33</f>
        <v/>
      </c>
      <c r="I33" s="8">
        <f>IF(F33=0,0,G33/F33-1)</f>
        <v/>
      </c>
    </row>
    <row r="34">
      <c r="A34" s="6" t="inlineStr">
        <is>
          <t>1000.0000.2213.52300.010</t>
        </is>
      </c>
      <c r="B34" s="6" t="inlineStr">
        <is>
          <t>Stipend Retirement - DCS</t>
        </is>
      </c>
      <c r="C34" s="24" t="n">
        <v>0</v>
      </c>
      <c r="D34" s="24" t="n">
        <v>0</v>
      </c>
      <c r="E34" s="24" t="n">
        <v>1171.71</v>
      </c>
      <c r="F34" s="24" t="n">
        <v>0</v>
      </c>
      <c r="G34" s="24" t="n">
        <v>0</v>
      </c>
      <c r="H34" s="24">
        <f>G34-F34</f>
        <v/>
      </c>
      <c r="I34" s="8">
        <f>IF(F34=0,0,G34/F34-1)</f>
        <v/>
      </c>
    </row>
    <row r="35">
      <c r="A35" s="6" t="inlineStr">
        <is>
          <t>1000.0000.2213.53300.010</t>
        </is>
      </c>
      <c r="B35" s="6" t="inlineStr">
        <is>
          <t>Professional Services</t>
        </is>
      </c>
      <c r="C35" s="24" t="n">
        <v>0</v>
      </c>
      <c r="D35" s="24" t="n">
        <v>0</v>
      </c>
      <c r="E35" s="24" t="n">
        <v>140</v>
      </c>
      <c r="F35" s="24" t="n">
        <v>0</v>
      </c>
      <c r="G35" s="24" t="n">
        <v>0</v>
      </c>
      <c r="H35" s="24">
        <f>G35-F35</f>
        <v/>
      </c>
      <c r="I35" s="8">
        <f>IF(F35=0,0,G35/F35-1)</f>
        <v/>
      </c>
    </row>
    <row r="36">
      <c r="A36" s="14" t="n"/>
      <c r="B36" s="28" t="inlineStr">
        <is>
          <t>Program 0000 Total</t>
        </is>
      </c>
      <c r="C36" s="29">
        <f>SUM(C32:C35)</f>
        <v/>
      </c>
      <c r="D36" s="29">
        <f>SUM(D32:D35)</f>
        <v/>
      </c>
      <c r="E36" s="29">
        <f>SUM(E32:E35)</f>
        <v/>
      </c>
      <c r="F36" s="29">
        <f>SUM(F32:F35)</f>
        <v/>
      </c>
      <c r="G36" s="29">
        <f>SUM(G32:G35)</f>
        <v/>
      </c>
      <c r="H36" s="29">
        <f>SUM(H32:H35)</f>
        <v/>
      </c>
      <c r="I36" s="29">
        <f>SUM(I32:I35)</f>
        <v/>
      </c>
    </row>
    <row r="37">
      <c r="A37" s="6" t="inlineStr">
        <is>
          <t>1000.0000.2220.51010.010</t>
        </is>
      </c>
      <c r="B37" s="6" t="inlineStr">
        <is>
          <t>Librarian Salary</t>
        </is>
      </c>
      <c r="C37" s="24" t="n">
        <v>66475.02</v>
      </c>
      <c r="D37" s="24" t="n">
        <v>72481.14999999999</v>
      </c>
      <c r="E37" s="24" t="n">
        <v>72492.56</v>
      </c>
      <c r="F37" s="24" t="n">
        <v>75483</v>
      </c>
      <c r="G37" s="24" t="n">
        <v>80735</v>
      </c>
      <c r="H37" s="24">
        <f>G37-F37</f>
        <v/>
      </c>
      <c r="I37" s="8">
        <f>IF(F37=0,0,G37/F37-1)</f>
        <v/>
      </c>
    </row>
    <row r="38">
      <c r="A38" s="6" t="inlineStr">
        <is>
          <t>1000.0000.2220.51020.010</t>
        </is>
      </c>
      <c r="B38" s="6" t="inlineStr">
        <is>
          <t>Ed Tech Salaries</t>
        </is>
      </c>
      <c r="C38" s="24" t="n">
        <v>0</v>
      </c>
      <c r="D38" s="24" t="n">
        <v>5649.06</v>
      </c>
      <c r="E38" s="24" t="n">
        <v>15945.51</v>
      </c>
      <c r="F38" s="24" t="n">
        <v>14392</v>
      </c>
      <c r="G38" s="24" t="n">
        <v>18034</v>
      </c>
      <c r="H38" s="24">
        <f>G38-F38</f>
        <v/>
      </c>
      <c r="I38" s="8">
        <f>IF(F38=0,0,G38/F38-1)</f>
        <v/>
      </c>
    </row>
    <row r="39">
      <c r="A39" s="6" t="inlineStr">
        <is>
          <t>1000.0000.2220.52010.010</t>
        </is>
      </c>
      <c r="B39" s="6" t="inlineStr">
        <is>
          <t>Librarian Benefits</t>
        </is>
      </c>
      <c r="C39" s="24" t="n">
        <v>21005.67</v>
      </c>
      <c r="D39" s="24" t="n">
        <v>4871.91</v>
      </c>
      <c r="E39" s="24" t="n">
        <v>21325.03</v>
      </c>
      <c r="F39" s="24" t="n">
        <v>23958</v>
      </c>
      <c r="G39" s="24" t="n">
        <v>23470</v>
      </c>
      <c r="H39" s="24">
        <f>G39-F39</f>
        <v/>
      </c>
      <c r="I39" s="8">
        <f>IF(F39=0,0,G39/F39-1)</f>
        <v/>
      </c>
    </row>
    <row r="40">
      <c r="A40" s="6" t="inlineStr">
        <is>
          <t>1000.0000.2220.52020.010</t>
        </is>
      </c>
      <c r="B40" s="6" t="inlineStr">
        <is>
          <t>Ed Tech Salaries</t>
        </is>
      </c>
      <c r="C40" s="24" t="n">
        <v>0</v>
      </c>
      <c r="D40" s="24" t="n">
        <v>2023.45</v>
      </c>
      <c r="E40" s="24" t="n">
        <v>6006.33</v>
      </c>
      <c r="F40" s="24" t="n">
        <v>6184</v>
      </c>
      <c r="G40" s="24" t="n">
        <v>10963</v>
      </c>
      <c r="H40" s="24">
        <f>G40-F40</f>
        <v/>
      </c>
      <c r="I40" s="8">
        <f>IF(F40=0,0,G40/F40-1)</f>
        <v/>
      </c>
    </row>
    <row r="41">
      <c r="A41" s="6" t="inlineStr">
        <is>
          <t>1000.0000.2220.52310.010</t>
        </is>
      </c>
      <c r="B41" s="6" t="inlineStr">
        <is>
          <t>Retirement</t>
        </is>
      </c>
      <c r="C41" s="24" t="n">
        <v>2745.34</v>
      </c>
      <c r="D41" s="24" t="n">
        <v>652.8</v>
      </c>
      <c r="E41" s="24" t="n">
        <v>2973.4</v>
      </c>
      <c r="F41" s="24" t="n">
        <v>3140</v>
      </c>
      <c r="G41" s="24" t="n">
        <v>3609</v>
      </c>
      <c r="H41" s="24">
        <f>G41-F41</f>
        <v/>
      </c>
      <c r="I41" s="8">
        <f>IF(F41=0,0,G41/F41-1)</f>
        <v/>
      </c>
    </row>
    <row r="42">
      <c r="A42" s="6" t="inlineStr">
        <is>
          <t>1000.0000.2220.52320.010</t>
        </is>
      </c>
      <c r="B42" s="6" t="inlineStr">
        <is>
          <t>Ed Tech Retirement</t>
        </is>
      </c>
      <c r="C42" s="24" t="n">
        <v>0</v>
      </c>
      <c r="D42" s="24" t="n">
        <v>0</v>
      </c>
      <c r="E42" s="24" t="n">
        <v>612.42</v>
      </c>
      <c r="F42" s="24" t="n">
        <v>599</v>
      </c>
      <c r="G42" s="24" t="n">
        <v>864</v>
      </c>
      <c r="H42" s="24">
        <f>G42-F42</f>
        <v/>
      </c>
      <c r="I42" s="8">
        <f>IF(F42=0,0,G42/F42-1)</f>
        <v/>
      </c>
    </row>
    <row r="43">
      <c r="A43" s="6" t="inlineStr">
        <is>
          <t>1000.0000.2220.54330.010</t>
        </is>
      </c>
      <c r="B43" s="6" t="inlineStr">
        <is>
          <t>Software</t>
        </is>
      </c>
      <c r="C43" s="24" t="n">
        <v>1042.5</v>
      </c>
      <c r="D43" s="24" t="n">
        <v>1042.5</v>
      </c>
      <c r="E43" s="24" t="n">
        <v>1060.35</v>
      </c>
      <c r="F43" s="24" t="n">
        <v>1043</v>
      </c>
      <c r="G43" s="24" t="n">
        <v>1129</v>
      </c>
      <c r="H43" s="24">
        <f>G43-F43</f>
        <v/>
      </c>
      <c r="I43" s="8">
        <f>IF(F43=0,0,G43/F43-1)</f>
        <v/>
      </c>
    </row>
    <row r="44">
      <c r="A44" s="6" t="inlineStr">
        <is>
          <t>1000.0000.2220.56000.010</t>
        </is>
      </c>
      <c r="B44" s="6" t="inlineStr">
        <is>
          <t>Supplies</t>
        </is>
      </c>
      <c r="C44" s="24" t="n">
        <v>0</v>
      </c>
      <c r="D44" s="24" t="n">
        <v>1120.73</v>
      </c>
      <c r="E44" s="24" t="n">
        <v>1282.81</v>
      </c>
      <c r="F44" s="24" t="n">
        <v>1300</v>
      </c>
      <c r="G44" s="24" t="n">
        <v>0</v>
      </c>
      <c r="H44" s="24">
        <f>G44-F44</f>
        <v/>
      </c>
      <c r="I44" s="8">
        <f>IF(F44=0,0,G44/F44-1)</f>
        <v/>
      </c>
    </row>
    <row r="45">
      <c r="A45" s="6" t="inlineStr">
        <is>
          <t>1000.0000.2220.56100.010</t>
        </is>
      </c>
      <c r="B45" s="6" t="inlineStr">
        <is>
          <t>Supplies</t>
        </is>
      </c>
      <c r="C45" s="24" t="n">
        <v>1511.42</v>
      </c>
      <c r="D45" s="24" t="n">
        <v>143.33</v>
      </c>
      <c r="E45" s="24" t="n">
        <v>0</v>
      </c>
      <c r="F45" s="24" t="n">
        <v>0</v>
      </c>
      <c r="G45" s="24" t="n">
        <v>1300</v>
      </c>
      <c r="H45" s="24">
        <f>G45-F45</f>
        <v/>
      </c>
      <c r="I45" s="8">
        <f>IF(F45=0,0,G45/F45-1)</f>
        <v/>
      </c>
    </row>
    <row r="46">
      <c r="A46" s="6" t="inlineStr">
        <is>
          <t>1000.0000.2220.56400.010</t>
        </is>
      </c>
      <c r="B46" s="6" t="inlineStr">
        <is>
          <t>Books</t>
        </is>
      </c>
      <c r="C46" s="24" t="n">
        <v>8539.73</v>
      </c>
      <c r="D46" s="24" t="n">
        <v>8652.469999999999</v>
      </c>
      <c r="E46" s="24" t="n">
        <v>8999.440000000001</v>
      </c>
      <c r="F46" s="24" t="n">
        <v>11114.5</v>
      </c>
      <c r="G46" s="24" t="n">
        <v>10080</v>
      </c>
      <c r="H46" s="24">
        <f>G46-F46</f>
        <v/>
      </c>
      <c r="I46" s="8">
        <f>IF(F46=0,0,G46/F46-1)</f>
        <v/>
      </c>
    </row>
    <row r="47">
      <c r="A47" s="14" t="n"/>
      <c r="B47" s="28" t="inlineStr">
        <is>
          <t>Program 0000 Total</t>
        </is>
      </c>
      <c r="C47" s="29">
        <f>SUM(C37:C46)</f>
        <v/>
      </c>
      <c r="D47" s="29">
        <f>SUM(D37:D46)</f>
        <v/>
      </c>
      <c r="E47" s="29">
        <f>SUM(E37:E46)</f>
        <v/>
      </c>
      <c r="F47" s="29">
        <f>SUM(F37:F46)</f>
        <v/>
      </c>
      <c r="G47" s="29">
        <f>SUM(G37:G46)</f>
        <v/>
      </c>
      <c r="H47" s="29">
        <f>SUM(H37:H46)</f>
        <v/>
      </c>
      <c r="I47" s="29">
        <f>SUM(I37:I46)</f>
        <v/>
      </c>
    </row>
    <row r="48">
      <c r="A48" s="6" t="inlineStr">
        <is>
          <t>1000.0000.2230.51010.010</t>
        </is>
      </c>
      <c r="B48" s="6" t="inlineStr">
        <is>
          <t>Teacher Salaries</t>
        </is>
      </c>
      <c r="C48" s="24" t="n">
        <v>51937.6</v>
      </c>
      <c r="D48" s="24" t="n">
        <v>12.11</v>
      </c>
      <c r="E48" s="24" t="n">
        <v>12468.7</v>
      </c>
      <c r="F48" s="24" t="n">
        <v>0</v>
      </c>
      <c r="G48" s="24" t="n">
        <v>0</v>
      </c>
      <c r="H48" s="24">
        <f>G48-F48</f>
        <v/>
      </c>
      <c r="I48" s="8">
        <f>IF(F48=0,0,G48/F48-1)</f>
        <v/>
      </c>
    </row>
    <row r="49">
      <c r="A49" s="6" t="inlineStr">
        <is>
          <t>1000.0000.2230.51500.010</t>
        </is>
      </c>
      <c r="B49" s="6" t="inlineStr">
        <is>
          <t>Stipends</t>
        </is>
      </c>
      <c r="C49" s="24" t="n">
        <v>1385.02</v>
      </c>
      <c r="D49" s="24" t="n">
        <v>3180.78</v>
      </c>
      <c r="E49" s="24" t="n">
        <v>1422</v>
      </c>
      <c r="F49" s="24" t="n">
        <v>3815</v>
      </c>
      <c r="G49" s="24" t="n">
        <v>3815</v>
      </c>
      <c r="H49" s="24">
        <f>G49-F49</f>
        <v/>
      </c>
      <c r="I49" s="8">
        <f>IF(F49=0,0,G49/F49-1)</f>
        <v/>
      </c>
    </row>
    <row r="50">
      <c r="A50" s="6" t="inlineStr">
        <is>
          <t>1000.0000.2230.52000.010</t>
        </is>
      </c>
      <c r="B50" s="6" t="inlineStr">
        <is>
          <t>Benefits</t>
        </is>
      </c>
      <c r="C50" s="24" t="n">
        <v>19.7</v>
      </c>
      <c r="D50" s="24" t="n">
        <v>1.63</v>
      </c>
      <c r="E50" s="24" t="n">
        <v>23.4</v>
      </c>
      <c r="F50" s="24" t="n">
        <v>0</v>
      </c>
      <c r="G50" s="24" t="n">
        <v>0</v>
      </c>
      <c r="H50" s="24">
        <f>G50-F50</f>
        <v/>
      </c>
      <c r="I50" s="8">
        <f>IF(F50=0,0,G50/F50-1)</f>
        <v/>
      </c>
    </row>
    <row r="51">
      <c r="A51" s="6" t="inlineStr">
        <is>
          <t>1000.0000.2230.52010.010</t>
        </is>
      </c>
      <c r="B51" s="6" t="inlineStr">
        <is>
          <t>Teacher Benefits</t>
        </is>
      </c>
      <c r="C51" s="24" t="n">
        <v>6613.16</v>
      </c>
      <c r="D51" s="24" t="n">
        <v>1394.25</v>
      </c>
      <c r="E51" s="24" t="n">
        <v>180.8</v>
      </c>
      <c r="F51" s="24" t="n">
        <v>0</v>
      </c>
      <c r="G51" s="24" t="n">
        <v>0</v>
      </c>
      <c r="H51" s="24">
        <f>G51-F51</f>
        <v/>
      </c>
      <c r="I51" s="8">
        <f>IF(F51=0,0,G51/F51-1)</f>
        <v/>
      </c>
    </row>
    <row r="52">
      <c r="A52" s="6" t="inlineStr">
        <is>
          <t>1000.0000.2230.52300.010</t>
        </is>
      </c>
      <c r="B52" s="6" t="inlineStr">
        <is>
          <t>Stipend Retirement</t>
        </is>
      </c>
      <c r="C52" s="24" t="n">
        <v>2.22</v>
      </c>
      <c r="D52" s="24" t="n">
        <v>0</v>
      </c>
      <c r="E52" s="24" t="n">
        <v>54.6</v>
      </c>
      <c r="F52" s="24" t="n">
        <v>0</v>
      </c>
      <c r="G52" s="24" t="n">
        <v>0</v>
      </c>
      <c r="H52" s="24">
        <f>G52-F52</f>
        <v/>
      </c>
      <c r="I52" s="8">
        <f>IF(F52=0,0,G52/F52-1)</f>
        <v/>
      </c>
    </row>
    <row r="53">
      <c r="A53" s="6" t="inlineStr">
        <is>
          <t>1000.0000.2230.52310.010</t>
        </is>
      </c>
      <c r="B53" s="6" t="inlineStr">
        <is>
          <t>Retirement</t>
        </is>
      </c>
      <c r="C53" s="24" t="n">
        <v>2210.1</v>
      </c>
      <c r="D53" s="24" t="n">
        <v>387.39</v>
      </c>
      <c r="E53" s="24" t="n">
        <v>478.8</v>
      </c>
      <c r="F53" s="24" t="n">
        <v>0</v>
      </c>
      <c r="G53" s="24" t="n">
        <v>0</v>
      </c>
      <c r="H53" s="24">
        <f>G53-F53</f>
        <v/>
      </c>
      <c r="I53" s="8">
        <f>IF(F53=0,0,G53/F53-1)</f>
        <v/>
      </c>
    </row>
    <row r="54">
      <c r="A54" s="6" t="inlineStr">
        <is>
          <t>1000.0000.2230.54330.010</t>
        </is>
      </c>
      <c r="B54" s="6" t="inlineStr">
        <is>
          <t>Software</t>
        </is>
      </c>
      <c r="C54" s="24" t="n">
        <v>0</v>
      </c>
      <c r="D54" s="24" t="n">
        <v>0</v>
      </c>
      <c r="E54" s="24" t="n">
        <v>196.54</v>
      </c>
      <c r="F54" s="24" t="n">
        <v>0</v>
      </c>
      <c r="G54" s="24" t="n">
        <v>0</v>
      </c>
      <c r="H54" s="24">
        <f>G54-F54</f>
        <v/>
      </c>
      <c r="I54" s="8">
        <f>IF(F54=0,0,G54/F54-1)</f>
        <v/>
      </c>
    </row>
    <row r="55">
      <c r="A55" s="6" t="inlineStr">
        <is>
          <t>1000.0000.2230.55000.010</t>
        </is>
      </c>
      <c r="B55" s="6" t="inlineStr">
        <is>
          <t>Other Purchased Services</t>
        </is>
      </c>
      <c r="C55" s="24" t="n">
        <v>440</v>
      </c>
      <c r="D55" s="24" t="n">
        <v>140</v>
      </c>
      <c r="E55" s="24" t="n">
        <v>1069</v>
      </c>
      <c r="F55" s="24" t="n">
        <v>0</v>
      </c>
      <c r="G55" s="24" t="n">
        <v>0</v>
      </c>
      <c r="H55" s="24">
        <f>G55-F55</f>
        <v/>
      </c>
      <c r="I55" s="8">
        <f>IF(F55=0,0,G55/F55-1)</f>
        <v/>
      </c>
    </row>
    <row r="56">
      <c r="A56" s="6" t="inlineStr">
        <is>
          <t>1000.0000.2230.56500.010</t>
        </is>
      </c>
      <c r="B56" s="6" t="inlineStr">
        <is>
          <t>Supplies</t>
        </is>
      </c>
      <c r="C56" s="24" t="n">
        <v>47</v>
      </c>
      <c r="D56" s="24" t="n">
        <v>6485.9</v>
      </c>
      <c r="E56" s="24" t="n">
        <v>0</v>
      </c>
      <c r="F56" s="24" t="n">
        <v>0</v>
      </c>
      <c r="G56" s="24" t="n">
        <v>0</v>
      </c>
      <c r="H56" s="24">
        <f>G56-F56</f>
        <v/>
      </c>
      <c r="I56" s="8">
        <f>IF(F56=0,0,G56/F56-1)</f>
        <v/>
      </c>
    </row>
    <row r="57">
      <c r="A57" s="14" t="n"/>
      <c r="B57" s="28" t="inlineStr">
        <is>
          <t>Program 0000 Total</t>
        </is>
      </c>
      <c r="C57" s="29">
        <f>SUM(C48:C56)</f>
        <v/>
      </c>
      <c r="D57" s="29">
        <f>SUM(D48:D56)</f>
        <v/>
      </c>
      <c r="E57" s="29">
        <f>SUM(E48:E56)</f>
        <v/>
      </c>
      <c r="F57" s="29">
        <f>SUM(F48:F56)</f>
        <v/>
      </c>
      <c r="G57" s="29">
        <f>SUM(G48:G56)</f>
        <v/>
      </c>
      <c r="H57" s="29">
        <f>SUM(H48:H56)</f>
        <v/>
      </c>
      <c r="I57" s="29">
        <f>SUM(I48:I56)</f>
        <v/>
      </c>
    </row>
    <row r="58">
      <c r="A58" s="14" t="n"/>
      <c r="B58" s="17" t="inlineStr">
        <is>
          <t>Cost Center ('010',) Total</t>
        </is>
      </c>
      <c r="C58" s="32">
        <f>C10+C20+C31+C36+C47+C57</f>
        <v/>
      </c>
      <c r="D58" s="32">
        <f>D10+D20+D31+D36+D47+D57</f>
        <v/>
      </c>
      <c r="E58" s="32">
        <f>E10+E20+E31+E36+E47+E57</f>
        <v/>
      </c>
      <c r="F58" s="32">
        <f>F10+F20+F31+F36+F47+F57</f>
        <v/>
      </c>
      <c r="G58" s="32">
        <f>G10+G20+G31+G36+G47+G57</f>
        <v/>
      </c>
      <c r="H58" s="32">
        <f>H10+H20+H31+H36+H47+H57</f>
        <v/>
      </c>
      <c r="I58" s="32">
        <f>I10+I20+I31+I36+I47+I57</f>
        <v/>
      </c>
    </row>
    <row r="60">
      <c r="A60" s="3" t="inlineStr">
        <is>
          <t>Cost Center: ('020',)</t>
        </is>
      </c>
    </row>
    <row r="61">
      <c r="A61" s="6" t="inlineStr">
        <is>
          <t>1000.0000.2110.51010.020</t>
        </is>
      </c>
      <c r="B61" s="6" t="inlineStr">
        <is>
          <t>Social Worker Salaries</t>
        </is>
      </c>
      <c r="C61" s="24" t="n">
        <v>0</v>
      </c>
      <c r="D61" s="24" t="n">
        <v>0</v>
      </c>
      <c r="E61" s="24" t="n">
        <v>0</v>
      </c>
      <c r="F61" s="24" t="n">
        <v>0</v>
      </c>
      <c r="G61" s="24" t="n">
        <v>21853</v>
      </c>
      <c r="H61" s="24">
        <f>G61-F61</f>
        <v/>
      </c>
      <c r="I61" s="8">
        <f>IF(F61=0,0,G61/F61-1)</f>
        <v/>
      </c>
    </row>
    <row r="62">
      <c r="A62" s="6" t="inlineStr">
        <is>
          <t>1000.0000.2110.52010.020</t>
        </is>
      </c>
      <c r="B62" s="6" t="inlineStr">
        <is>
          <t>Social Worker Benefits</t>
        </is>
      </c>
      <c r="C62" s="24" t="n">
        <v>0</v>
      </c>
      <c r="D62" s="24" t="n">
        <v>0</v>
      </c>
      <c r="E62" s="24" t="n">
        <v>0</v>
      </c>
      <c r="F62" s="24" t="n">
        <v>0</v>
      </c>
      <c r="G62" s="24" t="n">
        <v>5367</v>
      </c>
      <c r="H62" s="24">
        <f>G62-F62</f>
        <v/>
      </c>
      <c r="I62" s="8">
        <f>IF(F62=0,0,G62/F62-1)</f>
        <v/>
      </c>
    </row>
    <row r="63">
      <c r="A63" s="6" t="inlineStr">
        <is>
          <t>1000.0000.2110.52310.020</t>
        </is>
      </c>
      <c r="B63" s="6" t="inlineStr">
        <is>
          <t>Social Worker Retirement</t>
        </is>
      </c>
      <c r="C63" s="24" t="n">
        <v>0</v>
      </c>
      <c r="D63" s="24" t="n">
        <v>0</v>
      </c>
      <c r="E63" s="24" t="n">
        <v>0</v>
      </c>
      <c r="F63" s="24" t="n">
        <v>0</v>
      </c>
      <c r="G63" s="24" t="n">
        <v>976</v>
      </c>
      <c r="H63" s="24">
        <f>G63-F63</f>
        <v/>
      </c>
      <c r="I63" s="8">
        <f>IF(F63=0,0,G63/F63-1)</f>
        <v/>
      </c>
    </row>
    <row r="64">
      <c r="A64" s="14" t="n"/>
      <c r="B64" s="28" t="inlineStr">
        <is>
          <t>Program 0000 Total</t>
        </is>
      </c>
      <c r="C64" s="29">
        <f>SUM(C61:C63)</f>
        <v/>
      </c>
      <c r="D64" s="29">
        <f>SUM(D61:D63)</f>
        <v/>
      </c>
      <c r="E64" s="29">
        <f>SUM(E61:E63)</f>
        <v/>
      </c>
      <c r="F64" s="29">
        <f>SUM(F61:F63)</f>
        <v/>
      </c>
      <c r="G64" s="29">
        <f>SUM(G61:G63)</f>
        <v/>
      </c>
      <c r="H64" s="29">
        <f>SUM(H61:H63)</f>
        <v/>
      </c>
      <c r="I64" s="29">
        <f>SUM(I61:I63)</f>
        <v/>
      </c>
    </row>
    <row r="65">
      <c r="A65" s="6" t="inlineStr">
        <is>
          <t>1000.0000.2120.51010.020</t>
        </is>
      </c>
      <c r="B65" s="6" t="inlineStr">
        <is>
          <t>Guidance Salaries</t>
        </is>
      </c>
      <c r="C65" s="24" t="n">
        <v>58967.74</v>
      </c>
      <c r="D65" s="24" t="n">
        <v>87743.97</v>
      </c>
      <c r="E65" s="24" t="n">
        <v>86229.57000000001</v>
      </c>
      <c r="F65" s="24" t="n">
        <v>91031</v>
      </c>
      <c r="G65" s="24" t="n">
        <v>75001</v>
      </c>
      <c r="H65" s="24">
        <f>G65-F65</f>
        <v/>
      </c>
      <c r="I65" s="8">
        <f>IF(F65=0,0,G65/F65-1)</f>
        <v/>
      </c>
    </row>
    <row r="66">
      <c r="A66" s="6" t="inlineStr">
        <is>
          <t>1000.0000.2120.52010.020</t>
        </is>
      </c>
      <c r="B66" s="6" t="inlineStr">
        <is>
          <t>Benefits</t>
        </is>
      </c>
      <c r="C66" s="24" t="n">
        <v>21223.51</v>
      </c>
      <c r="D66" s="24" t="n">
        <v>4814.02</v>
      </c>
      <c r="E66" s="24" t="n">
        <v>25047.49</v>
      </c>
      <c r="F66" s="24" t="n">
        <v>25924</v>
      </c>
      <c r="G66" s="24" t="n">
        <v>23343</v>
      </c>
      <c r="H66" s="24">
        <f>G66-F66</f>
        <v/>
      </c>
      <c r="I66" s="8">
        <f>IF(F66=0,0,G66/F66-1)</f>
        <v/>
      </c>
    </row>
    <row r="67">
      <c r="A67" s="6" t="inlineStr">
        <is>
          <t>1000.0000.2120.52310.020</t>
        </is>
      </c>
      <c r="B67" s="6" t="inlineStr">
        <is>
          <t>Retirement</t>
        </is>
      </c>
      <c r="C67" s="24" t="n">
        <v>2500.64</v>
      </c>
      <c r="D67" s="24" t="n">
        <v>608.1</v>
      </c>
      <c r="E67" s="24" t="n">
        <v>3311.12</v>
      </c>
      <c r="F67" s="24" t="n">
        <v>3862</v>
      </c>
      <c r="G67" s="24" t="n">
        <v>3353</v>
      </c>
      <c r="H67" s="24">
        <f>G67-F67</f>
        <v/>
      </c>
      <c r="I67" s="8">
        <f>IF(F67=0,0,G67/F67-1)</f>
        <v/>
      </c>
    </row>
    <row r="68">
      <c r="A68" s="6" t="inlineStr">
        <is>
          <t>1000.0000.2120.53000.020</t>
        </is>
      </c>
      <c r="B68" s="6" t="inlineStr">
        <is>
          <t>Purchased Professional</t>
        </is>
      </c>
      <c r="C68" s="24" t="n">
        <v>0</v>
      </c>
      <c r="D68" s="24" t="n">
        <v>0</v>
      </c>
      <c r="E68" s="24" t="n">
        <v>0</v>
      </c>
      <c r="F68" s="24" t="n">
        <v>300</v>
      </c>
      <c r="G68" s="24" t="n">
        <v>400</v>
      </c>
      <c r="H68" s="24">
        <f>G68-F68</f>
        <v/>
      </c>
      <c r="I68" s="8">
        <f>IF(F68=0,0,G68/F68-1)</f>
        <v/>
      </c>
    </row>
    <row r="69">
      <c r="A69" s="6" t="inlineStr">
        <is>
          <t>1000.0000.2120.54330.020</t>
        </is>
      </c>
      <c r="B69" s="6" t="inlineStr">
        <is>
          <t>Software</t>
        </is>
      </c>
      <c r="C69" s="24" t="n">
        <v>0</v>
      </c>
      <c r="D69" s="24" t="n">
        <v>0</v>
      </c>
      <c r="E69" s="24" t="n">
        <v>333.33</v>
      </c>
      <c r="F69" s="24" t="n">
        <v>334</v>
      </c>
      <c r="G69" s="24" t="n">
        <v>334</v>
      </c>
      <c r="H69" s="24">
        <f>G69-F69</f>
        <v/>
      </c>
      <c r="I69" s="8">
        <f>IF(F69=0,0,G69/F69-1)</f>
        <v/>
      </c>
    </row>
    <row r="70">
      <c r="A70" s="6" t="inlineStr">
        <is>
          <t>1000.0000.2120.56100.020</t>
        </is>
      </c>
      <c r="B70" s="6" t="inlineStr">
        <is>
          <t>Supplies</t>
        </is>
      </c>
      <c r="C70" s="24" t="n">
        <v>216.06</v>
      </c>
      <c r="D70" s="24" t="n">
        <v>107.33</v>
      </c>
      <c r="E70" s="24" t="n">
        <v>0</v>
      </c>
      <c r="F70" s="24" t="n">
        <v>339</v>
      </c>
      <c r="G70" s="24" t="n">
        <v>350</v>
      </c>
      <c r="H70" s="24">
        <f>G70-F70</f>
        <v/>
      </c>
      <c r="I70" s="8">
        <f>IF(F70=0,0,G70/F70-1)</f>
        <v/>
      </c>
    </row>
    <row r="71">
      <c r="A71" s="6" t="inlineStr">
        <is>
          <t>1000.0000.2120.56400.020</t>
        </is>
      </c>
      <c r="B71" s="6" t="inlineStr">
        <is>
          <t>Books</t>
        </is>
      </c>
      <c r="C71" s="24" t="n">
        <v>172.9</v>
      </c>
      <c r="D71" s="24" t="n">
        <v>274.79</v>
      </c>
      <c r="E71" s="24" t="n">
        <v>0</v>
      </c>
      <c r="F71" s="24" t="n">
        <v>339</v>
      </c>
      <c r="G71" s="24" t="n">
        <v>350</v>
      </c>
      <c r="H71" s="24">
        <f>G71-F71</f>
        <v/>
      </c>
      <c r="I71" s="8">
        <f>IF(F71=0,0,G71/F71-1)</f>
        <v/>
      </c>
    </row>
    <row r="72">
      <c r="A72" s="6" t="inlineStr">
        <is>
          <t>1000.0000.2120.57300.020</t>
        </is>
      </c>
      <c r="B72" s="6" t="inlineStr">
        <is>
          <t>Equipment</t>
        </is>
      </c>
      <c r="C72" s="24" t="n">
        <v>0</v>
      </c>
      <c r="D72" s="24" t="n">
        <v>497.92</v>
      </c>
      <c r="E72" s="24" t="n">
        <v>0</v>
      </c>
      <c r="F72" s="24" t="n">
        <v>500</v>
      </c>
      <c r="G72" s="24" t="n">
        <v>750</v>
      </c>
      <c r="H72" s="24">
        <f>G72-F72</f>
        <v/>
      </c>
      <c r="I72" s="8">
        <f>IF(F72=0,0,G72/F72-1)</f>
        <v/>
      </c>
    </row>
    <row r="73">
      <c r="A73" s="14" t="n"/>
      <c r="B73" s="28" t="inlineStr">
        <is>
          <t>Program 0000 Total</t>
        </is>
      </c>
      <c r="C73" s="29">
        <f>SUM(C65:C72)</f>
        <v/>
      </c>
      <c r="D73" s="29">
        <f>SUM(D65:D72)</f>
        <v/>
      </c>
      <c r="E73" s="29">
        <f>SUM(E65:E72)</f>
        <v/>
      </c>
      <c r="F73" s="29">
        <f>SUM(F65:F72)</f>
        <v/>
      </c>
      <c r="G73" s="29">
        <f>SUM(G65:G72)</f>
        <v/>
      </c>
      <c r="H73" s="29">
        <f>SUM(H65:H72)</f>
        <v/>
      </c>
      <c r="I73" s="29">
        <f>SUM(I65:I72)</f>
        <v/>
      </c>
    </row>
    <row r="74">
      <c r="A74" s="6" t="inlineStr">
        <is>
          <t>1000.0000.2130.51010.020</t>
        </is>
      </c>
      <c r="B74" s="6" t="inlineStr">
        <is>
          <t>Nurse Salary</t>
        </is>
      </c>
      <c r="C74" s="24" t="n">
        <v>64978.68</v>
      </c>
      <c r="D74" s="24" t="n">
        <v>58597.77</v>
      </c>
      <c r="E74" s="24" t="n">
        <v>71298.62</v>
      </c>
      <c r="F74" s="24" t="n">
        <v>74318</v>
      </c>
      <c r="G74" s="24" t="n">
        <v>82170</v>
      </c>
      <c r="H74" s="24">
        <f>G74-F74</f>
        <v/>
      </c>
      <c r="I74" s="8">
        <f>IF(F74=0,0,G74/F74-1)</f>
        <v/>
      </c>
    </row>
    <row r="75">
      <c r="A75" s="6" t="inlineStr">
        <is>
          <t>1000.0000.2130.51200.020</t>
        </is>
      </c>
      <c r="B75" s="6" t="inlineStr">
        <is>
          <t>Nurse Substitute - MSS</t>
        </is>
      </c>
      <c r="C75" s="24" t="n">
        <v>0</v>
      </c>
      <c r="D75" s="24" t="n">
        <v>0</v>
      </c>
      <c r="E75" s="24" t="n">
        <v>690</v>
      </c>
      <c r="F75" s="24" t="n">
        <v>0</v>
      </c>
      <c r="G75" s="24" t="n">
        <v>0</v>
      </c>
      <c r="H75" s="24">
        <f>G75-F75</f>
        <v/>
      </c>
      <c r="I75" s="8">
        <f>IF(F75=0,0,G75/F75-1)</f>
        <v/>
      </c>
    </row>
    <row r="76">
      <c r="A76" s="6" t="inlineStr">
        <is>
          <t>1000.0000.2130.52000.020</t>
        </is>
      </c>
      <c r="B76" s="6" t="inlineStr">
        <is>
          <t>Employee Benefits</t>
        </is>
      </c>
      <c r="C76" s="24" t="n">
        <v>0</v>
      </c>
      <c r="D76" s="24" t="n">
        <v>0</v>
      </c>
      <c r="E76" s="24" t="n">
        <v>36.96</v>
      </c>
      <c r="F76" s="24" t="n">
        <v>0</v>
      </c>
      <c r="G76" s="24" t="n">
        <v>0</v>
      </c>
      <c r="H76" s="24">
        <f>G76-F76</f>
        <v/>
      </c>
      <c r="I76" s="8">
        <f>IF(F76=0,0,G76/F76-1)</f>
        <v/>
      </c>
    </row>
    <row r="77">
      <c r="A77" s="6" t="inlineStr">
        <is>
          <t>1000.0000.2130.52010.020</t>
        </is>
      </c>
      <c r="B77" s="6" t="inlineStr">
        <is>
          <t>Nurse Benefits</t>
        </is>
      </c>
      <c r="C77" s="24" t="n">
        <v>4785.19</v>
      </c>
      <c r="D77" s="24" t="n">
        <v>2763.51</v>
      </c>
      <c r="E77" s="24" t="n">
        <v>3459.61</v>
      </c>
      <c r="F77" s="24" t="n">
        <v>5683</v>
      </c>
      <c r="G77" s="24" t="n">
        <v>5332</v>
      </c>
      <c r="H77" s="24">
        <f>G77-F77</f>
        <v/>
      </c>
      <c r="I77" s="8">
        <f>IF(F77=0,0,G77/F77-1)</f>
        <v/>
      </c>
    </row>
    <row r="78">
      <c r="A78" s="6" t="inlineStr">
        <is>
          <t>1000.0000.2130.52300.020</t>
        </is>
      </c>
      <c r="B78" s="6" t="inlineStr">
        <is>
          <t>Retirement - Stipends</t>
        </is>
      </c>
      <c r="C78" s="24" t="n">
        <v>0</v>
      </c>
      <c r="D78" s="24" t="n">
        <v>0</v>
      </c>
      <c r="E78" s="24" t="n">
        <v>16.12</v>
      </c>
      <c r="F78" s="24" t="n">
        <v>0</v>
      </c>
      <c r="G78" s="24" t="n">
        <v>0</v>
      </c>
      <c r="H78" s="24">
        <f>G78-F78</f>
        <v/>
      </c>
      <c r="I78" s="8">
        <f>IF(F78=0,0,G78/F78-1)</f>
        <v/>
      </c>
    </row>
    <row r="79">
      <c r="A79" s="6" t="inlineStr">
        <is>
          <t>1000.0000.2130.52310.020</t>
        </is>
      </c>
      <c r="B79" s="6" t="inlineStr">
        <is>
          <t>Retirement</t>
        </is>
      </c>
      <c r="C79" s="24" t="n">
        <v>2748.54</v>
      </c>
      <c r="D79" s="24" t="n">
        <v>652.0599999999999</v>
      </c>
      <c r="E79" s="24" t="n">
        <v>2818.53</v>
      </c>
      <c r="F79" s="24" t="n">
        <v>3091</v>
      </c>
      <c r="G79" s="24" t="n">
        <v>3353</v>
      </c>
      <c r="H79" s="24">
        <f>G79-F79</f>
        <v/>
      </c>
      <c r="I79" s="8">
        <f>IF(F79=0,0,G79/F79-1)</f>
        <v/>
      </c>
    </row>
    <row r="80">
      <c r="A80" s="6" t="inlineStr">
        <is>
          <t>1000.0000.2130.53000.020</t>
        </is>
      </c>
      <c r="B80" s="6" t="inlineStr">
        <is>
          <t>Purchased Professional</t>
        </is>
      </c>
      <c r="C80" s="24" t="n">
        <v>125</v>
      </c>
      <c r="D80" s="24" t="n">
        <v>0</v>
      </c>
      <c r="E80" s="24" t="n">
        <v>0</v>
      </c>
      <c r="F80" s="24" t="n">
        <v>300</v>
      </c>
      <c r="G80" s="24" t="n">
        <v>300</v>
      </c>
      <c r="H80" s="24">
        <f>G80-F80</f>
        <v/>
      </c>
      <c r="I80" s="8">
        <f>IF(F80=0,0,G80/F80-1)</f>
        <v/>
      </c>
    </row>
    <row r="81">
      <c r="A81" s="6" t="inlineStr">
        <is>
          <t>1000.0000.2130.54310.020</t>
        </is>
      </c>
      <c r="B81" s="6" t="inlineStr">
        <is>
          <t>Repairs &amp; Maintenance</t>
        </is>
      </c>
      <c r="C81" s="24" t="n">
        <v>65</v>
      </c>
      <c r="D81" s="24" t="n">
        <v>65</v>
      </c>
      <c r="E81" s="24" t="n">
        <v>70</v>
      </c>
      <c r="F81" s="24" t="n">
        <v>135</v>
      </c>
      <c r="G81" s="24" t="n">
        <v>135</v>
      </c>
      <c r="H81" s="24">
        <f>G81-F81</f>
        <v/>
      </c>
      <c r="I81" s="8">
        <f>IF(F81=0,0,G81/F81-1)</f>
        <v/>
      </c>
    </row>
    <row r="82">
      <c r="A82" s="6" t="inlineStr">
        <is>
          <t>1000.0000.2130.56000.020</t>
        </is>
      </c>
      <c r="B82" s="6" t="inlineStr">
        <is>
          <t>Supplies</t>
        </is>
      </c>
      <c r="C82" s="24" t="n">
        <v>765.03</v>
      </c>
      <c r="D82" s="24" t="n">
        <v>990.01</v>
      </c>
      <c r="E82" s="24" t="n">
        <v>583.45</v>
      </c>
      <c r="F82" s="24" t="n">
        <v>813</v>
      </c>
      <c r="G82" s="24" t="n">
        <v>975</v>
      </c>
      <c r="H82" s="24">
        <f>G82-F82</f>
        <v/>
      </c>
      <c r="I82" s="8">
        <f>IF(F82=0,0,G82/F82-1)</f>
        <v/>
      </c>
    </row>
    <row r="83">
      <c r="A83" s="14" t="n"/>
      <c r="B83" s="28" t="inlineStr">
        <is>
          <t>Program 0000 Total</t>
        </is>
      </c>
      <c r="C83" s="29">
        <f>SUM(C74:C82)</f>
        <v/>
      </c>
      <c r="D83" s="29">
        <f>SUM(D74:D82)</f>
        <v/>
      </c>
      <c r="E83" s="29">
        <f>SUM(E74:E82)</f>
        <v/>
      </c>
      <c r="F83" s="29">
        <f>SUM(F74:F82)</f>
        <v/>
      </c>
      <c r="G83" s="29">
        <f>SUM(G74:G82)</f>
        <v/>
      </c>
      <c r="H83" s="29">
        <f>SUM(H74:H82)</f>
        <v/>
      </c>
      <c r="I83" s="29">
        <f>SUM(I74:I82)</f>
        <v/>
      </c>
    </row>
    <row r="84">
      <c r="A84" s="6" t="inlineStr">
        <is>
          <t>1000.0000.2213.51500.020</t>
        </is>
      </c>
      <c r="B84" s="6" t="inlineStr">
        <is>
          <t>Stipends-Acad Leadership and LCC</t>
        </is>
      </c>
      <c r="C84" s="24" t="n">
        <v>0</v>
      </c>
      <c r="D84" s="24" t="n">
        <v>0</v>
      </c>
      <c r="E84" s="24" t="n">
        <v>17182.5</v>
      </c>
      <c r="F84" s="24" t="n">
        <v>13700</v>
      </c>
      <c r="G84" s="24" t="n">
        <v>13872</v>
      </c>
      <c r="H84" s="24">
        <f>G84-F84</f>
        <v/>
      </c>
      <c r="I84" s="8">
        <f>IF(F84=0,0,G84/F84-1)</f>
        <v/>
      </c>
    </row>
    <row r="85">
      <c r="A85" s="6" t="inlineStr">
        <is>
          <t>1000.0000.2213.52000.020</t>
        </is>
      </c>
      <c r="B85" s="6" t="inlineStr">
        <is>
          <t>Stipend Benefits - MSS</t>
        </is>
      </c>
      <c r="C85" s="24" t="n">
        <v>0</v>
      </c>
      <c r="D85" s="24" t="n">
        <v>0</v>
      </c>
      <c r="E85" s="24" t="n">
        <v>318.99</v>
      </c>
      <c r="F85" s="24" t="n">
        <v>0</v>
      </c>
      <c r="G85" s="24" t="n">
        <v>0</v>
      </c>
      <c r="H85" s="24">
        <f>G85-F85</f>
        <v/>
      </c>
      <c r="I85" s="8">
        <f>IF(F85=0,0,G85/F85-1)</f>
        <v/>
      </c>
    </row>
    <row r="86">
      <c r="A86" s="6" t="inlineStr">
        <is>
          <t>1000.0000.2213.52300.020</t>
        </is>
      </c>
      <c r="B86" s="6" t="inlineStr">
        <is>
          <t>Stipend Retirement - MSS</t>
        </is>
      </c>
      <c r="C86" s="24" t="n">
        <v>0</v>
      </c>
      <c r="D86" s="24" t="n">
        <v>0</v>
      </c>
      <c r="E86" s="24" t="n">
        <v>877.85</v>
      </c>
      <c r="F86" s="24" t="n">
        <v>0</v>
      </c>
      <c r="G86" s="24" t="n">
        <v>0</v>
      </c>
      <c r="H86" s="24">
        <f>G86-F86</f>
        <v/>
      </c>
      <c r="I86" s="8">
        <f>IF(F86=0,0,G86/F86-1)</f>
        <v/>
      </c>
    </row>
    <row r="87">
      <c r="A87" s="6" t="inlineStr">
        <is>
          <t>1000.0000.2213.53300.020</t>
        </is>
      </c>
      <c r="B87" s="6" t="inlineStr">
        <is>
          <t>Employee Training</t>
        </is>
      </c>
      <c r="C87" s="24" t="n">
        <v>0</v>
      </c>
      <c r="D87" s="24" t="n">
        <v>0</v>
      </c>
      <c r="E87" s="24" t="n">
        <v>129</v>
      </c>
      <c r="F87" s="24" t="n">
        <v>0</v>
      </c>
      <c r="G87" s="24" t="n">
        <v>0</v>
      </c>
      <c r="H87" s="24">
        <f>G87-F87</f>
        <v/>
      </c>
      <c r="I87" s="8">
        <f>IF(F87=0,0,G87/F87-1)</f>
        <v/>
      </c>
    </row>
    <row r="88">
      <c r="A88" s="14" t="n"/>
      <c r="B88" s="28" t="inlineStr">
        <is>
          <t>Program 0000 Total</t>
        </is>
      </c>
      <c r="C88" s="29">
        <f>SUM(C84:C87)</f>
        <v/>
      </c>
      <c r="D88" s="29">
        <f>SUM(D84:D87)</f>
        <v/>
      </c>
      <c r="E88" s="29">
        <f>SUM(E84:E87)</f>
        <v/>
      </c>
      <c r="F88" s="29">
        <f>SUM(F84:F87)</f>
        <v/>
      </c>
      <c r="G88" s="29">
        <f>SUM(G84:G87)</f>
        <v/>
      </c>
      <c r="H88" s="29">
        <f>SUM(H84:H87)</f>
        <v/>
      </c>
      <c r="I88" s="29">
        <f>SUM(I84:I87)</f>
        <v/>
      </c>
    </row>
    <row r="89">
      <c r="A89" s="6" t="inlineStr">
        <is>
          <t>1000.0000.2220.51010.020</t>
        </is>
      </c>
      <c r="B89" s="6" t="inlineStr">
        <is>
          <t>Librarian Salary</t>
        </is>
      </c>
      <c r="C89" s="24" t="n">
        <v>36859.24</v>
      </c>
      <c r="D89" s="24" t="n">
        <v>41215.07</v>
      </c>
      <c r="E89" s="24" t="n">
        <v>30814.43</v>
      </c>
      <c r="F89" s="24" t="n">
        <v>31235</v>
      </c>
      <c r="G89" s="24" t="n">
        <v>35726</v>
      </c>
      <c r="H89" s="24">
        <f>G89-F89</f>
        <v/>
      </c>
      <c r="I89" s="8">
        <f>IF(F89=0,0,G89/F89-1)</f>
        <v/>
      </c>
    </row>
    <row r="90">
      <c r="A90" s="6" t="inlineStr">
        <is>
          <t>1000.0000.2220.51020.020</t>
        </is>
      </c>
      <c r="B90" s="6" t="inlineStr">
        <is>
          <t>Ed Tech Salaries</t>
        </is>
      </c>
      <c r="C90" s="24" t="n">
        <v>11807.59</v>
      </c>
      <c r="D90" s="24" t="n">
        <v>14094.43</v>
      </c>
      <c r="E90" s="24" t="n">
        <v>15204.75</v>
      </c>
      <c r="F90" s="24" t="n">
        <v>14391</v>
      </c>
      <c r="G90" s="24" t="n">
        <v>12275</v>
      </c>
      <c r="H90" s="24">
        <f>G90-F90</f>
        <v/>
      </c>
      <c r="I90" s="8">
        <f>IF(F90=0,0,G90/F90-1)</f>
        <v/>
      </c>
    </row>
    <row r="91">
      <c r="A91" s="6" t="inlineStr">
        <is>
          <t>1000.0000.2220.52010.020</t>
        </is>
      </c>
      <c r="B91" s="6" t="inlineStr">
        <is>
          <t>Librarian Benefits</t>
        </is>
      </c>
      <c r="C91" s="24" t="n">
        <v>5526.31</v>
      </c>
      <c r="D91" s="24" t="n">
        <v>2337.32</v>
      </c>
      <c r="E91" s="24" t="n">
        <v>2400.91</v>
      </c>
      <c r="F91" s="24" t="n">
        <v>2453</v>
      </c>
      <c r="G91" s="24" t="n">
        <v>8525</v>
      </c>
      <c r="H91" s="24">
        <f>G91-F91</f>
        <v/>
      </c>
      <c r="I91" s="8">
        <f>IF(F91=0,0,G91/F91-1)</f>
        <v/>
      </c>
    </row>
    <row r="92">
      <c r="A92" s="6" t="inlineStr">
        <is>
          <t>1000.0000.2220.52020.020</t>
        </is>
      </c>
      <c r="B92" s="6" t="inlineStr">
        <is>
          <t>Library Ed Tech Benefit</t>
        </is>
      </c>
      <c r="C92" s="24" t="n">
        <v>6148.35</v>
      </c>
      <c r="D92" s="24" t="n">
        <v>5085.42</v>
      </c>
      <c r="E92" s="24" t="n">
        <v>5890.4</v>
      </c>
      <c r="F92" s="24" t="n">
        <v>11987</v>
      </c>
      <c r="G92" s="24" t="n">
        <v>7331</v>
      </c>
      <c r="H92" s="24">
        <f>G92-F92</f>
        <v/>
      </c>
      <c r="I92" s="8">
        <f>IF(F92=0,0,G92/F92-1)</f>
        <v/>
      </c>
    </row>
    <row r="93">
      <c r="A93" s="6" t="inlineStr">
        <is>
          <t>1000.0000.2220.52310.020</t>
        </is>
      </c>
      <c r="B93" s="6" t="inlineStr">
        <is>
          <t>Retirement</t>
        </is>
      </c>
      <c r="C93" s="24" t="n">
        <v>1577.65</v>
      </c>
      <c r="D93" s="24" t="n">
        <v>157.17</v>
      </c>
      <c r="E93" s="24" t="n">
        <v>1333.48</v>
      </c>
      <c r="F93" s="24" t="n">
        <v>1299</v>
      </c>
      <c r="G93" s="24" t="n">
        <v>1597</v>
      </c>
      <c r="H93" s="24">
        <f>G93-F93</f>
        <v/>
      </c>
      <c r="I93" s="8">
        <f>IF(F93=0,0,G93/F93-1)</f>
        <v/>
      </c>
    </row>
    <row r="94">
      <c r="A94" s="6" t="inlineStr">
        <is>
          <t>1000.0000.2220.52320.020</t>
        </is>
      </c>
      <c r="B94" s="6" t="inlineStr">
        <is>
          <t>Retirement</t>
        </is>
      </c>
      <c r="C94" s="24" t="n">
        <v>491.29</v>
      </c>
      <c r="D94" s="24" t="n">
        <v>201.15</v>
      </c>
      <c r="E94" s="24" t="n">
        <v>583.73</v>
      </c>
      <c r="F94" s="24" t="n">
        <v>0</v>
      </c>
      <c r="G94" s="24" t="n">
        <v>587</v>
      </c>
      <c r="H94" s="24">
        <f>G94-F94</f>
        <v/>
      </c>
      <c r="I94" s="8">
        <f>IF(F94=0,0,G94/F94-1)</f>
        <v/>
      </c>
    </row>
    <row r="95">
      <c r="A95" s="6" t="inlineStr">
        <is>
          <t>1000.0000.2220.54330.020</t>
        </is>
      </c>
      <c r="B95" s="6" t="inlineStr">
        <is>
          <t>Software</t>
        </is>
      </c>
      <c r="C95" s="24" t="n">
        <v>1042.5</v>
      </c>
      <c r="D95" s="24" t="n">
        <v>1042.5</v>
      </c>
      <c r="E95" s="24" t="n">
        <v>1060.35</v>
      </c>
      <c r="F95" s="24" t="n">
        <v>1043</v>
      </c>
      <c r="G95" s="24" t="n">
        <v>1129</v>
      </c>
      <c r="H95" s="24">
        <f>G95-F95</f>
        <v/>
      </c>
      <c r="I95" s="8">
        <f>IF(F95=0,0,G95/F95-1)</f>
        <v/>
      </c>
    </row>
    <row r="96">
      <c r="A96" s="6" t="inlineStr">
        <is>
          <t>1000.0000.2220.56000.020</t>
        </is>
      </c>
      <c r="B96" s="6" t="inlineStr">
        <is>
          <t>Supplies</t>
        </is>
      </c>
      <c r="C96" s="24" t="n">
        <v>309.25</v>
      </c>
      <c r="D96" s="24" t="n">
        <v>0</v>
      </c>
      <c r="E96" s="24" t="n">
        <v>0</v>
      </c>
      <c r="F96" s="24" t="n">
        <v>0</v>
      </c>
      <c r="G96" s="24" t="n">
        <v>0</v>
      </c>
      <c r="H96" s="24">
        <f>G96-F96</f>
        <v/>
      </c>
      <c r="I96" s="8">
        <f>IF(F96=0,0,G96/F96-1)</f>
        <v/>
      </c>
    </row>
    <row r="97">
      <c r="A97" s="6" t="inlineStr">
        <is>
          <t>1000.0000.2220.56100.020</t>
        </is>
      </c>
      <c r="B97" s="6" t="inlineStr">
        <is>
          <t>Instructional Supplies</t>
        </is>
      </c>
      <c r="C97" s="24" t="n">
        <v>0</v>
      </c>
      <c r="D97" s="24" t="n">
        <v>114.1</v>
      </c>
      <c r="E97" s="24" t="n">
        <v>0</v>
      </c>
      <c r="F97" s="24" t="n">
        <v>339</v>
      </c>
      <c r="G97" s="24" t="n">
        <v>350</v>
      </c>
      <c r="H97" s="24">
        <f>G97-F97</f>
        <v/>
      </c>
      <c r="I97" s="8">
        <f>IF(F97=0,0,G97/F97-1)</f>
        <v/>
      </c>
    </row>
    <row r="98">
      <c r="A98" s="6" t="inlineStr">
        <is>
          <t>1000.0000.2220.56400.020</t>
        </is>
      </c>
      <c r="B98" s="6" t="inlineStr">
        <is>
          <t>Books</t>
        </is>
      </c>
      <c r="C98" s="24" t="n">
        <v>6165.95</v>
      </c>
      <c r="D98" s="24" t="n">
        <v>6447.38</v>
      </c>
      <c r="E98" s="24" t="n">
        <v>6676.73</v>
      </c>
      <c r="F98" s="24" t="n">
        <v>6355</v>
      </c>
      <c r="G98" s="24" t="n">
        <v>6825</v>
      </c>
      <c r="H98" s="24">
        <f>G98-F98</f>
        <v/>
      </c>
      <c r="I98" s="8">
        <f>IF(F98=0,0,G98/F98-1)</f>
        <v/>
      </c>
    </row>
    <row r="99">
      <c r="A99" s="14" t="n"/>
      <c r="B99" s="28" t="inlineStr">
        <is>
          <t>Program 0000 Total</t>
        </is>
      </c>
      <c r="C99" s="29">
        <f>SUM(C89:C98)</f>
        <v/>
      </c>
      <c r="D99" s="29">
        <f>SUM(D89:D98)</f>
        <v/>
      </c>
      <c r="E99" s="29">
        <f>SUM(E89:E98)</f>
        <v/>
      </c>
      <c r="F99" s="29">
        <f>SUM(F89:F98)</f>
        <v/>
      </c>
      <c r="G99" s="29">
        <f>SUM(G89:G98)</f>
        <v/>
      </c>
      <c r="H99" s="29">
        <f>SUM(H89:H98)</f>
        <v/>
      </c>
      <c r="I99" s="29">
        <f>SUM(I89:I98)</f>
        <v/>
      </c>
    </row>
    <row r="100">
      <c r="A100" s="6" t="inlineStr">
        <is>
          <t>1000.0000.2230.51010.020</t>
        </is>
      </c>
      <c r="B100" s="6" t="inlineStr">
        <is>
          <t>Teacher Salaries</t>
        </is>
      </c>
      <c r="C100" s="24" t="n">
        <v>36648.56</v>
      </c>
      <c r="D100" s="24" t="n">
        <v>-3486.91</v>
      </c>
      <c r="E100" s="24" t="n">
        <v>0</v>
      </c>
      <c r="F100" s="24" t="n">
        <v>0</v>
      </c>
      <c r="G100" s="24" t="n">
        <v>0</v>
      </c>
      <c r="H100" s="24">
        <f>G100-F100</f>
        <v/>
      </c>
      <c r="I100" s="8">
        <f>IF(F100=0,0,G100/F100-1)</f>
        <v/>
      </c>
    </row>
    <row r="101">
      <c r="A101" s="6" t="inlineStr">
        <is>
          <t>1000.0000.2230.52010.020</t>
        </is>
      </c>
      <c r="B101" s="6" t="inlineStr">
        <is>
          <t>Teacher Benefits</t>
        </is>
      </c>
      <c r="C101" s="24" t="n">
        <v>7852.9</v>
      </c>
      <c r="D101" s="24" t="n">
        <v>902.1</v>
      </c>
      <c r="E101" s="24" t="n">
        <v>0</v>
      </c>
      <c r="F101" s="24" t="n">
        <v>0</v>
      </c>
      <c r="G101" s="24" t="n">
        <v>0</v>
      </c>
      <c r="H101" s="24">
        <f>G101-F101</f>
        <v/>
      </c>
      <c r="I101" s="8">
        <f>IF(F101=0,0,G101/F101-1)</f>
        <v/>
      </c>
    </row>
    <row r="102">
      <c r="A102" s="6" t="inlineStr">
        <is>
          <t>1000.0000.2230.52310.020</t>
        </is>
      </c>
      <c r="B102" s="6" t="inlineStr">
        <is>
          <t>Retirement</t>
        </is>
      </c>
      <c r="C102" s="24" t="n">
        <v>1560.9</v>
      </c>
      <c r="D102" s="24" t="n">
        <v>141.65</v>
      </c>
      <c r="E102" s="24" t="n">
        <v>0</v>
      </c>
      <c r="F102" s="24" t="n">
        <v>0</v>
      </c>
      <c r="G102" s="24" t="n">
        <v>0</v>
      </c>
      <c r="H102" s="24">
        <f>G102-F102</f>
        <v/>
      </c>
      <c r="I102" s="8">
        <f>IF(F102=0,0,G102/F102-1)</f>
        <v/>
      </c>
    </row>
    <row r="103">
      <c r="A103" s="6" t="inlineStr">
        <is>
          <t>1000.0000.2230.55350.020</t>
        </is>
      </c>
      <c r="B103" s="6" t="inlineStr">
        <is>
          <t>Online Subscription - Instructional MSS</t>
        </is>
      </c>
      <c r="C103" s="24" t="n">
        <v>0</v>
      </c>
      <c r="D103" s="24" t="n">
        <v>0</v>
      </c>
      <c r="E103" s="24" t="n">
        <v>590</v>
      </c>
      <c r="F103" s="24" t="n">
        <v>0</v>
      </c>
      <c r="G103" s="24" t="n">
        <v>0</v>
      </c>
      <c r="H103" s="24">
        <f>G103-F103</f>
        <v/>
      </c>
      <c r="I103" s="8">
        <f>IF(F103=0,0,G103/F103-1)</f>
        <v/>
      </c>
    </row>
    <row r="104">
      <c r="A104" s="14" t="n"/>
      <c r="B104" s="28" t="inlineStr">
        <is>
          <t>Program 0000 Total</t>
        </is>
      </c>
      <c r="C104" s="29">
        <f>SUM(C100:C103)</f>
        <v/>
      </c>
      <c r="D104" s="29">
        <f>SUM(D100:D103)</f>
        <v/>
      </c>
      <c r="E104" s="29">
        <f>SUM(E100:E103)</f>
        <v/>
      </c>
      <c r="F104" s="29">
        <f>SUM(F100:F103)</f>
        <v/>
      </c>
      <c r="G104" s="29">
        <f>SUM(G100:G103)</f>
        <v/>
      </c>
      <c r="H104" s="29">
        <f>SUM(H100:H103)</f>
        <v/>
      </c>
      <c r="I104" s="29">
        <f>SUM(I100:I103)</f>
        <v/>
      </c>
    </row>
    <row r="105">
      <c r="A105" s="14" t="n"/>
      <c r="B105" s="17" t="inlineStr">
        <is>
          <t>Cost Center ('020',) Total</t>
        </is>
      </c>
      <c r="C105" s="32">
        <f>C64+C73+C83+C88+C99+C104</f>
        <v/>
      </c>
      <c r="D105" s="32">
        <f>D64+D73+D83+D88+D99+D104</f>
        <v/>
      </c>
      <c r="E105" s="32">
        <f>E64+E73+E83+E88+E99+E104</f>
        <v/>
      </c>
      <c r="F105" s="32">
        <f>F64+F73+F83+F88+F99+F104</f>
        <v/>
      </c>
      <c r="G105" s="32">
        <f>G64+G73+G83+G88+G99+G104</f>
        <v/>
      </c>
      <c r="H105" s="32">
        <f>H64+H73+H83+H88+H99+H104</f>
        <v/>
      </c>
      <c r="I105" s="32">
        <f>I64+I73+I83+I88+I99+I104</f>
        <v/>
      </c>
    </row>
    <row r="107">
      <c r="A107" s="3" t="inlineStr">
        <is>
          <t>Cost Center: ('030',)</t>
        </is>
      </c>
    </row>
    <row r="108">
      <c r="A108" s="6" t="inlineStr">
        <is>
          <t>1000.0000.2120.51010.030</t>
        </is>
      </c>
      <c r="B108" s="6" t="inlineStr">
        <is>
          <t>Guidance Salaries</t>
        </is>
      </c>
      <c r="C108" s="24" t="n">
        <v>34122.64</v>
      </c>
      <c r="D108" s="24" t="n">
        <v>30496.55</v>
      </c>
      <c r="E108" s="24" t="n">
        <v>35867.53</v>
      </c>
      <c r="F108" s="24" t="n">
        <v>37346</v>
      </c>
      <c r="G108" s="24" t="n">
        <v>40321</v>
      </c>
      <c r="H108" s="24">
        <f>G108-F108</f>
        <v/>
      </c>
      <c r="I108" s="8">
        <f>IF(F108=0,0,G108/F108-1)</f>
        <v/>
      </c>
    </row>
    <row r="109">
      <c r="A109" s="6" t="inlineStr">
        <is>
          <t>1000.0000.2120.52010.030</t>
        </is>
      </c>
      <c r="B109" s="6" t="inlineStr">
        <is>
          <t>Benefits</t>
        </is>
      </c>
      <c r="C109" s="24" t="n">
        <v>3291.63</v>
      </c>
      <c r="D109" s="24" t="n">
        <v>36.94</v>
      </c>
      <c r="E109" s="24" t="n">
        <v>2492.11</v>
      </c>
      <c r="F109" s="24" t="n">
        <v>2527</v>
      </c>
      <c r="G109" s="24" t="n">
        <v>2649</v>
      </c>
      <c r="H109" s="24">
        <f>G109-F109</f>
        <v/>
      </c>
      <c r="I109" s="8">
        <f>IF(F109=0,0,G109/F109-1)</f>
        <v/>
      </c>
    </row>
    <row r="110">
      <c r="A110" s="6" t="inlineStr">
        <is>
          <t>1000.0000.2120.52310.030</t>
        </is>
      </c>
      <c r="B110" s="6" t="inlineStr">
        <is>
          <t>Retirement</t>
        </is>
      </c>
      <c r="C110" s="24" t="n">
        <v>20712.24</v>
      </c>
      <c r="D110" s="24" t="n">
        <v>88097.05</v>
      </c>
      <c r="E110" s="24" t="n">
        <v>1634.31</v>
      </c>
      <c r="F110" s="24" t="n">
        <v>1621</v>
      </c>
      <c r="G110" s="24" t="n">
        <v>1802</v>
      </c>
      <c r="H110" s="24">
        <f>G110-F110</f>
        <v/>
      </c>
      <c r="I110" s="8">
        <f>IF(F110=0,0,G110/F110-1)</f>
        <v/>
      </c>
    </row>
    <row r="111">
      <c r="A111" s="6" t="inlineStr">
        <is>
          <t>1000.0000.2120.53000.030</t>
        </is>
      </c>
      <c r="B111" s="6" t="inlineStr">
        <is>
          <t>Purchased Professional</t>
        </is>
      </c>
      <c r="C111" s="24" t="n">
        <v>0</v>
      </c>
      <c r="D111" s="24" t="n">
        <v>0</v>
      </c>
      <c r="E111" s="24" t="n">
        <v>0</v>
      </c>
      <c r="F111" s="24" t="n">
        <v>300</v>
      </c>
      <c r="G111" s="24" t="n">
        <v>300</v>
      </c>
      <c r="H111" s="24">
        <f>G111-F111</f>
        <v/>
      </c>
      <c r="I111" s="8">
        <f>IF(F111=0,0,G111/F111-1)</f>
        <v/>
      </c>
    </row>
    <row r="112">
      <c r="A112" s="6" t="inlineStr">
        <is>
          <t>1000.0000.2120.54330.030</t>
        </is>
      </c>
      <c r="B112" s="6" t="inlineStr">
        <is>
          <t>Software</t>
        </is>
      </c>
      <c r="C112" s="24" t="n">
        <v>0</v>
      </c>
      <c r="D112" s="24" t="n">
        <v>0</v>
      </c>
      <c r="E112" s="24" t="n">
        <v>333.33</v>
      </c>
      <c r="F112" s="24" t="n">
        <v>334.26</v>
      </c>
      <c r="G112" s="24" t="n">
        <v>334</v>
      </c>
      <c r="H112" s="24">
        <f>G112-F112</f>
        <v/>
      </c>
      <c r="I112" s="8">
        <f>IF(F112=0,0,G112/F112-1)</f>
        <v/>
      </c>
    </row>
    <row r="113">
      <c r="A113" s="6" t="inlineStr">
        <is>
          <t>1000.0000.2120.56100.030</t>
        </is>
      </c>
      <c r="B113" s="6" t="inlineStr">
        <is>
          <t>Supplies</t>
        </is>
      </c>
      <c r="C113" s="24" t="n">
        <v>0</v>
      </c>
      <c r="D113" s="24" t="n">
        <v>13.99</v>
      </c>
      <c r="E113" s="24" t="n">
        <v>338.11</v>
      </c>
      <c r="F113" s="24" t="n">
        <v>339</v>
      </c>
      <c r="G113" s="24" t="n">
        <v>350</v>
      </c>
      <c r="H113" s="24">
        <f>G113-F113</f>
        <v/>
      </c>
      <c r="I113" s="8">
        <f>IF(F113=0,0,G113/F113-1)</f>
        <v/>
      </c>
    </row>
    <row r="114">
      <c r="A114" s="6" t="inlineStr">
        <is>
          <t>1000.0000.2120.56400.030</t>
        </is>
      </c>
      <c r="B114" s="6" t="inlineStr">
        <is>
          <t>Books</t>
        </is>
      </c>
      <c r="C114" s="24" t="n">
        <v>0</v>
      </c>
      <c r="D114" s="24" t="n">
        <v>67.37</v>
      </c>
      <c r="E114" s="24" t="n">
        <v>148.29</v>
      </c>
      <c r="F114" s="24" t="n">
        <v>150</v>
      </c>
      <c r="G114" s="24" t="n">
        <v>150</v>
      </c>
      <c r="H114" s="24">
        <f>G114-F114</f>
        <v/>
      </c>
      <c r="I114" s="8">
        <f>IF(F114=0,0,G114/F114-1)</f>
        <v/>
      </c>
    </row>
    <row r="115">
      <c r="A115" s="6" t="inlineStr">
        <is>
          <t>1000.0000.2120.57300.030</t>
        </is>
      </c>
      <c r="B115" s="6" t="inlineStr">
        <is>
          <t>Equipment</t>
        </is>
      </c>
      <c r="C115" s="24" t="n">
        <v>0</v>
      </c>
      <c r="D115" s="24" t="n">
        <v>0</v>
      </c>
      <c r="E115" s="24" t="n">
        <v>0</v>
      </c>
      <c r="F115" s="24" t="n">
        <v>500</v>
      </c>
      <c r="G115" s="24" t="n">
        <v>750</v>
      </c>
      <c r="H115" s="24">
        <f>G115-F115</f>
        <v/>
      </c>
      <c r="I115" s="8">
        <f>IF(F115=0,0,G115/F115-1)</f>
        <v/>
      </c>
    </row>
    <row r="116">
      <c r="A116" s="14" t="n"/>
      <c r="B116" s="28" t="inlineStr">
        <is>
          <t>Program 0000 Total</t>
        </is>
      </c>
      <c r="C116" s="29">
        <f>SUM(C108:C115)</f>
        <v/>
      </c>
      <c r="D116" s="29">
        <f>SUM(D108:D115)</f>
        <v/>
      </c>
      <c r="E116" s="29">
        <f>SUM(E108:E115)</f>
        <v/>
      </c>
      <c r="F116" s="29">
        <f>SUM(F108:F115)</f>
        <v/>
      </c>
      <c r="G116" s="29">
        <f>SUM(G108:G115)</f>
        <v/>
      </c>
      <c r="H116" s="29">
        <f>SUM(H108:H115)</f>
        <v/>
      </c>
      <c r="I116" s="29">
        <f>SUM(I108:I115)</f>
        <v/>
      </c>
    </row>
    <row r="117">
      <c r="A117" s="6" t="inlineStr">
        <is>
          <t>1000.0000.2130.51010.030</t>
        </is>
      </c>
      <c r="B117" s="6" t="inlineStr">
        <is>
          <t>Nurse Salary</t>
        </is>
      </c>
      <c r="C117" s="24" t="n">
        <v>51907.94</v>
      </c>
      <c r="D117" s="24" t="n">
        <v>57691.95</v>
      </c>
      <c r="E117" s="24" t="n">
        <v>55632.97</v>
      </c>
      <c r="F117" s="24" t="n">
        <v>57971</v>
      </c>
      <c r="G117" s="24" t="n">
        <v>60909</v>
      </c>
      <c r="H117" s="24">
        <f>G117-F117</f>
        <v/>
      </c>
      <c r="I117" s="8">
        <f>IF(F117=0,0,G117/F117-1)</f>
        <v/>
      </c>
    </row>
    <row r="118">
      <c r="A118" s="6" t="inlineStr">
        <is>
          <t>1000.0000.2130.51200.030</t>
        </is>
      </c>
      <c r="B118" s="6" t="inlineStr">
        <is>
          <t>Nurse Substitute - PES</t>
        </is>
      </c>
      <c r="C118" s="24" t="n">
        <v>0</v>
      </c>
      <c r="D118" s="24" t="n">
        <v>0</v>
      </c>
      <c r="E118" s="24" t="n">
        <v>420</v>
      </c>
      <c r="F118" s="24" t="n">
        <v>0</v>
      </c>
      <c r="G118" s="24" t="n">
        <v>0</v>
      </c>
      <c r="H118" s="24">
        <f>G118-F118</f>
        <v/>
      </c>
      <c r="I118" s="8">
        <f>IF(F118=0,0,G118/F118-1)</f>
        <v/>
      </c>
    </row>
    <row r="119">
      <c r="A119" s="6" t="inlineStr">
        <is>
          <t>1000.0000.2130.52000.030</t>
        </is>
      </c>
      <c r="B119" s="6" t="inlineStr">
        <is>
          <t>Employee Benefits</t>
        </is>
      </c>
      <c r="C119" s="24" t="n">
        <v>0</v>
      </c>
      <c r="D119" s="24" t="n">
        <v>0</v>
      </c>
      <c r="E119" s="24" t="n">
        <v>15.76</v>
      </c>
      <c r="F119" s="24" t="n">
        <v>0</v>
      </c>
      <c r="G119" s="24" t="n">
        <v>0</v>
      </c>
      <c r="H119" s="24">
        <f>G119-F119</f>
        <v/>
      </c>
      <c r="I119" s="8">
        <f>IF(F119=0,0,G119/F119-1)</f>
        <v/>
      </c>
    </row>
    <row r="120">
      <c r="A120" s="6" t="inlineStr">
        <is>
          <t>1000.0000.2130.52010.030</t>
        </is>
      </c>
      <c r="B120" s="6" t="inlineStr">
        <is>
          <t>Nurse Benefits</t>
        </is>
      </c>
      <c r="C120" s="24" t="n">
        <v>16953.5</v>
      </c>
      <c r="D120" s="24" t="n">
        <v>4185.48</v>
      </c>
      <c r="E120" s="24" t="n">
        <v>16178.77</v>
      </c>
      <c r="F120" s="24" t="n">
        <v>21576</v>
      </c>
      <c r="G120" s="24" t="n">
        <v>18694</v>
      </c>
      <c r="H120" s="24">
        <f>G120-F120</f>
        <v/>
      </c>
      <c r="I120" s="8">
        <f>IF(F120=0,0,G120/F120-1)</f>
        <v/>
      </c>
    </row>
    <row r="121">
      <c r="A121" s="6" t="inlineStr">
        <is>
          <t>1000.0000.2130.52300.030</t>
        </is>
      </c>
      <c r="B121" s="6" t="inlineStr">
        <is>
          <t>Retirement - Stipends</t>
        </is>
      </c>
      <c r="C121" s="24" t="n">
        <v>0</v>
      </c>
      <c r="D121" s="24" t="n">
        <v>0</v>
      </c>
      <c r="E121" s="24" t="n">
        <v>10.75</v>
      </c>
      <c r="F121" s="24" t="n">
        <v>0</v>
      </c>
      <c r="G121" s="24" t="n">
        <v>0</v>
      </c>
      <c r="H121" s="24">
        <f>G121-F121</f>
        <v/>
      </c>
      <c r="I121" s="8">
        <f>IF(F121=0,0,G121/F121-1)</f>
        <v/>
      </c>
    </row>
    <row r="122">
      <c r="A122" s="6" t="inlineStr">
        <is>
          <t>1000.0000.2130.52310.030</t>
        </is>
      </c>
      <c r="B122" s="6" t="inlineStr">
        <is>
          <t>Retirement</t>
        </is>
      </c>
      <c r="C122" s="24" t="n">
        <v>0</v>
      </c>
      <c r="D122" s="24" t="n">
        <v>129.8</v>
      </c>
      <c r="E122" s="24" t="n">
        <v>3209.56</v>
      </c>
      <c r="F122" s="24" t="n">
        <v>2411</v>
      </c>
      <c r="G122" s="24" t="n">
        <v>2723</v>
      </c>
      <c r="H122" s="24">
        <f>G122-F122</f>
        <v/>
      </c>
      <c r="I122" s="8">
        <f>IF(F122=0,0,G122/F122-1)</f>
        <v/>
      </c>
    </row>
    <row r="123">
      <c r="A123" s="6" t="inlineStr">
        <is>
          <t>1000.0000.2130.53000.030</t>
        </is>
      </c>
      <c r="B123" s="6" t="inlineStr">
        <is>
          <t>Purchased Professional</t>
        </is>
      </c>
      <c r="C123" s="24" t="n">
        <v>0</v>
      </c>
      <c r="D123" s="24" t="n">
        <v>0</v>
      </c>
      <c r="E123" s="24" t="n">
        <v>0</v>
      </c>
      <c r="F123" s="24" t="n">
        <v>500</v>
      </c>
      <c r="G123" s="24" t="n">
        <v>300</v>
      </c>
      <c r="H123" s="24">
        <f>G123-F123</f>
        <v/>
      </c>
      <c r="I123" s="8">
        <f>IF(F123=0,0,G123/F123-1)</f>
        <v/>
      </c>
    </row>
    <row r="124">
      <c r="A124" s="6" t="inlineStr">
        <is>
          <t>1000.0000.2130.54310.030</t>
        </is>
      </c>
      <c r="B124" s="6" t="inlineStr">
        <is>
          <t>Repairs &amp; Maintenance</t>
        </is>
      </c>
      <c r="C124" s="24" t="n">
        <v>0</v>
      </c>
      <c r="D124" s="24" t="n">
        <v>0</v>
      </c>
      <c r="E124" s="24" t="n">
        <v>0</v>
      </c>
      <c r="F124" s="24" t="n">
        <v>135</v>
      </c>
      <c r="G124" s="24" t="n">
        <v>135</v>
      </c>
      <c r="H124" s="24">
        <f>G124-F124</f>
        <v/>
      </c>
      <c r="I124" s="8">
        <f>IF(F124=0,0,G124/F124-1)</f>
        <v/>
      </c>
    </row>
    <row r="125">
      <c r="A125" s="6" t="inlineStr">
        <is>
          <t>1000.0000.2130.56000.030</t>
        </is>
      </c>
      <c r="B125" s="6" t="inlineStr">
        <is>
          <t>Supplies</t>
        </is>
      </c>
      <c r="C125" s="24" t="n">
        <v>720.17</v>
      </c>
      <c r="D125" s="24" t="n">
        <v>311.72</v>
      </c>
      <c r="E125" s="24" t="n">
        <v>229.04</v>
      </c>
      <c r="F125" s="24" t="n">
        <v>291</v>
      </c>
      <c r="G125" s="24" t="n">
        <v>309</v>
      </c>
      <c r="H125" s="24">
        <f>G125-F125</f>
        <v/>
      </c>
      <c r="I125" s="8">
        <f>IF(F125=0,0,G125/F125-1)</f>
        <v/>
      </c>
    </row>
    <row r="126">
      <c r="A126" s="14" t="n"/>
      <c r="B126" s="28" t="inlineStr">
        <is>
          <t>Program 0000 Total</t>
        </is>
      </c>
      <c r="C126" s="29">
        <f>SUM(C117:C125)</f>
        <v/>
      </c>
      <c r="D126" s="29">
        <f>SUM(D117:D125)</f>
        <v/>
      </c>
      <c r="E126" s="29">
        <f>SUM(E117:E125)</f>
        <v/>
      </c>
      <c r="F126" s="29">
        <f>SUM(F117:F125)</f>
        <v/>
      </c>
      <c r="G126" s="29">
        <f>SUM(G117:G125)</f>
        <v/>
      </c>
      <c r="H126" s="29">
        <f>SUM(H117:H125)</f>
        <v/>
      </c>
      <c r="I126" s="29">
        <f>SUM(I117:I125)</f>
        <v/>
      </c>
    </row>
    <row r="127">
      <c r="A127" s="6" t="inlineStr">
        <is>
          <t>1000.0000.2213.51500.030</t>
        </is>
      </c>
      <c r="B127" s="6" t="inlineStr">
        <is>
          <t>Stipends-Acad Leadership and LCC</t>
        </is>
      </c>
      <c r="C127" s="24" t="n">
        <v>0</v>
      </c>
      <c r="D127" s="24" t="n">
        <v>0</v>
      </c>
      <c r="E127" s="24" t="n">
        <v>5646</v>
      </c>
      <c r="F127" s="24" t="n">
        <v>5000</v>
      </c>
      <c r="G127" s="24" t="n">
        <v>6021</v>
      </c>
      <c r="H127" s="24">
        <f>G127-F127</f>
        <v/>
      </c>
      <c r="I127" s="8">
        <f>IF(F127=0,0,G127/F127-1)</f>
        <v/>
      </c>
    </row>
    <row r="128">
      <c r="A128" s="6" t="inlineStr">
        <is>
          <t>1000.0000.2213.52000.030</t>
        </is>
      </c>
      <c r="B128" s="6" t="inlineStr">
        <is>
          <t>Stipend Benefits - PES</t>
        </is>
      </c>
      <c r="C128" s="24" t="n">
        <v>0</v>
      </c>
      <c r="D128" s="24" t="n">
        <v>0</v>
      </c>
      <c r="E128" s="24" t="n">
        <v>105.55</v>
      </c>
      <c r="F128" s="24" t="n">
        <v>0</v>
      </c>
      <c r="G128" s="24" t="n">
        <v>0</v>
      </c>
      <c r="H128" s="24">
        <f>G128-F128</f>
        <v/>
      </c>
      <c r="I128" s="8">
        <f>IF(F128=0,0,G128/F128-1)</f>
        <v/>
      </c>
    </row>
    <row r="129">
      <c r="A129" s="6" t="inlineStr">
        <is>
          <t>1000.0000.2213.52300.030</t>
        </is>
      </c>
      <c r="B129" s="6" t="inlineStr">
        <is>
          <t>Stipend Retirement - PES</t>
        </is>
      </c>
      <c r="C129" s="24" t="n">
        <v>0</v>
      </c>
      <c r="D129" s="24" t="n">
        <v>0</v>
      </c>
      <c r="E129" s="24" t="n">
        <v>216.82</v>
      </c>
      <c r="F129" s="24" t="n">
        <v>0</v>
      </c>
      <c r="G129" s="24" t="n">
        <v>0</v>
      </c>
      <c r="H129" s="24">
        <f>G129-F129</f>
        <v/>
      </c>
      <c r="I129" s="8">
        <f>IF(F129=0,0,G129/F129-1)</f>
        <v/>
      </c>
    </row>
    <row r="130">
      <c r="A130" s="14" t="n"/>
      <c r="B130" s="28" t="inlineStr">
        <is>
          <t>Program 0000 Total</t>
        </is>
      </c>
      <c r="C130" s="29">
        <f>SUM(C127:C129)</f>
        <v/>
      </c>
      <c r="D130" s="29">
        <f>SUM(D127:D129)</f>
        <v/>
      </c>
      <c r="E130" s="29">
        <f>SUM(E127:E129)</f>
        <v/>
      </c>
      <c r="F130" s="29">
        <f>SUM(F127:F129)</f>
        <v/>
      </c>
      <c r="G130" s="29">
        <f>SUM(G127:G129)</f>
        <v/>
      </c>
      <c r="H130" s="29">
        <f>SUM(H127:H129)</f>
        <v/>
      </c>
      <c r="I130" s="29">
        <f>SUM(I127:I129)</f>
        <v/>
      </c>
    </row>
    <row r="131">
      <c r="A131" s="6" t="inlineStr">
        <is>
          <t>1000.0000.2220.51010.030</t>
        </is>
      </c>
      <c r="B131" s="6" t="inlineStr">
        <is>
          <t>Librarian Salaries</t>
        </is>
      </c>
      <c r="C131" s="24" t="n">
        <v>27142.8</v>
      </c>
      <c r="D131" s="24" t="n">
        <v>24662.53</v>
      </c>
      <c r="E131" s="24" t="n">
        <v>29414.43</v>
      </c>
      <c r="F131" s="24" t="n">
        <v>33725</v>
      </c>
      <c r="G131" s="24" t="n">
        <v>35726</v>
      </c>
      <c r="H131" s="24">
        <f>G131-F131</f>
        <v/>
      </c>
      <c r="I131" s="8">
        <f>IF(F131=0,0,G131/F131-1)</f>
        <v/>
      </c>
    </row>
    <row r="132">
      <c r="A132" s="6" t="inlineStr">
        <is>
          <t>1000.0000.2220.51020.030</t>
        </is>
      </c>
      <c r="B132" s="6" t="inlineStr">
        <is>
          <t>Ed Tech Salaries</t>
        </is>
      </c>
      <c r="C132" s="24" t="n">
        <v>31013.51</v>
      </c>
      <c r="D132" s="24" t="n">
        <v>25741.74</v>
      </c>
      <c r="E132" s="24" t="n">
        <v>0</v>
      </c>
      <c r="F132" s="24" t="n">
        <v>0</v>
      </c>
      <c r="G132" s="24" t="n">
        <v>0</v>
      </c>
      <c r="H132" s="24">
        <f>G132-F132</f>
        <v/>
      </c>
      <c r="I132" s="8">
        <f>IF(F132=0,0,G132/F132-1)</f>
        <v/>
      </c>
    </row>
    <row r="133">
      <c r="A133" s="6" t="inlineStr">
        <is>
          <t>1000.0000.2220.52010.030</t>
        </is>
      </c>
      <c r="B133" s="6" t="inlineStr">
        <is>
          <t>Librarian Benefits</t>
        </is>
      </c>
      <c r="C133" s="24" t="n">
        <v>2938.83</v>
      </c>
      <c r="D133" s="24" t="n">
        <v>1633.18</v>
      </c>
      <c r="E133" s="24" t="n">
        <v>2380.49</v>
      </c>
      <c r="F133" s="24" t="n">
        <v>2508</v>
      </c>
      <c r="G133" s="24" t="n">
        <v>8525</v>
      </c>
      <c r="H133" s="24">
        <f>G133-F133</f>
        <v/>
      </c>
      <c r="I133" s="8">
        <f>IF(F133=0,0,G133/F133-1)</f>
        <v/>
      </c>
    </row>
    <row r="134">
      <c r="A134" s="6" t="inlineStr">
        <is>
          <t>1000.0000.2220.52020.030</t>
        </is>
      </c>
      <c r="B134" s="6" t="inlineStr">
        <is>
          <t>Ed Tech Benefits</t>
        </is>
      </c>
      <c r="C134" s="24" t="n">
        <v>3149.05</v>
      </c>
      <c r="D134" s="24" t="n">
        <v>2283.61</v>
      </c>
      <c r="E134" s="24" t="n">
        <v>0</v>
      </c>
      <c r="F134" s="24" t="n">
        <v>0</v>
      </c>
      <c r="G134" s="24" t="n">
        <v>0</v>
      </c>
      <c r="H134" s="24">
        <f>G134-F134</f>
        <v/>
      </c>
      <c r="I134" s="8">
        <f>IF(F134=0,0,G134/F134-1)</f>
        <v/>
      </c>
    </row>
    <row r="135">
      <c r="A135" s="6" t="inlineStr">
        <is>
          <t>1000.0000.2220.52310.030</t>
        </is>
      </c>
      <c r="B135" s="6" t="inlineStr">
        <is>
          <t>Retirement</t>
        </is>
      </c>
      <c r="C135" s="24" t="n">
        <v>1151.82</v>
      </c>
      <c r="D135" s="24" t="n">
        <v>-10.08</v>
      </c>
      <c r="E135" s="24" t="n">
        <v>1279.7</v>
      </c>
      <c r="F135" s="24" t="n">
        <v>1402</v>
      </c>
      <c r="G135" s="24" t="n">
        <v>1597</v>
      </c>
      <c r="H135" s="24">
        <f>G135-F135</f>
        <v/>
      </c>
      <c r="I135" s="8">
        <f>IF(F135=0,0,G135/F135-1)</f>
        <v/>
      </c>
    </row>
    <row r="136">
      <c r="A136" s="6" t="inlineStr">
        <is>
          <t>1000.0000.2220.52320.030</t>
        </is>
      </c>
      <c r="B136" s="6" t="inlineStr">
        <is>
          <t>Retirement</t>
        </is>
      </c>
      <c r="C136" s="24" t="n">
        <v>1153.77</v>
      </c>
      <c r="D136" s="24" t="n">
        <v>22.69</v>
      </c>
      <c r="E136" s="24" t="n">
        <v>0</v>
      </c>
      <c r="F136" s="24" t="n">
        <v>0</v>
      </c>
      <c r="G136" s="24" t="n">
        <v>0</v>
      </c>
      <c r="H136" s="24">
        <f>G136-F136</f>
        <v/>
      </c>
      <c r="I136" s="8">
        <f>IF(F136=0,0,G136/F136-1)</f>
        <v/>
      </c>
    </row>
    <row r="137">
      <c r="A137" s="6" t="inlineStr">
        <is>
          <t>1000.0000.2220.54330.030</t>
        </is>
      </c>
      <c r="B137" s="6" t="inlineStr">
        <is>
          <t>Software</t>
        </is>
      </c>
      <c r="C137" s="24" t="n">
        <v>1042.5</v>
      </c>
      <c r="D137" s="24" t="n">
        <v>1042.5</v>
      </c>
      <c r="E137" s="24" t="n">
        <v>1060.35</v>
      </c>
      <c r="F137" s="24" t="n">
        <v>1043</v>
      </c>
      <c r="G137" s="24" t="n">
        <v>1129</v>
      </c>
      <c r="H137" s="24">
        <f>G137-F137</f>
        <v/>
      </c>
      <c r="I137" s="8">
        <f>IF(F137=0,0,G137/F137-1)</f>
        <v/>
      </c>
    </row>
    <row r="138">
      <c r="A138" s="6" t="inlineStr">
        <is>
          <t>1000.0000.2220.56000.030</t>
        </is>
      </c>
      <c r="B138" s="6" t="inlineStr">
        <is>
          <t>Supplies</t>
        </is>
      </c>
      <c r="C138" s="24" t="n">
        <v>159.62</v>
      </c>
      <c r="D138" s="24" t="n">
        <v>0</v>
      </c>
      <c r="E138" s="24" t="n">
        <v>0</v>
      </c>
      <c r="F138" s="24" t="n">
        <v>0</v>
      </c>
      <c r="G138" s="24" t="n">
        <v>0</v>
      </c>
      <c r="H138" s="24">
        <f>G138-F138</f>
        <v/>
      </c>
      <c r="I138" s="8">
        <f>IF(F138=0,0,G138/F138-1)</f>
        <v/>
      </c>
    </row>
    <row r="139">
      <c r="A139" s="6" t="inlineStr">
        <is>
          <t>1000.0000.2220.56100.030</t>
        </is>
      </c>
      <c r="B139" s="6" t="inlineStr">
        <is>
          <t>Instructional Supplies</t>
        </is>
      </c>
      <c r="C139" s="24" t="n">
        <v>0</v>
      </c>
      <c r="D139" s="24" t="n">
        <v>150.1</v>
      </c>
      <c r="E139" s="24" t="n">
        <v>32.25</v>
      </c>
      <c r="F139" s="24" t="n">
        <v>338.74</v>
      </c>
      <c r="G139" s="24" t="n">
        <v>350</v>
      </c>
      <c r="H139" s="24">
        <f>G139-F139</f>
        <v/>
      </c>
      <c r="I139" s="8">
        <f>IF(F139=0,0,G139/F139-1)</f>
        <v/>
      </c>
    </row>
    <row r="140">
      <c r="A140" s="6" t="inlineStr">
        <is>
          <t>1000.0000.2220.56400.030</t>
        </is>
      </c>
      <c r="B140" s="6" t="inlineStr">
        <is>
          <t>Books &amp; Periodicals</t>
        </is>
      </c>
      <c r="C140" s="24" t="n">
        <v>6607.35</v>
      </c>
      <c r="D140" s="24" t="n">
        <v>4218.09</v>
      </c>
      <c r="E140" s="24" t="n">
        <v>3749.06</v>
      </c>
      <c r="F140" s="24" t="n">
        <v>2275.5</v>
      </c>
      <c r="G140" s="24" t="n">
        <v>2663</v>
      </c>
      <c r="H140" s="24">
        <f>G140-F140</f>
        <v/>
      </c>
      <c r="I140" s="8">
        <f>IF(F140=0,0,G140/F140-1)</f>
        <v/>
      </c>
    </row>
    <row r="141">
      <c r="A141" s="14" t="n"/>
      <c r="B141" s="28" t="inlineStr">
        <is>
          <t>Program 0000 Total</t>
        </is>
      </c>
      <c r="C141" s="29">
        <f>SUM(C131:C140)</f>
        <v/>
      </c>
      <c r="D141" s="29">
        <f>SUM(D131:D140)</f>
        <v/>
      </c>
      <c r="E141" s="29">
        <f>SUM(E131:E140)</f>
        <v/>
      </c>
      <c r="F141" s="29">
        <f>SUM(F131:F140)</f>
        <v/>
      </c>
      <c r="G141" s="29">
        <f>SUM(G131:G140)</f>
        <v/>
      </c>
      <c r="H141" s="29">
        <f>SUM(H131:H140)</f>
        <v/>
      </c>
      <c r="I141" s="29">
        <f>SUM(I131:I140)</f>
        <v/>
      </c>
    </row>
    <row r="142">
      <c r="A142" s="6" t="inlineStr">
        <is>
          <t>1000.0000.2230.51010.030</t>
        </is>
      </c>
      <c r="B142" s="6" t="inlineStr">
        <is>
          <t>Teacher Salaries</t>
        </is>
      </c>
      <c r="C142" s="24" t="n">
        <v>36648.56</v>
      </c>
      <c r="D142" s="24" t="n">
        <v>-956.0599999999999</v>
      </c>
      <c r="E142" s="24" t="n">
        <v>60</v>
      </c>
      <c r="F142" s="24" t="n">
        <v>0</v>
      </c>
      <c r="G142" s="24" t="n">
        <v>0</v>
      </c>
      <c r="H142" s="24">
        <f>G142-F142</f>
        <v/>
      </c>
      <c r="I142" s="8">
        <f>IF(F142=0,0,G142/F142-1)</f>
        <v/>
      </c>
    </row>
    <row r="143">
      <c r="A143" s="6" t="inlineStr">
        <is>
          <t>1000.0000.2230.52000.030</t>
        </is>
      </c>
      <c r="B143" s="6" t="inlineStr">
        <is>
          <t>Benefits</t>
        </is>
      </c>
      <c r="C143" s="24" t="n">
        <v>0</v>
      </c>
      <c r="D143" s="24" t="n">
        <v>3220.83</v>
      </c>
      <c r="E143" s="24" t="n">
        <v>0</v>
      </c>
      <c r="F143" s="24" t="n">
        <v>0</v>
      </c>
      <c r="G143" s="24" t="n">
        <v>0</v>
      </c>
      <c r="H143" s="24">
        <f>G143-F143</f>
        <v/>
      </c>
      <c r="I143" s="8">
        <f>IF(F143=0,0,G143/F143-1)</f>
        <v/>
      </c>
    </row>
    <row r="144">
      <c r="A144" s="6" t="inlineStr">
        <is>
          <t>1000.0000.2230.52010.030</t>
        </is>
      </c>
      <c r="B144" s="6" t="inlineStr">
        <is>
          <t>Teacher Benefits</t>
        </is>
      </c>
      <c r="C144" s="24" t="n">
        <v>7852.49</v>
      </c>
      <c r="D144" s="24" t="n">
        <v>902.04</v>
      </c>
      <c r="E144" s="24" t="n">
        <v>1.01</v>
      </c>
      <c r="F144" s="24" t="n">
        <v>0</v>
      </c>
      <c r="G144" s="24" t="n">
        <v>0</v>
      </c>
      <c r="H144" s="24">
        <f>G144-F144</f>
        <v/>
      </c>
      <c r="I144" s="8">
        <f>IF(F144=0,0,G144/F144-1)</f>
        <v/>
      </c>
    </row>
    <row r="145">
      <c r="A145" s="6" t="inlineStr">
        <is>
          <t>1000.0000.2230.52310.030</t>
        </is>
      </c>
      <c r="B145" s="6" t="inlineStr">
        <is>
          <t>Retirement</t>
        </is>
      </c>
      <c r="C145" s="24" t="n">
        <v>1560.88</v>
      </c>
      <c r="D145" s="24" t="n">
        <v>141.62</v>
      </c>
      <c r="E145" s="24" t="n">
        <v>2.3</v>
      </c>
      <c r="F145" s="24" t="n">
        <v>0</v>
      </c>
      <c r="G145" s="24" t="n">
        <v>0</v>
      </c>
      <c r="H145" s="24">
        <f>G145-F145</f>
        <v/>
      </c>
      <c r="I145" s="8">
        <f>IF(F145=0,0,G145/F145-1)</f>
        <v/>
      </c>
    </row>
    <row r="146">
      <c r="A146" s="6" t="inlineStr">
        <is>
          <t>1000.0000.2230.54330.030</t>
        </is>
      </c>
      <c r="B146" s="6" t="inlineStr">
        <is>
          <t>Software</t>
        </is>
      </c>
      <c r="C146" s="24" t="n">
        <v>0</v>
      </c>
      <c r="D146" s="24" t="n">
        <v>0</v>
      </c>
      <c r="E146" s="24" t="n">
        <v>96</v>
      </c>
      <c r="F146" s="24" t="n">
        <v>0</v>
      </c>
      <c r="G146" s="24" t="n">
        <v>0</v>
      </c>
      <c r="H146" s="24">
        <f>G146-F146</f>
        <v/>
      </c>
      <c r="I146" s="8">
        <f>IF(F146=0,0,G146/F146-1)</f>
        <v/>
      </c>
    </row>
    <row r="147">
      <c r="A147" s="6" t="inlineStr">
        <is>
          <t>1000.0000.2230.56500.030</t>
        </is>
      </c>
      <c r="B147" s="6" t="inlineStr">
        <is>
          <t>Supplies</t>
        </is>
      </c>
      <c r="C147" s="24" t="n">
        <v>342.8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>
        <f>G147-F147</f>
        <v/>
      </c>
      <c r="I147" s="8">
        <f>IF(F147=0,0,G147/F147-1)</f>
        <v/>
      </c>
    </row>
    <row r="148">
      <c r="A148" s="14" t="n"/>
      <c r="B148" s="28" t="inlineStr">
        <is>
          <t>Program 0000 Total</t>
        </is>
      </c>
      <c r="C148" s="29">
        <f>SUM(C142:C147)</f>
        <v/>
      </c>
      <c r="D148" s="29">
        <f>SUM(D142:D147)</f>
        <v/>
      </c>
      <c r="E148" s="29">
        <f>SUM(E142:E147)</f>
        <v/>
      </c>
      <c r="F148" s="29">
        <f>SUM(F142:F147)</f>
        <v/>
      </c>
      <c r="G148" s="29">
        <f>SUM(G142:G147)</f>
        <v/>
      </c>
      <c r="H148" s="29">
        <f>SUM(H142:H147)</f>
        <v/>
      </c>
      <c r="I148" s="29">
        <f>SUM(I142:I147)</f>
        <v/>
      </c>
    </row>
    <row r="149">
      <c r="A149" s="14" t="n"/>
      <c r="B149" s="17" t="inlineStr">
        <is>
          <t>Cost Center ('030',) Total</t>
        </is>
      </c>
      <c r="C149" s="32">
        <f>C116+C126+C130+C141+C148</f>
        <v/>
      </c>
      <c r="D149" s="32">
        <f>D116+D126+D130+D141+D148</f>
        <v/>
      </c>
      <c r="E149" s="32">
        <f>E116+E126+E130+E141+E148</f>
        <v/>
      </c>
      <c r="F149" s="32">
        <f>F116+F126+F130+F141+F148</f>
        <v/>
      </c>
      <c r="G149" s="32">
        <f>G116+G126+G130+G141+G148</f>
        <v/>
      </c>
      <c r="H149" s="32">
        <f>H116+H126+H130+H141+H148</f>
        <v/>
      </c>
      <c r="I149" s="32">
        <f>I116+I126+I130+I141+I148</f>
        <v/>
      </c>
    </row>
    <row r="151">
      <c r="A151" s="3" t="inlineStr">
        <is>
          <t>Cost Center: ('040',)</t>
        </is>
      </c>
    </row>
    <row r="152">
      <c r="A152" s="6" t="inlineStr">
        <is>
          <t>1000.0000.2110.51010.040</t>
        </is>
      </c>
      <c r="B152" s="6" t="inlineStr">
        <is>
          <t>Social Worker Salaries</t>
        </is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21853</v>
      </c>
      <c r="H152" s="24">
        <f>G152-F152</f>
        <v/>
      </c>
      <c r="I152" s="8">
        <f>IF(F152=0,0,G152/F152-1)</f>
        <v/>
      </c>
    </row>
    <row r="153">
      <c r="A153" s="6" t="inlineStr">
        <is>
          <t>1000.0000.2110.52010.040</t>
        </is>
      </c>
      <c r="B153" s="6" t="inlineStr">
        <is>
          <t>Social Worker Benefits</t>
        </is>
      </c>
      <c r="C153" s="24" t="n">
        <v>0</v>
      </c>
      <c r="D153" s="24" t="n">
        <v>0</v>
      </c>
      <c r="E153" s="24" t="n">
        <v>0</v>
      </c>
      <c r="F153" s="24" t="n">
        <v>0</v>
      </c>
      <c r="G153" s="24" t="n">
        <v>5367</v>
      </c>
      <c r="H153" s="24">
        <f>G153-F153</f>
        <v/>
      </c>
      <c r="I153" s="8">
        <f>IF(F153=0,0,G153/F153-1)</f>
        <v/>
      </c>
    </row>
    <row r="154">
      <c r="A154" s="6" t="inlineStr">
        <is>
          <t>1000.0000.2110.52310.040</t>
        </is>
      </c>
      <c r="B154" s="6" t="inlineStr">
        <is>
          <t>Social Worker Retirement</t>
        </is>
      </c>
      <c r="C154" s="24" t="n">
        <v>0</v>
      </c>
      <c r="D154" s="24" t="n">
        <v>0</v>
      </c>
      <c r="E154" s="24" t="n">
        <v>0</v>
      </c>
      <c r="F154" s="24" t="n">
        <v>0</v>
      </c>
      <c r="G154" s="24" t="n">
        <v>976</v>
      </c>
      <c r="H154" s="24">
        <f>G154-F154</f>
        <v/>
      </c>
      <c r="I154" s="8">
        <f>IF(F154=0,0,G154/F154-1)</f>
        <v/>
      </c>
    </row>
    <row r="155">
      <c r="A155" s="14" t="n"/>
      <c r="B155" s="28" t="inlineStr">
        <is>
          <t>Program 0000 Total</t>
        </is>
      </c>
      <c r="C155" s="29">
        <f>SUM(C152:C154)</f>
        <v/>
      </c>
      <c r="D155" s="29">
        <f>SUM(D152:D154)</f>
        <v/>
      </c>
      <c r="E155" s="29">
        <f>SUM(E152:E154)</f>
        <v/>
      </c>
      <c r="F155" s="29">
        <f>SUM(F152:F154)</f>
        <v/>
      </c>
      <c r="G155" s="29">
        <f>SUM(G152:G154)</f>
        <v/>
      </c>
      <c r="H155" s="29">
        <f>SUM(H152:H154)</f>
        <v/>
      </c>
      <c r="I155" s="29">
        <f>SUM(I152:I154)</f>
        <v/>
      </c>
    </row>
    <row r="156">
      <c r="A156" s="6" t="inlineStr">
        <is>
          <t>1000.0000.2120.51010.040</t>
        </is>
      </c>
      <c r="B156" s="6" t="inlineStr">
        <is>
          <t>Guidance Salaries</t>
        </is>
      </c>
      <c r="C156" s="24" t="n">
        <v>64189.58</v>
      </c>
      <c r="D156" s="24" t="n">
        <v>85820.83</v>
      </c>
      <c r="E156" s="24" t="n">
        <v>94959.67999999999</v>
      </c>
      <c r="F156" s="24" t="n">
        <v>96598</v>
      </c>
      <c r="G156" s="24" t="n">
        <v>82324</v>
      </c>
      <c r="H156" s="24">
        <f>G156-F156</f>
        <v/>
      </c>
      <c r="I156" s="8">
        <f>IF(F156=0,0,G156/F156-1)</f>
        <v/>
      </c>
    </row>
    <row r="157">
      <c r="A157" s="6" t="inlineStr">
        <is>
          <t>1000.0000.2120.52010.040</t>
        </is>
      </c>
      <c r="B157" s="6" t="inlineStr">
        <is>
          <t>Benefits</t>
        </is>
      </c>
      <c r="C157" s="24" t="n">
        <v>21177.54</v>
      </c>
      <c r="D157" s="24" t="n">
        <v>1766.92</v>
      </c>
      <c r="E157" s="24" t="n">
        <v>11914.35</v>
      </c>
      <c r="F157" s="24" t="n">
        <v>15985</v>
      </c>
      <c r="G157" s="24" t="n">
        <v>5881</v>
      </c>
      <c r="H157" s="24">
        <f>G157-F157</f>
        <v/>
      </c>
      <c r="I157" s="8">
        <f>IF(F157=0,0,G157/F157-1)</f>
        <v/>
      </c>
    </row>
    <row r="158">
      <c r="A158" s="6" t="inlineStr">
        <is>
          <t>1000.0000.2120.52310.040</t>
        </is>
      </c>
      <c r="B158" s="6" t="inlineStr">
        <is>
          <t>Retirement</t>
        </is>
      </c>
      <c r="C158" s="24" t="n">
        <v>2670.45</v>
      </c>
      <c r="D158" s="24" t="n">
        <v>685.86</v>
      </c>
      <c r="E158" s="24" t="n">
        <v>3744.37</v>
      </c>
      <c r="F158" s="24" t="n">
        <v>4018</v>
      </c>
      <c r="G158" s="24" t="n">
        <v>3680</v>
      </c>
      <c r="H158" s="24">
        <f>G158-F158</f>
        <v/>
      </c>
      <c r="I158" s="8">
        <f>IF(F158=0,0,G158/F158-1)</f>
        <v/>
      </c>
    </row>
    <row r="159">
      <c r="A159" s="6" t="inlineStr">
        <is>
          <t>1000.0000.2120.53000.040</t>
        </is>
      </c>
      <c r="B159" s="6" t="inlineStr">
        <is>
          <t>Purchased Professional</t>
        </is>
      </c>
      <c r="C159" s="24" t="n">
        <v>0</v>
      </c>
      <c r="D159" s="24" t="n">
        <v>0</v>
      </c>
      <c r="E159" s="24" t="n">
        <v>0</v>
      </c>
      <c r="F159" s="24" t="n">
        <v>300</v>
      </c>
      <c r="G159" s="24" t="n">
        <v>300</v>
      </c>
      <c r="H159" s="24">
        <f>G159-F159</f>
        <v/>
      </c>
      <c r="I159" s="8">
        <f>IF(F159=0,0,G159/F159-1)</f>
        <v/>
      </c>
    </row>
    <row r="160">
      <c r="A160" s="6" t="inlineStr">
        <is>
          <t>1000.0000.2120.54330.040</t>
        </is>
      </c>
      <c r="B160" s="6" t="inlineStr">
        <is>
          <t>Software</t>
        </is>
      </c>
      <c r="C160" s="24" t="n">
        <v>0</v>
      </c>
      <c r="D160" s="24" t="n">
        <v>0</v>
      </c>
      <c r="E160" s="24" t="n">
        <v>333.33</v>
      </c>
      <c r="F160" s="24" t="n">
        <v>334</v>
      </c>
      <c r="G160" s="24" t="n">
        <v>334</v>
      </c>
      <c r="H160" s="24">
        <f>G160-F160</f>
        <v/>
      </c>
      <c r="I160" s="8">
        <f>IF(F160=0,0,G160/F160-1)</f>
        <v/>
      </c>
    </row>
    <row r="161">
      <c r="A161" s="6" t="inlineStr">
        <is>
          <t>1000.0000.2120.56100.040</t>
        </is>
      </c>
      <c r="B161" s="6" t="inlineStr">
        <is>
          <t>Instructional Supplies</t>
        </is>
      </c>
      <c r="C161" s="24" t="n">
        <v>169</v>
      </c>
      <c r="D161" s="24" t="n">
        <v>256.08</v>
      </c>
      <c r="E161" s="24" t="n">
        <v>324.78</v>
      </c>
      <c r="F161" s="24" t="n">
        <v>339</v>
      </c>
      <c r="G161" s="24" t="n">
        <v>350</v>
      </c>
      <c r="H161" s="24">
        <f>G161-F161</f>
        <v/>
      </c>
      <c r="I161" s="8">
        <f>IF(F161=0,0,G161/F161-1)</f>
        <v/>
      </c>
    </row>
    <row r="162">
      <c r="A162" s="6" t="inlineStr">
        <is>
          <t>1000.0000.2120.56400.040</t>
        </is>
      </c>
      <c r="B162" s="6" t="inlineStr">
        <is>
          <t>Guidance Books &amp; Periodicals</t>
        </is>
      </c>
      <c r="C162" s="24" t="n">
        <v>0</v>
      </c>
      <c r="D162" s="24" t="n">
        <v>0</v>
      </c>
      <c r="E162" s="24" t="n">
        <v>0</v>
      </c>
      <c r="F162" s="24" t="n">
        <v>0</v>
      </c>
      <c r="G162" s="24" t="n">
        <v>100</v>
      </c>
      <c r="H162" s="24">
        <f>G162-F162</f>
        <v/>
      </c>
      <c r="I162" s="8">
        <f>IF(F162=0,0,G162/F162-1)</f>
        <v/>
      </c>
    </row>
    <row r="163">
      <c r="A163" s="6" t="inlineStr">
        <is>
          <t>1000.0000.2120.57300.040</t>
        </is>
      </c>
      <c r="B163" s="6" t="inlineStr">
        <is>
          <t>Equipment</t>
        </is>
      </c>
      <c r="C163" s="24" t="n">
        <v>0</v>
      </c>
      <c r="D163" s="24" t="n">
        <v>0</v>
      </c>
      <c r="E163" s="24" t="n">
        <v>389.76</v>
      </c>
      <c r="F163" s="24" t="n">
        <v>500</v>
      </c>
      <c r="G163" s="24" t="n">
        <v>750</v>
      </c>
      <c r="H163" s="24">
        <f>G163-F163</f>
        <v/>
      </c>
      <c r="I163" s="8">
        <f>IF(F163=0,0,G163/F163-1)</f>
        <v/>
      </c>
    </row>
    <row r="164">
      <c r="A164" s="14" t="n"/>
      <c r="B164" s="28" t="inlineStr">
        <is>
          <t>Program 0000 Total</t>
        </is>
      </c>
      <c r="C164" s="29">
        <f>SUM(C156:C163)</f>
        <v/>
      </c>
      <c r="D164" s="29">
        <f>SUM(D156:D163)</f>
        <v/>
      </c>
      <c r="E164" s="29">
        <f>SUM(E156:E163)</f>
        <v/>
      </c>
      <c r="F164" s="29">
        <f>SUM(F156:F163)</f>
        <v/>
      </c>
      <c r="G164" s="29">
        <f>SUM(G156:G163)</f>
        <v/>
      </c>
      <c r="H164" s="29">
        <f>SUM(H156:H163)</f>
        <v/>
      </c>
      <c r="I164" s="29">
        <f>SUM(I156:I163)</f>
        <v/>
      </c>
    </row>
    <row r="165">
      <c r="A165" s="6" t="inlineStr">
        <is>
          <t>1000.0000.2130.51010.040</t>
        </is>
      </c>
      <c r="B165" s="6" t="inlineStr">
        <is>
          <t>Nurse Salary</t>
        </is>
      </c>
      <c r="C165" s="24" t="n">
        <v>67501.98</v>
      </c>
      <c r="D165" s="24" t="n">
        <v>42911.55</v>
      </c>
      <c r="E165" s="24" t="n">
        <v>46120.74</v>
      </c>
      <c r="F165" s="24" t="n">
        <v>54882</v>
      </c>
      <c r="G165" s="24" t="n">
        <v>58582</v>
      </c>
      <c r="H165" s="24">
        <f>G165-F165</f>
        <v/>
      </c>
      <c r="I165" s="8">
        <f>IF(F165=0,0,G165/F165-1)</f>
        <v/>
      </c>
    </row>
    <row r="166">
      <c r="A166" s="6" t="inlineStr">
        <is>
          <t>1000.0000.2130.51200.040</t>
        </is>
      </c>
      <c r="B166" s="6" t="inlineStr">
        <is>
          <t>Nurse Substitute - MLS</t>
        </is>
      </c>
      <c r="C166" s="24" t="n">
        <v>0</v>
      </c>
      <c r="D166" s="24" t="n">
        <v>0</v>
      </c>
      <c r="E166" s="24" t="n">
        <v>40977.56</v>
      </c>
      <c r="F166" s="24" t="n">
        <v>0</v>
      </c>
      <c r="G166" s="24" t="n">
        <v>0</v>
      </c>
      <c r="H166" s="24">
        <f>G166-F166</f>
        <v/>
      </c>
      <c r="I166" s="8">
        <f>IF(F166=0,0,G166/F166-1)</f>
        <v/>
      </c>
    </row>
    <row r="167">
      <c r="A167" s="6" t="inlineStr">
        <is>
          <t>1000.0000.2130.52000.040</t>
        </is>
      </c>
      <c r="B167" s="6" t="inlineStr">
        <is>
          <t>Employee Benefits</t>
        </is>
      </c>
      <c r="C167" s="24" t="n">
        <v>0</v>
      </c>
      <c r="D167" s="24" t="n">
        <v>0</v>
      </c>
      <c r="E167" s="24" t="n">
        <v>1388.79</v>
      </c>
      <c r="F167" s="24" t="n">
        <v>0</v>
      </c>
      <c r="G167" s="24" t="n">
        <v>0</v>
      </c>
      <c r="H167" s="24">
        <f>G167-F167</f>
        <v/>
      </c>
      <c r="I167" s="8">
        <f>IF(F167=0,0,G167/F167-1)</f>
        <v/>
      </c>
    </row>
    <row r="168">
      <c r="A168" s="6" t="inlineStr">
        <is>
          <t>1000.0000.2130.52010.040</t>
        </is>
      </c>
      <c r="B168" s="6" t="inlineStr">
        <is>
          <t>Nurse Benefits</t>
        </is>
      </c>
      <c r="C168" s="24" t="n">
        <v>5923.84</v>
      </c>
      <c r="D168" s="24" t="n">
        <v>169.67</v>
      </c>
      <c r="E168" s="24" t="n">
        <v>4547.34</v>
      </c>
      <c r="F168" s="24" t="n">
        <v>5245</v>
      </c>
      <c r="G168" s="24" t="n">
        <v>4806</v>
      </c>
      <c r="H168" s="24">
        <f>G168-F168</f>
        <v/>
      </c>
      <c r="I168" s="8">
        <f>IF(F168=0,0,G168/F168-1)</f>
        <v/>
      </c>
    </row>
    <row r="169">
      <c r="A169" s="6" t="inlineStr">
        <is>
          <t>1000.0000.2130.52300.040</t>
        </is>
      </c>
      <c r="B169" s="6" t="inlineStr">
        <is>
          <t>Retirement - Stipends</t>
        </is>
      </c>
      <c r="C169" s="24" t="n">
        <v>0</v>
      </c>
      <c r="D169" s="24" t="n">
        <v>0</v>
      </c>
      <c r="E169" s="24" t="n">
        <v>1174.03</v>
      </c>
      <c r="F169" s="24" t="n">
        <v>0</v>
      </c>
      <c r="G169" s="24" t="n">
        <v>0</v>
      </c>
      <c r="H169" s="24">
        <f>G169-F169</f>
        <v/>
      </c>
      <c r="I169" s="8">
        <f>IF(F169=0,0,G169/F169-1)</f>
        <v/>
      </c>
    </row>
    <row r="170">
      <c r="A170" s="6" t="inlineStr">
        <is>
          <t>1000.0000.2130.52310.040</t>
        </is>
      </c>
      <c r="B170" s="6" t="inlineStr">
        <is>
          <t>Retirement</t>
        </is>
      </c>
      <c r="C170" s="24" t="n">
        <v>2808</v>
      </c>
      <c r="D170" s="24" t="n">
        <v>460.8</v>
      </c>
      <c r="E170" s="24" t="n">
        <v>1905.38</v>
      </c>
      <c r="F170" s="24" t="n">
        <v>0</v>
      </c>
      <c r="G170" s="24" t="n">
        <v>2619</v>
      </c>
      <c r="H170" s="24">
        <f>G170-F170</f>
        <v/>
      </c>
      <c r="I170" s="8">
        <f>IF(F170=0,0,G170/F170-1)</f>
        <v/>
      </c>
    </row>
    <row r="171">
      <c r="A171" s="6" t="inlineStr">
        <is>
          <t>1000.0000.2130.53000.040</t>
        </is>
      </c>
      <c r="B171" s="6" t="inlineStr">
        <is>
          <t>Purchased Professional</t>
        </is>
      </c>
      <c r="C171" s="24" t="n">
        <v>0</v>
      </c>
      <c r="D171" s="24" t="n">
        <v>0</v>
      </c>
      <c r="E171" s="24" t="n">
        <v>0</v>
      </c>
      <c r="F171" s="24" t="n">
        <v>300</v>
      </c>
      <c r="G171" s="24" t="n">
        <v>300</v>
      </c>
      <c r="H171" s="24">
        <f>G171-F171</f>
        <v/>
      </c>
      <c r="I171" s="8">
        <f>IF(F171=0,0,G171/F171-1)</f>
        <v/>
      </c>
    </row>
    <row r="172">
      <c r="A172" s="6" t="inlineStr">
        <is>
          <t>1000.0000.2130.54310.040</t>
        </is>
      </c>
      <c r="B172" s="6" t="inlineStr">
        <is>
          <t>Repairs &amp; Maintenance</t>
        </is>
      </c>
      <c r="C172" s="24" t="n">
        <v>0</v>
      </c>
      <c r="D172" s="24" t="n">
        <v>0</v>
      </c>
      <c r="E172" s="24" t="n">
        <v>70</v>
      </c>
      <c r="F172" s="24" t="n">
        <v>135</v>
      </c>
      <c r="G172" s="24" t="n">
        <v>135</v>
      </c>
      <c r="H172" s="24">
        <f>G172-F172</f>
        <v/>
      </c>
      <c r="I172" s="8">
        <f>IF(F172=0,0,G172/F172-1)</f>
        <v/>
      </c>
    </row>
    <row r="173">
      <c r="A173" s="6" t="inlineStr">
        <is>
          <t>1000.0000.2130.56000.040</t>
        </is>
      </c>
      <c r="B173" s="6" t="inlineStr">
        <is>
          <t>Supplies</t>
        </is>
      </c>
      <c r="C173" s="24" t="n">
        <v>547.15</v>
      </c>
      <c r="D173" s="24" t="n">
        <v>425.04</v>
      </c>
      <c r="E173" s="24" t="n">
        <v>425.46</v>
      </c>
      <c r="F173" s="24" t="n">
        <v>642</v>
      </c>
      <c r="G173" s="24" t="n">
        <v>819</v>
      </c>
      <c r="H173" s="24">
        <f>G173-F173</f>
        <v/>
      </c>
      <c r="I173" s="8">
        <f>IF(F173=0,0,G173/F173-1)</f>
        <v/>
      </c>
    </row>
    <row r="174">
      <c r="A174" s="14" t="n"/>
      <c r="B174" s="28" t="inlineStr">
        <is>
          <t>Program 0000 Total</t>
        </is>
      </c>
      <c r="C174" s="29">
        <f>SUM(C165:C173)</f>
        <v/>
      </c>
      <c r="D174" s="29">
        <f>SUM(D165:D173)</f>
        <v/>
      </c>
      <c r="E174" s="29">
        <f>SUM(E165:E173)</f>
        <v/>
      </c>
      <c r="F174" s="29">
        <f>SUM(F165:F173)</f>
        <v/>
      </c>
      <c r="G174" s="29">
        <f>SUM(G165:G173)</f>
        <v/>
      </c>
      <c r="H174" s="29">
        <f>SUM(H165:H173)</f>
        <v/>
      </c>
      <c r="I174" s="29">
        <f>SUM(I165:I173)</f>
        <v/>
      </c>
    </row>
    <row r="175">
      <c r="A175" s="6" t="inlineStr">
        <is>
          <t>1000.0000.2213.51500.040</t>
        </is>
      </c>
      <c r="B175" s="6" t="inlineStr">
        <is>
          <t>Stipends-Acad Leadership and LCC</t>
        </is>
      </c>
      <c r="C175" s="24" t="n">
        <v>0</v>
      </c>
      <c r="D175" s="24" t="n">
        <v>0</v>
      </c>
      <c r="E175" s="24" t="n">
        <v>13585</v>
      </c>
      <c r="F175" s="24" t="n">
        <v>9800</v>
      </c>
      <c r="G175" s="24" t="n">
        <v>14322</v>
      </c>
      <c r="H175" s="24">
        <f>G175-F175</f>
        <v/>
      </c>
      <c r="I175" s="8">
        <f>IF(F175=0,0,G175/F175-1)</f>
        <v/>
      </c>
    </row>
    <row r="176">
      <c r="A176" s="6" t="inlineStr">
        <is>
          <t>1000.0000.2213.52000.040</t>
        </is>
      </c>
      <c r="B176" s="6" t="inlineStr">
        <is>
          <t>Stipend Benefits - MLS</t>
        </is>
      </c>
      <c r="C176" s="24" t="n">
        <v>0</v>
      </c>
      <c r="D176" s="24" t="n">
        <v>0</v>
      </c>
      <c r="E176" s="24" t="n">
        <v>245.44</v>
      </c>
      <c r="F176" s="24" t="n">
        <v>0</v>
      </c>
      <c r="G176" s="24" t="n">
        <v>0</v>
      </c>
      <c r="H176" s="24">
        <f>G176-F176</f>
        <v/>
      </c>
      <c r="I176" s="8">
        <f>IF(F176=0,0,G176/F176-1)</f>
        <v/>
      </c>
    </row>
    <row r="177">
      <c r="A177" s="6" t="inlineStr">
        <is>
          <t>1000.0000.2213.52300.040</t>
        </is>
      </c>
      <c r="B177" s="6" t="inlineStr">
        <is>
          <t>Stipend Retirement - MLS</t>
        </is>
      </c>
      <c r="C177" s="24" t="n">
        <v>0</v>
      </c>
      <c r="D177" s="24" t="n">
        <v>0</v>
      </c>
      <c r="E177" s="24" t="n">
        <v>528.01</v>
      </c>
      <c r="F177" s="24" t="n">
        <v>0</v>
      </c>
      <c r="G177" s="24" t="n">
        <v>0</v>
      </c>
      <c r="H177" s="24">
        <f>G177-F177</f>
        <v/>
      </c>
      <c r="I177" s="8">
        <f>IF(F177=0,0,G177/F177-1)</f>
        <v/>
      </c>
    </row>
    <row r="178">
      <c r="A178" s="6" t="inlineStr">
        <is>
          <t>1000.0000.2213.53300.040</t>
        </is>
      </c>
      <c r="B178" s="6" t="inlineStr">
        <is>
          <t>Employee Training</t>
        </is>
      </c>
      <c r="C178" s="24" t="n">
        <v>0</v>
      </c>
      <c r="D178" s="24" t="n">
        <v>0</v>
      </c>
      <c r="E178" s="24" t="n">
        <v>100</v>
      </c>
      <c r="F178" s="24" t="n">
        <v>0</v>
      </c>
      <c r="G178" s="24" t="n">
        <v>0</v>
      </c>
      <c r="H178" s="24">
        <f>G178-F178</f>
        <v/>
      </c>
      <c r="I178" s="8">
        <f>IF(F178=0,0,G178/F178-1)</f>
        <v/>
      </c>
    </row>
    <row r="179">
      <c r="A179" s="14" t="n"/>
      <c r="B179" s="28" t="inlineStr">
        <is>
          <t>Program 0000 Total</t>
        </is>
      </c>
      <c r="C179" s="29">
        <f>SUM(C175:C178)</f>
        <v/>
      </c>
      <c r="D179" s="29">
        <f>SUM(D175:D178)</f>
        <v/>
      </c>
      <c r="E179" s="29">
        <f>SUM(E175:E178)</f>
        <v/>
      </c>
      <c r="F179" s="29">
        <f>SUM(F175:F178)</f>
        <v/>
      </c>
      <c r="G179" s="29">
        <f>SUM(G175:G178)</f>
        <v/>
      </c>
      <c r="H179" s="29">
        <f>SUM(H175:H178)</f>
        <v/>
      </c>
      <c r="I179" s="29">
        <f>SUM(I175:I178)</f>
        <v/>
      </c>
    </row>
    <row r="180">
      <c r="A180" s="6" t="inlineStr">
        <is>
          <t>1000.0000.2220.51010.040</t>
        </is>
      </c>
      <c r="B180" s="6" t="inlineStr">
        <is>
          <t>Librarian Salary</t>
        </is>
      </c>
      <c r="C180" s="24" t="n">
        <v>63512.28</v>
      </c>
      <c r="D180" s="24" t="n">
        <v>65248.08</v>
      </c>
      <c r="E180" s="24" t="n">
        <v>87929.52</v>
      </c>
      <c r="F180" s="24" t="n">
        <v>87685</v>
      </c>
      <c r="G180" s="24" t="n">
        <v>67015</v>
      </c>
      <c r="H180" s="24">
        <f>G180-F180</f>
        <v/>
      </c>
      <c r="I180" s="8">
        <f>IF(F180=0,0,G180/F180-1)</f>
        <v/>
      </c>
    </row>
    <row r="181">
      <c r="A181" s="6" t="inlineStr">
        <is>
          <t>1000.0000.2220.51020.040</t>
        </is>
      </c>
      <c r="B181" s="6" t="inlineStr">
        <is>
          <t>Ed Tech Salaries</t>
        </is>
      </c>
      <c r="C181" s="24" t="n">
        <v>11807.36</v>
      </c>
      <c r="D181" s="24" t="n">
        <v>39300.86</v>
      </c>
      <c r="E181" s="24" t="n">
        <v>0</v>
      </c>
      <c r="F181" s="24" t="n">
        <v>0</v>
      </c>
      <c r="G181" s="24" t="n">
        <v>0</v>
      </c>
      <c r="H181" s="24">
        <f>G181-F181</f>
        <v/>
      </c>
      <c r="I181" s="8">
        <f>IF(F181=0,0,G181/F181-1)</f>
        <v/>
      </c>
    </row>
    <row r="182">
      <c r="A182" s="6" t="inlineStr">
        <is>
          <t>1000.0000.2220.52010.040</t>
        </is>
      </c>
      <c r="B182" s="6" t="inlineStr">
        <is>
          <t>Librarian Benefits</t>
        </is>
      </c>
      <c r="C182" s="24" t="n">
        <v>12695.74</v>
      </c>
      <c r="D182" s="24" t="n">
        <v>2827.88</v>
      </c>
      <c r="E182" s="24" t="n">
        <v>15889.91</v>
      </c>
      <c r="F182" s="24" t="n">
        <v>16414</v>
      </c>
      <c r="G182" s="24" t="n">
        <v>4994</v>
      </c>
      <c r="H182" s="24">
        <f>G182-F182</f>
        <v/>
      </c>
      <c r="I182" s="8">
        <f>IF(F182=0,0,G182/F182-1)</f>
        <v/>
      </c>
    </row>
    <row r="183">
      <c r="A183" s="6" t="inlineStr">
        <is>
          <t>1000.0000.2220.52020.040</t>
        </is>
      </c>
      <c r="B183" s="6" t="inlineStr">
        <is>
          <t>Ed Tech Benefits</t>
        </is>
      </c>
      <c r="C183" s="24" t="n">
        <v>6147.95</v>
      </c>
      <c r="D183" s="24" t="n">
        <v>4540.66</v>
      </c>
      <c r="E183" s="24" t="n">
        <v>0</v>
      </c>
      <c r="F183" s="24" t="n">
        <v>0</v>
      </c>
      <c r="G183" s="24" t="n">
        <v>0</v>
      </c>
      <c r="H183" s="24">
        <f>G183-F183</f>
        <v/>
      </c>
      <c r="I183" s="8">
        <f>IF(F183=0,0,G183/F183-1)</f>
        <v/>
      </c>
    </row>
    <row r="184">
      <c r="A184" s="6" t="inlineStr">
        <is>
          <t>1000.0000.2220.52310.040</t>
        </is>
      </c>
      <c r="B184" s="6" t="inlineStr">
        <is>
          <t>Retirement</t>
        </is>
      </c>
      <c r="C184" s="24" t="n">
        <v>2642.12</v>
      </c>
      <c r="D184" s="24" t="n">
        <v>628.2</v>
      </c>
      <c r="E184" s="24" t="n">
        <v>3558</v>
      </c>
      <c r="F184" s="24" t="n">
        <v>3647</v>
      </c>
      <c r="G184" s="24" t="n">
        <v>2996</v>
      </c>
      <c r="H184" s="24">
        <f>G184-F184</f>
        <v/>
      </c>
      <c r="I184" s="8">
        <f>IF(F184=0,0,G184/F184-1)</f>
        <v/>
      </c>
    </row>
    <row r="185">
      <c r="A185" s="6" t="inlineStr">
        <is>
          <t>1000.0000.2220.52320.040</t>
        </is>
      </c>
      <c r="B185" s="6" t="inlineStr">
        <is>
          <t>Retirement</t>
        </is>
      </c>
      <c r="C185" s="24" t="n">
        <v>491.07</v>
      </c>
      <c r="D185" s="24" t="n">
        <v>201.11</v>
      </c>
      <c r="E185" s="24" t="n">
        <v>0</v>
      </c>
      <c r="F185" s="24" t="n">
        <v>0</v>
      </c>
      <c r="G185" s="24" t="n">
        <v>0</v>
      </c>
      <c r="H185" s="24">
        <f>G185-F185</f>
        <v/>
      </c>
      <c r="I185" s="8">
        <f>IF(F185=0,0,G185/F185-1)</f>
        <v/>
      </c>
    </row>
    <row r="186">
      <c r="A186" s="6" t="inlineStr">
        <is>
          <t>1000.0000.2220.54330.040</t>
        </is>
      </c>
      <c r="B186" s="6" t="inlineStr">
        <is>
          <t>Software</t>
        </is>
      </c>
      <c r="C186" s="24" t="n">
        <v>1042.5</v>
      </c>
      <c r="D186" s="24" t="n">
        <v>1042.5</v>
      </c>
      <c r="E186" s="24" t="n">
        <v>1060.35</v>
      </c>
      <c r="F186" s="24" t="n">
        <v>1043</v>
      </c>
      <c r="G186" s="24" t="n">
        <v>1129</v>
      </c>
      <c r="H186" s="24">
        <f>G186-F186</f>
        <v/>
      </c>
      <c r="I186" s="8">
        <f>IF(F186=0,0,G186/F186-1)</f>
        <v/>
      </c>
    </row>
    <row r="187">
      <c r="A187" s="6" t="inlineStr">
        <is>
          <t>1000.0000.2220.56000.040</t>
        </is>
      </c>
      <c r="B187" s="6" t="inlineStr">
        <is>
          <t>Supplies</t>
        </is>
      </c>
      <c r="C187" s="24" t="n">
        <v>449.14</v>
      </c>
      <c r="D187" s="24" t="n">
        <v>0</v>
      </c>
      <c r="E187" s="24" t="n">
        <v>0</v>
      </c>
      <c r="F187" s="24" t="n">
        <v>0</v>
      </c>
      <c r="G187" s="24" t="n">
        <v>0</v>
      </c>
      <c r="H187" s="24">
        <f>G187-F187</f>
        <v/>
      </c>
      <c r="I187" s="8">
        <f>IF(F187=0,0,G187/F187-1)</f>
        <v/>
      </c>
    </row>
    <row r="188">
      <c r="A188" s="6" t="inlineStr">
        <is>
          <t>1000.0000.2220.56100.040</t>
        </is>
      </c>
      <c r="B188" s="6" t="inlineStr">
        <is>
          <t>Instructional Supplies</t>
        </is>
      </c>
      <c r="C188" s="24" t="n">
        <v>0</v>
      </c>
      <c r="D188" s="24" t="n">
        <v>331.44</v>
      </c>
      <c r="E188" s="24" t="n">
        <v>153.34</v>
      </c>
      <c r="F188" s="24" t="n">
        <v>339</v>
      </c>
      <c r="G188" s="24" t="n">
        <v>350</v>
      </c>
      <c r="H188" s="24">
        <f>G188-F188</f>
        <v/>
      </c>
      <c r="I188" s="8">
        <f>IF(F188=0,0,G188/F188-1)</f>
        <v/>
      </c>
    </row>
    <row r="189">
      <c r="A189" s="6" t="inlineStr">
        <is>
          <t>1000.0000.2220.56400.040</t>
        </is>
      </c>
      <c r="B189" s="6" t="inlineStr">
        <is>
          <t>Books</t>
        </is>
      </c>
      <c r="C189" s="24" t="n">
        <v>3294.48</v>
      </c>
      <c r="D189" s="24" t="n">
        <v>4643.9</v>
      </c>
      <c r="E189" s="24" t="n">
        <v>3130.59</v>
      </c>
      <c r="F189" s="24" t="n">
        <v>5022.5</v>
      </c>
      <c r="G189" s="24" t="n">
        <v>5733</v>
      </c>
      <c r="H189" s="24">
        <f>G189-F189</f>
        <v/>
      </c>
      <c r="I189" s="8">
        <f>IF(F189=0,0,G189/F189-1)</f>
        <v/>
      </c>
    </row>
    <row r="190">
      <c r="A190" s="14" t="n"/>
      <c r="B190" s="28" t="inlineStr">
        <is>
          <t>Program 0000 Total</t>
        </is>
      </c>
      <c r="C190" s="29">
        <f>SUM(C180:C189)</f>
        <v/>
      </c>
      <c r="D190" s="29">
        <f>SUM(D180:D189)</f>
        <v/>
      </c>
      <c r="E190" s="29">
        <f>SUM(E180:E189)</f>
        <v/>
      </c>
      <c r="F190" s="29">
        <f>SUM(F180:F189)</f>
        <v/>
      </c>
      <c r="G190" s="29">
        <f>SUM(G180:G189)</f>
        <v/>
      </c>
      <c r="H190" s="29">
        <f>SUM(H180:H189)</f>
        <v/>
      </c>
      <c r="I190" s="29">
        <f>SUM(I180:I189)</f>
        <v/>
      </c>
    </row>
    <row r="191">
      <c r="A191" s="6" t="inlineStr">
        <is>
          <t>1000.0000.2230.52010.040</t>
        </is>
      </c>
      <c r="B191" s="6" t="inlineStr">
        <is>
          <t>Teacher Benefits</t>
        </is>
      </c>
      <c r="C191" s="24" t="n">
        <v>0</v>
      </c>
      <c r="D191" s="24" t="n">
        <v>5658.06</v>
      </c>
      <c r="E191" s="24" t="n">
        <v>0</v>
      </c>
      <c r="F191" s="24" t="n">
        <v>0</v>
      </c>
      <c r="G191" s="24" t="n">
        <v>0</v>
      </c>
      <c r="H191" s="24">
        <f>G191-F191</f>
        <v/>
      </c>
      <c r="I191" s="8">
        <f>IF(F191=0,0,G191/F191-1)</f>
        <v/>
      </c>
    </row>
    <row r="192">
      <c r="A192" s="6" t="inlineStr">
        <is>
          <t>1000.0000.2230.56500.040</t>
        </is>
      </c>
      <c r="B192" s="6" t="inlineStr">
        <is>
          <t>Supplies</t>
        </is>
      </c>
      <c r="C192" s="24" t="n">
        <v>74.2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>
        <f>G192-F192</f>
        <v/>
      </c>
      <c r="I192" s="8">
        <f>IF(F192=0,0,G192/F192-1)</f>
        <v/>
      </c>
    </row>
    <row r="193">
      <c r="A193" s="14" t="n"/>
      <c r="B193" s="28" t="inlineStr">
        <is>
          <t>Program 0000 Total</t>
        </is>
      </c>
      <c r="C193" s="29">
        <f>SUM(C191:C192)</f>
        <v/>
      </c>
      <c r="D193" s="29">
        <f>SUM(D191:D192)</f>
        <v/>
      </c>
      <c r="E193" s="29">
        <f>SUM(E191:E192)</f>
        <v/>
      </c>
      <c r="F193" s="29">
        <f>SUM(F191:F192)</f>
        <v/>
      </c>
      <c r="G193" s="29">
        <f>SUM(G191:G192)</f>
        <v/>
      </c>
      <c r="H193" s="29">
        <f>SUM(H191:H192)</f>
        <v/>
      </c>
      <c r="I193" s="29">
        <f>SUM(I191:I192)</f>
        <v/>
      </c>
    </row>
    <row r="194">
      <c r="A194" s="14" t="n"/>
      <c r="B194" s="17" t="inlineStr">
        <is>
          <t>Cost Center ('040',) Total</t>
        </is>
      </c>
      <c r="C194" s="32">
        <f>C155+C164+C174+C179+C190+C193</f>
        <v/>
      </c>
      <c r="D194" s="32">
        <f>D155+D164+D174+D179+D190+D193</f>
        <v/>
      </c>
      <c r="E194" s="32">
        <f>E155+E164+E174+E179+E190+E193</f>
        <v/>
      </c>
      <c r="F194" s="32">
        <f>F155+F164+F174+F179+F190+F193</f>
        <v/>
      </c>
      <c r="G194" s="32">
        <f>G155+G164+G174+G179+G190+G193</f>
        <v/>
      </c>
      <c r="H194" s="32">
        <f>H155+H164+H174+H179+H190+H193</f>
        <v/>
      </c>
      <c r="I194" s="32">
        <f>I155+I164+I174+I179+I190+I193</f>
        <v/>
      </c>
    </row>
    <row r="196">
      <c r="A196" s="3" t="inlineStr">
        <is>
          <t>Cost Center: ('050',)</t>
        </is>
      </c>
    </row>
    <row r="197">
      <c r="A197" s="6" t="inlineStr">
        <is>
          <t>1000.0000.2110.51010.050</t>
        </is>
      </c>
      <c r="B197" s="6" t="inlineStr">
        <is>
          <t>Social Worker Salaries</t>
        </is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43851</v>
      </c>
      <c r="H197" s="24">
        <f>G197-F197</f>
        <v/>
      </c>
      <c r="I197" s="8">
        <f>IF(F197=0,0,G197/F197-1)</f>
        <v/>
      </c>
    </row>
    <row r="198">
      <c r="A198" s="6" t="inlineStr">
        <is>
          <t>1000.0000.2110.52010.050</t>
        </is>
      </c>
      <c r="B198" s="6" t="inlineStr">
        <is>
          <t>Social Worker Benefits</t>
        </is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8699</v>
      </c>
      <c r="H198" s="24">
        <f>G198-F198</f>
        <v/>
      </c>
      <c r="I198" s="8">
        <f>IF(F198=0,0,G198/F198-1)</f>
        <v/>
      </c>
    </row>
    <row r="199">
      <c r="A199" s="6" t="inlineStr">
        <is>
          <t>1000.0000.2110.52310.050</t>
        </is>
      </c>
      <c r="B199" s="6" t="inlineStr">
        <is>
          <t>Social Worker Retirement</t>
        </is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1960</v>
      </c>
      <c r="H199" s="24">
        <f>G199-F199</f>
        <v/>
      </c>
      <c r="I199" s="8">
        <f>IF(F199=0,0,G199/F199-1)</f>
        <v/>
      </c>
    </row>
    <row r="200">
      <c r="A200" s="14" t="n"/>
      <c r="B200" s="28" t="inlineStr">
        <is>
          <t>Program 0000 Total</t>
        </is>
      </c>
      <c r="C200" s="29">
        <f>SUM(C197:C199)</f>
        <v/>
      </c>
      <c r="D200" s="29">
        <f>SUM(D197:D199)</f>
        <v/>
      </c>
      <c r="E200" s="29">
        <f>SUM(E197:E199)</f>
        <v/>
      </c>
      <c r="F200" s="29">
        <f>SUM(F197:F199)</f>
        <v/>
      </c>
      <c r="G200" s="29">
        <f>SUM(G197:G199)</f>
        <v/>
      </c>
      <c r="H200" s="29">
        <f>SUM(H197:H199)</f>
        <v/>
      </c>
      <c r="I200" s="29">
        <f>SUM(I197:I199)</f>
        <v/>
      </c>
    </row>
    <row r="201">
      <c r="A201" s="6" t="inlineStr">
        <is>
          <t>1000.0000.2120.51010.050</t>
        </is>
      </c>
      <c r="B201" s="6" t="inlineStr">
        <is>
          <t>Guidance Salaries</t>
        </is>
      </c>
      <c r="C201" s="24" t="n">
        <v>74875</v>
      </c>
      <c r="D201" s="24" t="n">
        <v>80748</v>
      </c>
      <c r="E201" s="24" t="n">
        <v>79211.62</v>
      </c>
      <c r="F201" s="24" t="n">
        <v>86026</v>
      </c>
      <c r="G201" s="24" t="n">
        <v>89503</v>
      </c>
      <c r="H201" s="24">
        <f>G201-F201</f>
        <v/>
      </c>
      <c r="I201" s="8">
        <f>IF(F201=0,0,G201/F201-1)</f>
        <v/>
      </c>
    </row>
    <row r="202">
      <c r="A202" s="6" t="inlineStr">
        <is>
          <t>1000.0000.2120.52010.050</t>
        </is>
      </c>
      <c r="B202" s="6" t="inlineStr">
        <is>
          <t>Benefits</t>
        </is>
      </c>
      <c r="C202" s="24" t="n">
        <v>21593.87</v>
      </c>
      <c r="D202" s="24" t="n">
        <v>4677.47</v>
      </c>
      <c r="E202" s="24" t="n">
        <v>21523.48</v>
      </c>
      <c r="F202" s="24" t="n">
        <v>22202</v>
      </c>
      <c r="G202" s="24" t="n">
        <v>23666</v>
      </c>
      <c r="H202" s="24">
        <f>G202-F202</f>
        <v/>
      </c>
      <c r="I202" s="8">
        <f>IF(F202=0,0,G202/F202-1)</f>
        <v/>
      </c>
    </row>
    <row r="203">
      <c r="A203" s="6" t="inlineStr">
        <is>
          <t>1000.0000.2120.52310.050</t>
        </is>
      </c>
      <c r="B203" s="6" t="inlineStr">
        <is>
          <t>Retirement</t>
        </is>
      </c>
      <c r="C203" s="24" t="n">
        <v>3265.5</v>
      </c>
      <c r="D203" s="24" t="n">
        <v>783.03</v>
      </c>
      <c r="E203" s="24" t="n">
        <v>3252.35</v>
      </c>
      <c r="F203" s="24" t="n">
        <v>3578</v>
      </c>
      <c r="G203" s="24" t="n">
        <v>4001</v>
      </c>
      <c r="H203" s="24">
        <f>G203-F203</f>
        <v/>
      </c>
      <c r="I203" s="8">
        <f>IF(F203=0,0,G203/F203-1)</f>
        <v/>
      </c>
    </row>
    <row r="204">
      <c r="A204" s="6" t="inlineStr">
        <is>
          <t>1000.0000.2120.53000.050</t>
        </is>
      </c>
      <c r="B204" s="6" t="inlineStr">
        <is>
          <t>Purchased Professional</t>
        </is>
      </c>
      <c r="C204" s="24" t="n">
        <v>0</v>
      </c>
      <c r="D204" s="24" t="n">
        <v>0</v>
      </c>
      <c r="E204" s="24" t="n">
        <v>0</v>
      </c>
      <c r="F204" s="24" t="n">
        <v>300</v>
      </c>
      <c r="G204" s="24" t="n">
        <v>300</v>
      </c>
      <c r="H204" s="24">
        <f>G204-F204</f>
        <v/>
      </c>
      <c r="I204" s="8">
        <f>IF(F204=0,0,G204/F204-1)</f>
        <v/>
      </c>
    </row>
    <row r="205">
      <c r="A205" s="6" t="inlineStr">
        <is>
          <t>1000.0000.2120.54330.050</t>
        </is>
      </c>
      <c r="B205" s="6" t="inlineStr">
        <is>
          <t>Software</t>
        </is>
      </c>
      <c r="C205" s="24" t="n">
        <v>0</v>
      </c>
      <c r="D205" s="24" t="n">
        <v>0</v>
      </c>
      <c r="E205" s="24" t="n">
        <v>333.34</v>
      </c>
      <c r="F205" s="24" t="n">
        <v>334</v>
      </c>
      <c r="G205" s="24" t="n">
        <v>334</v>
      </c>
      <c r="H205" s="24">
        <f>G205-F205</f>
        <v/>
      </c>
      <c r="I205" s="8">
        <f>IF(F205=0,0,G205/F205-1)</f>
        <v/>
      </c>
    </row>
    <row r="206">
      <c r="A206" s="6" t="inlineStr">
        <is>
          <t>1000.0000.2120.56100.050</t>
        </is>
      </c>
      <c r="B206" s="6" t="inlineStr">
        <is>
          <t>Instructional Supplies</t>
        </is>
      </c>
      <c r="C206" s="24" t="n">
        <v>122.95</v>
      </c>
      <c r="D206" s="24" t="n">
        <v>269.42</v>
      </c>
      <c r="E206" s="24" t="n">
        <v>701.8</v>
      </c>
      <c r="F206" s="24" t="n">
        <v>709</v>
      </c>
      <c r="G206" s="24" t="n">
        <v>709</v>
      </c>
      <c r="H206" s="24">
        <f>G206-F206</f>
        <v/>
      </c>
      <c r="I206" s="8">
        <f>IF(F206=0,0,G206/F206-1)</f>
        <v/>
      </c>
    </row>
    <row r="207">
      <c r="A207" s="6" t="inlineStr">
        <is>
          <t>1000.0000.2120.57300.050</t>
        </is>
      </c>
      <c r="B207" s="6" t="inlineStr">
        <is>
          <t>Equipment</t>
        </is>
      </c>
      <c r="C207" s="24" t="n">
        <v>0</v>
      </c>
      <c r="D207" s="24" t="n">
        <v>0</v>
      </c>
      <c r="E207" s="24" t="n">
        <v>320.02</v>
      </c>
      <c r="F207" s="24" t="n">
        <v>500</v>
      </c>
      <c r="G207" s="24" t="n">
        <v>750</v>
      </c>
      <c r="H207" s="24">
        <f>G207-F207</f>
        <v/>
      </c>
      <c r="I207" s="8">
        <f>IF(F207=0,0,G207/F207-1)</f>
        <v/>
      </c>
    </row>
    <row r="208">
      <c r="A208" s="14" t="n"/>
      <c r="B208" s="28" t="inlineStr">
        <is>
          <t>Program 0000 Total</t>
        </is>
      </c>
      <c r="C208" s="29">
        <f>SUM(C201:C207)</f>
        <v/>
      </c>
      <c r="D208" s="29">
        <f>SUM(D201:D207)</f>
        <v/>
      </c>
      <c r="E208" s="29">
        <f>SUM(E201:E207)</f>
        <v/>
      </c>
      <c r="F208" s="29">
        <f>SUM(F201:F207)</f>
        <v/>
      </c>
      <c r="G208" s="29">
        <f>SUM(G201:G207)</f>
        <v/>
      </c>
      <c r="H208" s="29">
        <f>SUM(H201:H207)</f>
        <v/>
      </c>
      <c r="I208" s="29">
        <f>SUM(I201:I207)</f>
        <v/>
      </c>
    </row>
    <row r="209">
      <c r="A209" s="6" t="inlineStr">
        <is>
          <t>1000.0000.2130.51010.050</t>
        </is>
      </c>
      <c r="B209" s="6" t="inlineStr">
        <is>
          <t>Nurse Salary</t>
        </is>
      </c>
      <c r="C209" s="24" t="n">
        <v>39687.44</v>
      </c>
      <c r="D209" s="24" t="n">
        <v>59981.69</v>
      </c>
      <c r="E209" s="24" t="n">
        <v>70014.42</v>
      </c>
      <c r="F209" s="24" t="n">
        <v>72067</v>
      </c>
      <c r="G209" s="24" t="n">
        <v>75001</v>
      </c>
      <c r="H209" s="24">
        <f>G209-F209</f>
        <v/>
      </c>
      <c r="I209" s="8">
        <f>IF(F209=0,0,G209/F209-1)</f>
        <v/>
      </c>
    </row>
    <row r="210">
      <c r="A210" s="6" t="inlineStr">
        <is>
          <t>1000.0000.2130.51200.050</t>
        </is>
      </c>
      <c r="B210" s="6" t="inlineStr">
        <is>
          <t>Nurse Substitute - FMS</t>
        </is>
      </c>
      <c r="C210" s="24" t="n">
        <v>0</v>
      </c>
      <c r="D210" s="24" t="n">
        <v>0</v>
      </c>
      <c r="E210" s="24" t="n">
        <v>1190</v>
      </c>
      <c r="F210" s="24" t="n">
        <v>0</v>
      </c>
      <c r="G210" s="24" t="n">
        <v>0</v>
      </c>
      <c r="H210" s="24">
        <f>G210-F210</f>
        <v/>
      </c>
      <c r="I210" s="8">
        <f>IF(F210=0,0,G210/F210-1)</f>
        <v/>
      </c>
    </row>
    <row r="211">
      <c r="A211" s="6" t="inlineStr">
        <is>
          <t>1000.0000.2130.52000.050</t>
        </is>
      </c>
      <c r="B211" s="6" t="inlineStr">
        <is>
          <t>Employee Benefits</t>
        </is>
      </c>
      <c r="C211" s="24" t="n">
        <v>0</v>
      </c>
      <c r="D211" s="24" t="n">
        <v>0</v>
      </c>
      <c r="E211" s="24" t="n">
        <v>8591.83</v>
      </c>
      <c r="F211" s="24" t="n">
        <v>0</v>
      </c>
      <c r="G211" s="24" t="n">
        <v>0</v>
      </c>
      <c r="H211" s="24">
        <f>G211-F211</f>
        <v/>
      </c>
      <c r="I211" s="8">
        <f>IF(F211=0,0,G211/F211-1)</f>
        <v/>
      </c>
    </row>
    <row r="212">
      <c r="A212" s="6" t="inlineStr">
        <is>
          <t>1000.0000.2130.52010.050</t>
        </is>
      </c>
      <c r="B212" s="6" t="inlineStr">
        <is>
          <t>Nurse Benefits</t>
        </is>
      </c>
      <c r="C212" s="24" t="n">
        <v>12360.4</v>
      </c>
      <c r="D212" s="24" t="n">
        <v>2769.54</v>
      </c>
      <c r="E212" s="24" t="n">
        <v>4948.02</v>
      </c>
      <c r="F212" s="24" t="n">
        <v>5121</v>
      </c>
      <c r="G212" s="24" t="n">
        <v>5173</v>
      </c>
      <c r="H212" s="24">
        <f>G212-F212</f>
        <v/>
      </c>
      <c r="I212" s="8">
        <f>IF(F212=0,0,G212/F212-1)</f>
        <v/>
      </c>
    </row>
    <row r="213">
      <c r="A213" s="6" t="inlineStr">
        <is>
          <t>1000.0000.2130.52300.050</t>
        </is>
      </c>
      <c r="B213" s="6" t="inlineStr">
        <is>
          <t>Retirement - Stipends</t>
        </is>
      </c>
      <c r="C213" s="24" t="n">
        <v>0</v>
      </c>
      <c r="D213" s="24" t="n">
        <v>0</v>
      </c>
      <c r="E213" s="24" t="n">
        <v>45.7</v>
      </c>
      <c r="F213" s="24" t="n">
        <v>0</v>
      </c>
      <c r="G213" s="24" t="n">
        <v>0</v>
      </c>
      <c r="H213" s="24">
        <f>G213-F213</f>
        <v/>
      </c>
      <c r="I213" s="8">
        <f>IF(F213=0,0,G213/F213-1)</f>
        <v/>
      </c>
    </row>
    <row r="214">
      <c r="A214" s="6" t="inlineStr">
        <is>
          <t>1000.0000.2130.52310.050</t>
        </is>
      </c>
      <c r="B214" s="6" t="inlineStr">
        <is>
          <t>Retirement</t>
        </is>
      </c>
      <c r="C214" s="24" t="n">
        <v>1651</v>
      </c>
      <c r="D214" s="24" t="n">
        <v>389.4</v>
      </c>
      <c r="E214" s="24" t="n">
        <v>2822.85</v>
      </c>
      <c r="F214" s="24" t="n">
        <v>2998</v>
      </c>
      <c r="G214" s="24" t="n">
        <v>3353</v>
      </c>
      <c r="H214" s="24">
        <f>G214-F214</f>
        <v/>
      </c>
      <c r="I214" s="8">
        <f>IF(F214=0,0,G214/F214-1)</f>
        <v/>
      </c>
    </row>
    <row r="215">
      <c r="A215" s="6" t="inlineStr">
        <is>
          <t>1000.0000.2130.53000.050</t>
        </is>
      </c>
      <c r="B215" s="6" t="inlineStr">
        <is>
          <t>Purchased Professional</t>
        </is>
      </c>
      <c r="C215" s="24" t="n">
        <v>88</v>
      </c>
      <c r="D215" s="24" t="n">
        <v>270.01</v>
      </c>
      <c r="E215" s="24" t="n">
        <v>84.76000000000001</v>
      </c>
      <c r="F215" s="24" t="n">
        <v>300</v>
      </c>
      <c r="G215" s="24" t="n">
        <v>300</v>
      </c>
      <c r="H215" s="24">
        <f>G215-F215</f>
        <v/>
      </c>
      <c r="I215" s="8">
        <f>IF(F215=0,0,G215/F215-1)</f>
        <v/>
      </c>
    </row>
    <row r="216">
      <c r="A216" s="6" t="inlineStr">
        <is>
          <t>1000.0000.2130.54310.050</t>
        </is>
      </c>
      <c r="B216" s="6" t="inlineStr">
        <is>
          <t>Repairs &amp; Maintenance</t>
        </is>
      </c>
      <c r="C216" s="24" t="n">
        <v>131.73</v>
      </c>
      <c r="D216" s="24" t="n">
        <v>0</v>
      </c>
      <c r="E216" s="24" t="n">
        <v>0</v>
      </c>
      <c r="F216" s="24" t="n">
        <v>135</v>
      </c>
      <c r="G216" s="24" t="n">
        <v>135</v>
      </c>
      <c r="H216" s="24">
        <f>G216-F216</f>
        <v/>
      </c>
      <c r="I216" s="8">
        <f>IF(F216=0,0,G216/F216-1)</f>
        <v/>
      </c>
    </row>
    <row r="217">
      <c r="A217" s="6" t="inlineStr">
        <is>
          <t>1000.0000.2130.56000.050</t>
        </is>
      </c>
      <c r="B217" s="6" t="inlineStr">
        <is>
          <t>Supplies</t>
        </is>
      </c>
      <c r="C217" s="24" t="n">
        <v>896.87</v>
      </c>
      <c r="D217" s="24" t="n">
        <v>839.17</v>
      </c>
      <c r="E217" s="24" t="n">
        <v>791.24</v>
      </c>
      <c r="F217" s="24" t="n">
        <v>747</v>
      </c>
      <c r="G217" s="24" t="n">
        <v>846</v>
      </c>
      <c r="H217" s="24">
        <f>G217-F217</f>
        <v/>
      </c>
      <c r="I217" s="8">
        <f>IF(F217=0,0,G217/F217-1)</f>
        <v/>
      </c>
    </row>
    <row r="218">
      <c r="A218" s="14" t="n"/>
      <c r="B218" s="28" t="inlineStr">
        <is>
          <t>Program 0000 Total</t>
        </is>
      </c>
      <c r="C218" s="29">
        <f>SUM(C209:C217)</f>
        <v/>
      </c>
      <c r="D218" s="29">
        <f>SUM(D209:D217)</f>
        <v/>
      </c>
      <c r="E218" s="29">
        <f>SUM(E209:E217)</f>
        <v/>
      </c>
      <c r="F218" s="29">
        <f>SUM(F209:F217)</f>
        <v/>
      </c>
      <c r="G218" s="29">
        <f>SUM(G209:G217)</f>
        <v/>
      </c>
      <c r="H218" s="29">
        <f>SUM(H209:H217)</f>
        <v/>
      </c>
      <c r="I218" s="29">
        <f>SUM(I209:I217)</f>
        <v/>
      </c>
    </row>
    <row r="219">
      <c r="A219" s="6" t="inlineStr">
        <is>
          <t>1000.0000.2213.51500.050</t>
        </is>
      </c>
      <c r="B219" s="6" t="inlineStr">
        <is>
          <t>Stipends-Acad Leadership and LCC</t>
        </is>
      </c>
      <c r="C219" s="24" t="n">
        <v>0</v>
      </c>
      <c r="D219" s="24" t="n">
        <v>0</v>
      </c>
      <c r="E219" s="24" t="n">
        <v>20620.5</v>
      </c>
      <c r="F219" s="24" t="n">
        <v>19700</v>
      </c>
      <c r="G219" s="24" t="n">
        <v>25191</v>
      </c>
      <c r="H219" s="24">
        <f>G219-F219</f>
        <v/>
      </c>
      <c r="I219" s="8">
        <f>IF(F219=0,0,G219/F219-1)</f>
        <v/>
      </c>
    </row>
    <row r="220">
      <c r="A220" s="6" t="inlineStr">
        <is>
          <t>1000.0000.2213.52000.050</t>
        </is>
      </c>
      <c r="B220" s="6" t="inlineStr">
        <is>
          <t>Stipend Benefits - FMS</t>
        </is>
      </c>
      <c r="C220" s="24" t="n">
        <v>0</v>
      </c>
      <c r="D220" s="24" t="n">
        <v>0</v>
      </c>
      <c r="E220" s="24" t="n">
        <v>936.22</v>
      </c>
      <c r="F220" s="24" t="n">
        <v>0</v>
      </c>
      <c r="G220" s="24" t="n">
        <v>0</v>
      </c>
      <c r="H220" s="24">
        <f>G220-F220</f>
        <v/>
      </c>
      <c r="I220" s="8">
        <f>IF(F220=0,0,G220/F220-1)</f>
        <v/>
      </c>
    </row>
    <row r="221">
      <c r="A221" s="6" t="inlineStr">
        <is>
          <t>1000.0000.2213.52300.050</t>
        </is>
      </c>
      <c r="B221" s="6" t="inlineStr">
        <is>
          <t>Stipend Retirement - FMS</t>
        </is>
      </c>
      <c r="C221" s="24" t="n">
        <v>0</v>
      </c>
      <c r="D221" s="24" t="n">
        <v>0</v>
      </c>
      <c r="E221" s="24" t="n">
        <v>791.87</v>
      </c>
      <c r="F221" s="24" t="n">
        <v>0</v>
      </c>
      <c r="G221" s="24" t="n">
        <v>0</v>
      </c>
      <c r="H221" s="24">
        <f>G221-F221</f>
        <v/>
      </c>
      <c r="I221" s="8">
        <f>IF(F221=0,0,G221/F221-1)</f>
        <v/>
      </c>
    </row>
    <row r="222">
      <c r="A222" s="6" t="inlineStr">
        <is>
          <t>1000.0000.2213.56400.050</t>
        </is>
      </c>
      <c r="B222" s="6" t="inlineStr">
        <is>
          <t>Books</t>
        </is>
      </c>
      <c r="C222" s="24" t="n">
        <v>0</v>
      </c>
      <c r="D222" s="24" t="n">
        <v>0</v>
      </c>
      <c r="E222" s="24" t="n">
        <v>45.71</v>
      </c>
      <c r="F222" s="24" t="n">
        <v>0</v>
      </c>
      <c r="G222" s="24" t="n">
        <v>0</v>
      </c>
      <c r="H222" s="24">
        <f>G222-F222</f>
        <v/>
      </c>
      <c r="I222" s="8">
        <f>IF(F222=0,0,G222/F222-1)</f>
        <v/>
      </c>
    </row>
    <row r="223">
      <c r="A223" s="14" t="n"/>
      <c r="B223" s="28" t="inlineStr">
        <is>
          <t>Program 0000 Total</t>
        </is>
      </c>
      <c r="C223" s="29">
        <f>SUM(C219:C222)</f>
        <v/>
      </c>
      <c r="D223" s="29">
        <f>SUM(D219:D222)</f>
        <v/>
      </c>
      <c r="E223" s="29">
        <f>SUM(E219:E222)</f>
        <v/>
      </c>
      <c r="F223" s="29">
        <f>SUM(F219:F222)</f>
        <v/>
      </c>
      <c r="G223" s="29">
        <f>SUM(G219:G222)</f>
        <v/>
      </c>
      <c r="H223" s="29">
        <f>SUM(H219:H222)</f>
        <v/>
      </c>
      <c r="I223" s="29">
        <f>SUM(I219:I222)</f>
        <v/>
      </c>
    </row>
    <row r="224">
      <c r="A224" s="6" t="inlineStr">
        <is>
          <t>1000.0000.2220.51010.050</t>
        </is>
      </c>
      <c r="B224" s="6" t="inlineStr">
        <is>
          <t>Librarian Salaries</t>
        </is>
      </c>
      <c r="C224" s="24" t="n">
        <v>66384.5</v>
      </c>
      <c r="D224" s="24" t="n">
        <v>72428.52</v>
      </c>
      <c r="E224" s="24" t="n">
        <v>72167.78</v>
      </c>
      <c r="F224" s="24" t="n">
        <v>75636</v>
      </c>
      <c r="G224" s="24" t="n">
        <v>80237</v>
      </c>
      <c r="H224" s="24">
        <f>G224-F224</f>
        <v/>
      </c>
      <c r="I224" s="8">
        <f>IF(F224=0,0,G224/F224-1)</f>
        <v/>
      </c>
    </row>
    <row r="225">
      <c r="A225" s="6" t="inlineStr">
        <is>
          <t>1000.0000.2220.51020.050</t>
        </is>
      </c>
      <c r="B225" s="6" t="inlineStr">
        <is>
          <t>Ed Tech Salaries</t>
        </is>
      </c>
      <c r="C225" s="24" t="n">
        <v>0</v>
      </c>
      <c r="D225" s="24" t="n">
        <v>1239.82</v>
      </c>
      <c r="E225" s="24" t="n">
        <v>0</v>
      </c>
      <c r="F225" s="24" t="n">
        <v>0</v>
      </c>
      <c r="G225" s="24" t="n">
        <v>0</v>
      </c>
      <c r="H225" s="24">
        <f>G225-F225</f>
        <v/>
      </c>
      <c r="I225" s="8">
        <f>IF(F225=0,0,G225/F225-1)</f>
        <v/>
      </c>
    </row>
    <row r="226">
      <c r="A226" s="6" t="inlineStr">
        <is>
          <t>1000.0000.2220.52010.050</t>
        </is>
      </c>
      <c r="B226" s="6" t="inlineStr">
        <is>
          <t>Librarian Benefits</t>
        </is>
      </c>
      <c r="C226" s="24" t="n">
        <v>21476.06</v>
      </c>
      <c r="D226" s="24" t="n">
        <v>4837.17</v>
      </c>
      <c r="E226" s="24" t="n">
        <v>21189.43</v>
      </c>
      <c r="F226" s="24" t="n">
        <v>23960</v>
      </c>
      <c r="G226" s="24" t="n">
        <v>23459</v>
      </c>
      <c r="H226" s="24">
        <f>G226-F226</f>
        <v/>
      </c>
      <c r="I226" s="8">
        <f>IF(F226=0,0,G226/F226-1)</f>
        <v/>
      </c>
    </row>
    <row r="227">
      <c r="A227" s="6" t="inlineStr">
        <is>
          <t>1000.0000.2220.52310.050</t>
        </is>
      </c>
      <c r="B227" s="6" t="inlineStr">
        <is>
          <t>Retirement</t>
        </is>
      </c>
      <c r="C227" s="24" t="n">
        <v>3116.26</v>
      </c>
      <c r="D227" s="24" t="n">
        <v>732.6</v>
      </c>
      <c r="E227" s="24" t="n">
        <v>2771.33</v>
      </c>
      <c r="F227" s="24" t="n">
        <v>3146</v>
      </c>
      <c r="G227" s="24" t="n">
        <v>3587</v>
      </c>
      <c r="H227" s="24">
        <f>G227-F227</f>
        <v/>
      </c>
      <c r="I227" s="8">
        <f>IF(F227=0,0,G227/F227-1)</f>
        <v/>
      </c>
    </row>
    <row r="228">
      <c r="A228" s="6" t="inlineStr">
        <is>
          <t>1000.0000.2220.54330.050</t>
        </is>
      </c>
      <c r="B228" s="6" t="inlineStr">
        <is>
          <t>Software</t>
        </is>
      </c>
      <c r="C228" s="24" t="n">
        <v>1042.5</v>
      </c>
      <c r="D228" s="24" t="n">
        <v>1042.5</v>
      </c>
      <c r="E228" s="24" t="n">
        <v>1060.35</v>
      </c>
      <c r="F228" s="24" t="n">
        <v>1043</v>
      </c>
      <c r="G228" s="24" t="n">
        <v>1129</v>
      </c>
      <c r="H228" s="24">
        <f>G228-F228</f>
        <v/>
      </c>
      <c r="I228" s="8">
        <f>IF(F228=0,0,G228/F228-1)</f>
        <v/>
      </c>
    </row>
    <row r="229">
      <c r="A229" s="6" t="inlineStr">
        <is>
          <t>1000.0000.2220.56000.050</t>
        </is>
      </c>
      <c r="B229" s="6" t="inlineStr">
        <is>
          <t>Supplies</t>
        </is>
      </c>
      <c r="C229" s="24" t="n">
        <v>153.47</v>
      </c>
      <c r="D229" s="24" t="n">
        <v>486.29</v>
      </c>
      <c r="E229" s="24" t="n">
        <v>372.55</v>
      </c>
      <c r="F229" s="24" t="n">
        <v>500</v>
      </c>
      <c r="G229" s="24" t="n">
        <v>0</v>
      </c>
      <c r="H229" s="24">
        <f>G229-F229</f>
        <v/>
      </c>
      <c r="I229" s="8">
        <f>IF(F229=0,0,G229/F229-1)</f>
        <v/>
      </c>
    </row>
    <row r="230">
      <c r="A230" s="6" t="inlineStr">
        <is>
          <t>1000.0000.2220.56100.050</t>
        </is>
      </c>
      <c r="B230" s="6" t="inlineStr">
        <is>
          <t>Instructional Supplies</t>
        </is>
      </c>
      <c r="C230" s="24" t="n">
        <v>0</v>
      </c>
      <c r="D230" s="24" t="n">
        <v>0</v>
      </c>
      <c r="E230" s="24" t="n">
        <v>0</v>
      </c>
      <c r="F230" s="24" t="n">
        <v>0</v>
      </c>
      <c r="G230" s="24" t="n">
        <v>500</v>
      </c>
      <c r="H230" s="24">
        <f>G230-F230</f>
        <v/>
      </c>
      <c r="I230" s="8">
        <f>IF(F230=0,0,G230/F230-1)</f>
        <v/>
      </c>
    </row>
    <row r="231">
      <c r="A231" s="6" t="inlineStr">
        <is>
          <t>1000.0000.2220.56400.050</t>
        </is>
      </c>
      <c r="B231" s="6" t="inlineStr">
        <is>
          <t>Books</t>
        </is>
      </c>
      <c r="C231" s="24" t="n">
        <v>7107.02</v>
      </c>
      <c r="D231" s="24" t="n">
        <v>6517.08</v>
      </c>
      <c r="E231" s="24" t="n">
        <v>5930.85</v>
      </c>
      <c r="F231" s="24" t="n">
        <v>5842.5</v>
      </c>
      <c r="G231" s="24" t="n">
        <v>5922</v>
      </c>
      <c r="H231" s="24">
        <f>G231-F231</f>
        <v/>
      </c>
      <c r="I231" s="8">
        <f>IF(F231=0,0,G231/F231-1)</f>
        <v/>
      </c>
    </row>
    <row r="232">
      <c r="A232" s="14" t="n"/>
      <c r="B232" s="28" t="inlineStr">
        <is>
          <t>Program 0000 Total</t>
        </is>
      </c>
      <c r="C232" s="29">
        <f>SUM(C224:C231)</f>
        <v/>
      </c>
      <c r="D232" s="29">
        <f>SUM(D224:D231)</f>
        <v/>
      </c>
      <c r="E232" s="29">
        <f>SUM(E224:E231)</f>
        <v/>
      </c>
      <c r="F232" s="29">
        <f>SUM(F224:F231)</f>
        <v/>
      </c>
      <c r="G232" s="29">
        <f>SUM(G224:G231)</f>
        <v/>
      </c>
      <c r="H232" s="29">
        <f>SUM(H224:H231)</f>
        <v/>
      </c>
      <c r="I232" s="29">
        <f>SUM(I224:I231)</f>
        <v/>
      </c>
    </row>
    <row r="233">
      <c r="A233" s="6" t="inlineStr">
        <is>
          <t>1000.0000.2230.51010.050</t>
        </is>
      </c>
      <c r="B233" s="6" t="inlineStr">
        <is>
          <t>Teacher Salary</t>
        </is>
      </c>
      <c r="C233" s="24" t="n">
        <v>70602.22</v>
      </c>
      <c r="D233" s="24" t="n">
        <v>10.98</v>
      </c>
      <c r="E233" s="24" t="n">
        <v>0</v>
      </c>
      <c r="F233" s="24" t="n">
        <v>0</v>
      </c>
      <c r="G233" s="24" t="n">
        <v>0</v>
      </c>
      <c r="H233" s="24">
        <f>G233-F233</f>
        <v/>
      </c>
      <c r="I233" s="8">
        <f>IF(F233=0,0,G233/F233-1)</f>
        <v/>
      </c>
    </row>
    <row r="234">
      <c r="A234" s="6" t="inlineStr">
        <is>
          <t>1000.0000.2230.51180.050</t>
        </is>
      </c>
      <c r="B234" s="6" t="inlineStr">
        <is>
          <t>Support Salaries</t>
        </is>
      </c>
      <c r="C234" s="24" t="n">
        <v>39689.43</v>
      </c>
      <c r="D234" s="24" t="n">
        <v>-1088.47</v>
      </c>
      <c r="E234" s="24" t="n">
        <v>0</v>
      </c>
      <c r="F234" s="24" t="n">
        <v>0</v>
      </c>
      <c r="G234" s="24" t="n">
        <v>0</v>
      </c>
      <c r="H234" s="24">
        <f>G234-F234</f>
        <v/>
      </c>
      <c r="I234" s="8">
        <f>IF(F234=0,0,G234/F234-1)</f>
        <v/>
      </c>
    </row>
    <row r="235">
      <c r="A235" s="6" t="inlineStr">
        <is>
          <t>1000.0000.2230.51500.050</t>
        </is>
      </c>
      <c r="B235" s="6" t="inlineStr">
        <is>
          <t>Stipends</t>
        </is>
      </c>
      <c r="C235" s="24" t="n">
        <v>3855</v>
      </c>
      <c r="D235" s="24" t="n">
        <v>2361.61</v>
      </c>
      <c r="E235" s="24" t="n">
        <v>2544</v>
      </c>
      <c r="F235" s="24" t="n">
        <v>3815</v>
      </c>
      <c r="G235" s="24" t="n">
        <v>3815</v>
      </c>
      <c r="H235" s="24">
        <f>G235-F235</f>
        <v/>
      </c>
      <c r="I235" s="8">
        <f>IF(F235=0,0,G235/F235-1)</f>
        <v/>
      </c>
    </row>
    <row r="236">
      <c r="A236" s="6" t="inlineStr">
        <is>
          <t>1000.0000.2230.52000.050</t>
        </is>
      </c>
      <c r="B236" s="6" t="inlineStr">
        <is>
          <t>Stipend Benefits</t>
        </is>
      </c>
      <c r="C236" s="24" t="n">
        <v>19.31</v>
      </c>
      <c r="D236" s="24" t="n">
        <v>2.32</v>
      </c>
      <c r="E236" s="24" t="n">
        <v>54.28</v>
      </c>
      <c r="F236" s="24" t="n">
        <v>0</v>
      </c>
      <c r="G236" s="24" t="n">
        <v>0</v>
      </c>
      <c r="H236" s="24">
        <f>G236-F236</f>
        <v/>
      </c>
      <c r="I236" s="8">
        <f>IF(F236=0,0,G236/F236-1)</f>
        <v/>
      </c>
    </row>
    <row r="237">
      <c r="A237" s="6" t="inlineStr">
        <is>
          <t>1000.0000.2230.52010.050</t>
        </is>
      </c>
      <c r="B237" s="6" t="inlineStr">
        <is>
          <t>Teacher Benefits</t>
        </is>
      </c>
      <c r="C237" s="24" t="n">
        <v>21433.95</v>
      </c>
      <c r="D237" s="24" t="n">
        <v>4114</v>
      </c>
      <c r="E237" s="24" t="n">
        <v>0</v>
      </c>
      <c r="F237" s="24" t="n">
        <v>0</v>
      </c>
      <c r="G237" s="24" t="n">
        <v>0</v>
      </c>
      <c r="H237" s="24">
        <f>G237-F237</f>
        <v/>
      </c>
      <c r="I237" s="8">
        <f>IF(F237=0,0,G237/F237-1)</f>
        <v/>
      </c>
    </row>
    <row r="238">
      <c r="A238" s="6" t="inlineStr">
        <is>
          <t>1000.0000.2230.52080.050</t>
        </is>
      </c>
      <c r="B238" s="6" t="inlineStr">
        <is>
          <t>Support Benefits</t>
        </is>
      </c>
      <c r="C238" s="24" t="n">
        <v>5686.93</v>
      </c>
      <c r="D238" s="24" t="n">
        <v>-46.63</v>
      </c>
      <c r="E238" s="24" t="n">
        <v>0</v>
      </c>
      <c r="F238" s="24" t="n">
        <v>0</v>
      </c>
      <c r="G238" s="24" t="n">
        <v>0</v>
      </c>
      <c r="H238" s="24">
        <f>G238-F238</f>
        <v/>
      </c>
      <c r="I238" s="8">
        <f>IF(F238=0,0,G238/F238-1)</f>
        <v/>
      </c>
    </row>
    <row r="239">
      <c r="A239" s="6" t="inlineStr">
        <is>
          <t>1000.0000.2230.52300.050</t>
        </is>
      </c>
      <c r="B239" s="6" t="inlineStr">
        <is>
          <t>Retirement</t>
        </is>
      </c>
      <c r="C239" s="24" t="n">
        <v>3.09</v>
      </c>
      <c r="D239" s="24" t="n">
        <v>0</v>
      </c>
      <c r="E239" s="24" t="n">
        <v>97.72</v>
      </c>
      <c r="F239" s="24" t="n">
        <v>0</v>
      </c>
      <c r="G239" s="24" t="n">
        <v>0</v>
      </c>
      <c r="H239" s="24">
        <f>G239-F239</f>
        <v/>
      </c>
      <c r="I239" s="8">
        <f>IF(F239=0,0,G239/F239-1)</f>
        <v/>
      </c>
    </row>
    <row r="240">
      <c r="A240" s="6" t="inlineStr">
        <is>
          <t>1000.0000.2230.52310.050</t>
        </is>
      </c>
      <c r="B240" s="6" t="inlineStr">
        <is>
          <t>Retirement</t>
        </is>
      </c>
      <c r="C240" s="24" t="n">
        <v>2936.96</v>
      </c>
      <c r="D240" s="24" t="n">
        <v>351.39</v>
      </c>
      <c r="E240" s="24" t="n">
        <v>0</v>
      </c>
      <c r="F240" s="24" t="n">
        <v>0</v>
      </c>
      <c r="G240" s="24" t="n">
        <v>0</v>
      </c>
      <c r="H240" s="24">
        <f>G240-F240</f>
        <v/>
      </c>
      <c r="I240" s="8">
        <f>IF(F240=0,0,G240/F240-1)</f>
        <v/>
      </c>
    </row>
    <row r="241">
      <c r="A241" s="6" t="inlineStr">
        <is>
          <t>1000.0000.2230.54320.050</t>
        </is>
      </c>
      <c r="B241" s="6" t="inlineStr">
        <is>
          <t>Tech Repairs/Maint</t>
        </is>
      </c>
      <c r="C241" s="24" t="n">
        <v>474.8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>
        <f>G241-F241</f>
        <v/>
      </c>
      <c r="I241" s="8">
        <f>IF(F241=0,0,G241/F241-1)</f>
        <v/>
      </c>
    </row>
    <row r="242">
      <c r="A242" s="6" t="inlineStr">
        <is>
          <t>1000.0000.2230.56500.050</t>
        </is>
      </c>
      <c r="B242" s="6" t="inlineStr">
        <is>
          <t>Supplies</t>
        </is>
      </c>
      <c r="C242" s="24" t="n">
        <v>0</v>
      </c>
      <c r="D242" s="24" t="n">
        <v>6685.9</v>
      </c>
      <c r="E242" s="24" t="n">
        <v>0</v>
      </c>
      <c r="F242" s="24" t="n">
        <v>0</v>
      </c>
      <c r="G242" s="24" t="n">
        <v>0</v>
      </c>
      <c r="H242" s="24">
        <f>G242-F242</f>
        <v/>
      </c>
      <c r="I242" s="8">
        <f>IF(F242=0,0,G242/F242-1)</f>
        <v/>
      </c>
    </row>
    <row r="243">
      <c r="A243" s="14" t="n"/>
      <c r="B243" s="28" t="inlineStr">
        <is>
          <t>Program 0000 Total</t>
        </is>
      </c>
      <c r="C243" s="29">
        <f>SUM(C233:C242)</f>
        <v/>
      </c>
      <c r="D243" s="29">
        <f>SUM(D233:D242)</f>
        <v/>
      </c>
      <c r="E243" s="29">
        <f>SUM(E233:E242)</f>
        <v/>
      </c>
      <c r="F243" s="29">
        <f>SUM(F233:F242)</f>
        <v/>
      </c>
      <c r="G243" s="29">
        <f>SUM(G233:G242)</f>
        <v/>
      </c>
      <c r="H243" s="29">
        <f>SUM(H233:H242)</f>
        <v/>
      </c>
      <c r="I243" s="29">
        <f>SUM(I233:I242)</f>
        <v/>
      </c>
    </row>
    <row r="244">
      <c r="A244" s="14" t="n"/>
      <c r="B244" s="17" t="inlineStr">
        <is>
          <t>Cost Center ('050',) Total</t>
        </is>
      </c>
      <c r="C244" s="32">
        <f>C200+C208+C218+C223+C232+C243</f>
        <v/>
      </c>
      <c r="D244" s="32">
        <f>D200+D208+D218+D223+D232+D243</f>
        <v/>
      </c>
      <c r="E244" s="32">
        <f>E200+E208+E218+E223+E232+E243</f>
        <v/>
      </c>
      <c r="F244" s="32">
        <f>F200+F208+F218+F223+F232+F243</f>
        <v/>
      </c>
      <c r="G244" s="32">
        <f>G200+G208+G218+G223+G232+G243</f>
        <v/>
      </c>
      <c r="H244" s="32">
        <f>H200+H208+H218+H223+H232+H243</f>
        <v/>
      </c>
      <c r="I244" s="32">
        <f>I200+I208+I218+I223+I232+I243</f>
        <v/>
      </c>
    </row>
    <row r="246">
      <c r="A246" s="3" t="inlineStr">
        <is>
          <t>Cost Center: ('300',)</t>
        </is>
      </c>
    </row>
    <row r="247">
      <c r="A247" s="6" t="inlineStr">
        <is>
          <t>1000.0000.2110.51010.300</t>
        </is>
      </c>
      <c r="B247" s="6" t="inlineStr">
        <is>
          <t>Teachers Salaries</t>
        </is>
      </c>
      <c r="C247" s="24" t="n">
        <v>0</v>
      </c>
      <c r="D247" s="24" t="n">
        <v>21703.06</v>
      </c>
      <c r="E247" s="24" t="n">
        <v>90</v>
      </c>
      <c r="F247" s="24" t="n">
        <v>0</v>
      </c>
      <c r="G247" s="24" t="n">
        <v>84853</v>
      </c>
      <c r="H247" s="24">
        <f>G247-F247</f>
        <v/>
      </c>
      <c r="I247" s="8">
        <f>IF(F247=0,0,G247/F247-1)</f>
        <v/>
      </c>
    </row>
    <row r="248">
      <c r="A248" s="6" t="inlineStr">
        <is>
          <t>1000.0000.2110.51500.300</t>
        </is>
      </c>
      <c r="B248" s="6" t="inlineStr">
        <is>
          <t>Student Support Team (SST) Stipends</t>
        </is>
      </c>
      <c r="C248" s="24" t="n">
        <v>0</v>
      </c>
      <c r="D248" s="24" t="n">
        <v>0</v>
      </c>
      <c r="E248" s="24" t="n">
        <v>6510</v>
      </c>
      <c r="F248" s="24" t="n">
        <v>0</v>
      </c>
      <c r="G248" s="24" t="n">
        <v>0</v>
      </c>
      <c r="H248" s="24">
        <f>G248-F248</f>
        <v/>
      </c>
      <c r="I248" s="8">
        <f>IF(F248=0,0,G248/F248-1)</f>
        <v/>
      </c>
    </row>
    <row r="249">
      <c r="A249" s="6" t="inlineStr">
        <is>
          <t>1000.0000.2110.52000.300</t>
        </is>
      </c>
      <c r="B249" s="6" t="inlineStr">
        <is>
          <t>Student Support Team (SST) Stipend Benefits$0.00</t>
        </is>
      </c>
      <c r="C249" s="24" t="n">
        <v>0</v>
      </c>
      <c r="D249" s="24" t="n">
        <v>330.36</v>
      </c>
      <c r="E249" s="24" t="n">
        <v>0</v>
      </c>
      <c r="F249" s="24" t="n">
        <v>0</v>
      </c>
      <c r="G249" s="24" t="n">
        <v>0</v>
      </c>
      <c r="H249" s="24">
        <f>G249-F249</f>
        <v/>
      </c>
      <c r="I249" s="8">
        <f>IF(F249=0,0,G249/F249-1)</f>
        <v/>
      </c>
    </row>
    <row r="250">
      <c r="A250" s="6" t="inlineStr">
        <is>
          <t>1000.0000.2110.52010.300</t>
        </is>
      </c>
      <c r="B250" s="6" t="inlineStr">
        <is>
          <t>Teacher Benefits</t>
        </is>
      </c>
      <c r="C250" s="24" t="n">
        <v>0</v>
      </c>
      <c r="D250" s="24" t="n">
        <v>52.89</v>
      </c>
      <c r="E250" s="24" t="n">
        <v>4600.48</v>
      </c>
      <c r="F250" s="24" t="n">
        <v>0</v>
      </c>
      <c r="G250" s="24" t="n">
        <v>23562</v>
      </c>
      <c r="H250" s="24">
        <f>G250-F250</f>
        <v/>
      </c>
      <c r="I250" s="8">
        <f>IF(F250=0,0,G250/F250-1)</f>
        <v/>
      </c>
    </row>
    <row r="251">
      <c r="A251" s="6" t="inlineStr">
        <is>
          <t>1000.0000.2110.52300.300</t>
        </is>
      </c>
      <c r="B251" s="6" t="inlineStr">
        <is>
          <t>Student Support Team (SST) Stipend Retirem$en0t.00</t>
        </is>
      </c>
      <c r="C251" s="24" t="n">
        <v>0</v>
      </c>
      <c r="D251" s="24" t="n">
        <v>270.2</v>
      </c>
      <c r="E251" s="24" t="n">
        <v>0</v>
      </c>
      <c r="F251" s="24" t="n">
        <v>0</v>
      </c>
      <c r="G251" s="24" t="n">
        <v>0</v>
      </c>
      <c r="H251" s="24">
        <f>G251-F251</f>
        <v/>
      </c>
      <c r="I251" s="8">
        <f>IF(F251=0,0,G251/F251-1)</f>
        <v/>
      </c>
    </row>
    <row r="252">
      <c r="A252" s="6" t="inlineStr">
        <is>
          <t>1000.0000.2110.52310.300</t>
        </is>
      </c>
      <c r="B252" s="6" t="inlineStr">
        <is>
          <t>Retirement</t>
        </is>
      </c>
      <c r="C252" s="24" t="n">
        <v>0</v>
      </c>
      <c r="D252" s="24" t="n">
        <v>232.65</v>
      </c>
      <c r="E252" s="24" t="n">
        <v>3.46</v>
      </c>
      <c r="F252" s="24" t="n">
        <v>0</v>
      </c>
      <c r="G252" s="24" t="n">
        <v>3793</v>
      </c>
      <c r="H252" s="24">
        <f>G252-F252</f>
        <v/>
      </c>
      <c r="I252" s="8">
        <f>IF(F252=0,0,G252/F252-1)</f>
        <v/>
      </c>
    </row>
    <row r="253">
      <c r="A253" s="14" t="n"/>
      <c r="B253" s="28" t="inlineStr">
        <is>
          <t>Program 0000 Total</t>
        </is>
      </c>
      <c r="C253" s="29">
        <f>SUM(C247:C252)</f>
        <v/>
      </c>
      <c r="D253" s="29">
        <f>SUM(D247:D252)</f>
        <v/>
      </c>
      <c r="E253" s="29">
        <f>SUM(E247:E252)</f>
        <v/>
      </c>
      <c r="F253" s="29">
        <f>SUM(F247:F252)</f>
        <v/>
      </c>
      <c r="G253" s="29">
        <f>SUM(G247:G252)</f>
        <v/>
      </c>
      <c r="H253" s="29">
        <f>SUM(H247:H252)</f>
        <v/>
      </c>
      <c r="I253" s="29">
        <f>SUM(I247:I252)</f>
        <v/>
      </c>
    </row>
    <row r="254">
      <c r="A254" s="6" t="inlineStr">
        <is>
          <t>1000.0000.2120.51010.300</t>
        </is>
      </c>
      <c r="B254" s="6" t="inlineStr">
        <is>
          <t>Counselor Salaries</t>
        </is>
      </c>
      <c r="C254" s="24" t="n">
        <v>235415.87</v>
      </c>
      <c r="D254" s="24" t="n">
        <v>257571.17</v>
      </c>
      <c r="E254" s="24" t="n">
        <v>233953.95</v>
      </c>
      <c r="F254" s="24" t="n">
        <v>296319</v>
      </c>
      <c r="G254" s="24" t="n">
        <v>216392</v>
      </c>
      <c r="H254" s="24">
        <f>G254-F254</f>
        <v/>
      </c>
      <c r="I254" s="8">
        <f>IF(F254=0,0,G254/F254-1)</f>
        <v/>
      </c>
    </row>
    <row r="255">
      <c r="A255" s="6" t="inlineStr">
        <is>
          <t>1000.0000.2120.51180.300</t>
        </is>
      </c>
      <c r="B255" s="6" t="inlineStr">
        <is>
          <t>Guidance Support Wages</t>
        </is>
      </c>
      <c r="C255" s="24" t="n">
        <v>25239.72</v>
      </c>
      <c r="D255" s="24" t="n">
        <v>33802.4</v>
      </c>
      <c r="E255" s="24" t="n">
        <v>24618.96</v>
      </c>
      <c r="F255" s="24" t="n">
        <v>53801</v>
      </c>
      <c r="G255" s="24" t="n">
        <v>54213</v>
      </c>
      <c r="H255" s="24">
        <f>G255-F255</f>
        <v/>
      </c>
      <c r="I255" s="8">
        <f>IF(F255=0,0,G255/F255-1)</f>
        <v/>
      </c>
    </row>
    <row r="256">
      <c r="A256" s="6" t="inlineStr">
        <is>
          <t>1000.0000.2120.52010.300</t>
        </is>
      </c>
      <c r="B256" s="6" t="inlineStr">
        <is>
          <t>Counselor Benefits</t>
        </is>
      </c>
      <c r="C256" s="24" t="n">
        <v>60220.84</v>
      </c>
      <c r="D256" s="24" t="n">
        <v>14326.28</v>
      </c>
      <c r="E256" s="24" t="n">
        <v>69920.5</v>
      </c>
      <c r="F256" s="24" t="n">
        <v>81925</v>
      </c>
      <c r="G256" s="24" t="n">
        <v>67681</v>
      </c>
      <c r="H256" s="24">
        <f>G256-F256</f>
        <v/>
      </c>
      <c r="I256" s="8">
        <f>IF(F256=0,0,G256/F256-1)</f>
        <v/>
      </c>
    </row>
    <row r="257">
      <c r="A257" s="6" t="inlineStr">
        <is>
          <t>1000.0000.2120.52080.300</t>
        </is>
      </c>
      <c r="B257" s="6" t="inlineStr">
        <is>
          <t>Support Benefits</t>
        </is>
      </c>
      <c r="C257" s="24" t="n">
        <v>2168.22</v>
      </c>
      <c r="D257" s="24" t="n">
        <v>270.64</v>
      </c>
      <c r="E257" s="24" t="n">
        <v>5804.68</v>
      </c>
      <c r="F257" s="24" t="n">
        <v>20904</v>
      </c>
      <c r="G257" s="24" t="n">
        <v>26070</v>
      </c>
      <c r="H257" s="24">
        <f>G257-F257</f>
        <v/>
      </c>
      <c r="I257" s="8">
        <f>IF(F257=0,0,G257/F257-1)</f>
        <v/>
      </c>
    </row>
    <row r="258">
      <c r="A258" s="6" t="inlineStr">
        <is>
          <t>1000.0000.2120.52300.300</t>
        </is>
      </c>
      <c r="B258" s="6" t="inlineStr">
        <is>
          <t>Support Retirement</t>
        </is>
      </c>
      <c r="C258" s="24" t="n">
        <v>0</v>
      </c>
      <c r="D258" s="24" t="n">
        <v>0</v>
      </c>
      <c r="E258" s="24" t="n">
        <v>0</v>
      </c>
      <c r="F258" s="24" t="n">
        <v>0</v>
      </c>
      <c r="G258" s="24" t="n">
        <v>2900</v>
      </c>
      <c r="H258" s="24">
        <f>G258-F258</f>
        <v/>
      </c>
      <c r="I258" s="8">
        <f>IF(F258=0,0,G258/F258-1)</f>
        <v/>
      </c>
    </row>
    <row r="259">
      <c r="A259" s="6" t="inlineStr">
        <is>
          <t>1000.0000.2120.52310.300</t>
        </is>
      </c>
      <c r="B259" s="6" t="inlineStr">
        <is>
          <t>Retirement</t>
        </is>
      </c>
      <c r="C259" s="24" t="n">
        <v>9987.27</v>
      </c>
      <c r="D259" s="24" t="n">
        <v>2480.75</v>
      </c>
      <c r="E259" s="24" t="n">
        <v>9317.01</v>
      </c>
      <c r="F259" s="24" t="n">
        <v>12326</v>
      </c>
      <c r="G259" s="24" t="n">
        <v>9673</v>
      </c>
      <c r="H259" s="24">
        <f>G259-F259</f>
        <v/>
      </c>
      <c r="I259" s="8">
        <f>IF(F259=0,0,G259/F259-1)</f>
        <v/>
      </c>
    </row>
    <row r="260">
      <c r="A260" s="6" t="inlineStr">
        <is>
          <t>1000.0000.2120.53000.300</t>
        </is>
      </c>
      <c r="B260" s="6" t="inlineStr">
        <is>
          <t>Purchased Professional</t>
        </is>
      </c>
      <c r="C260" s="24" t="n">
        <v>11710.98</v>
      </c>
      <c r="D260" s="24" t="n">
        <v>13464.84</v>
      </c>
      <c r="E260" s="24" t="n">
        <v>12769</v>
      </c>
      <c r="F260" s="24" t="n">
        <v>13482</v>
      </c>
      <c r="G260" s="24" t="n">
        <v>21768</v>
      </c>
      <c r="H260" s="24">
        <f>G260-F260</f>
        <v/>
      </c>
      <c r="I260" s="8">
        <f>IF(F260=0,0,G260/F260-1)</f>
        <v/>
      </c>
    </row>
    <row r="261">
      <c r="A261" s="6" t="inlineStr">
        <is>
          <t>1000.0000.2120.54330.300</t>
        </is>
      </c>
      <c r="B261" s="6" t="inlineStr">
        <is>
          <t>Software</t>
        </is>
      </c>
      <c r="C261" s="24" t="n">
        <v>0</v>
      </c>
      <c r="D261" s="24" t="n">
        <v>0</v>
      </c>
      <c r="E261" s="24" t="n">
        <v>333.34</v>
      </c>
      <c r="F261" s="24" t="n">
        <v>0</v>
      </c>
      <c r="G261" s="24" t="n">
        <v>334</v>
      </c>
      <c r="H261" s="24">
        <f>G261-F261</f>
        <v/>
      </c>
      <c r="I261" s="8">
        <f>IF(F261=0,0,G261/F261-1)</f>
        <v/>
      </c>
    </row>
    <row r="262">
      <c r="A262" s="6" t="inlineStr">
        <is>
          <t>1000.0000.2120.55800.300</t>
        </is>
      </c>
      <c r="B262" s="6" t="inlineStr">
        <is>
          <t>Travel</t>
        </is>
      </c>
      <c r="C262" s="24" t="n">
        <v>0</v>
      </c>
      <c r="D262" s="24" t="n">
        <v>0</v>
      </c>
      <c r="E262" s="24" t="n">
        <v>0</v>
      </c>
      <c r="F262" s="24" t="n">
        <v>200</v>
      </c>
      <c r="G262" s="24" t="n">
        <v>0</v>
      </c>
      <c r="H262" s="24">
        <f>G262-F262</f>
        <v/>
      </c>
      <c r="I262" s="8">
        <f>IF(F262=0,0,G262/F262-1)</f>
        <v/>
      </c>
    </row>
    <row r="263">
      <c r="A263" s="6" t="inlineStr">
        <is>
          <t>1000.0000.2120.55810.300</t>
        </is>
      </c>
      <c r="B263" s="6" t="inlineStr">
        <is>
          <t>Travel</t>
        </is>
      </c>
      <c r="C263" s="24" t="n">
        <v>0</v>
      </c>
      <c r="D263" s="24" t="n">
        <v>0</v>
      </c>
      <c r="E263" s="24" t="n">
        <v>0</v>
      </c>
      <c r="F263" s="24" t="n">
        <v>400</v>
      </c>
      <c r="G263" s="24" t="n">
        <v>400</v>
      </c>
      <c r="H263" s="24">
        <f>G263-F263</f>
        <v/>
      </c>
      <c r="I263" s="8">
        <f>IF(F263=0,0,G263/F263-1)</f>
        <v/>
      </c>
    </row>
    <row r="264">
      <c r="A264" s="6" t="inlineStr">
        <is>
          <t>1000.0000.2120.56100.300</t>
        </is>
      </c>
      <c r="B264" s="6" t="inlineStr">
        <is>
          <t>Instructional Supplies</t>
        </is>
      </c>
      <c r="C264" s="24" t="n">
        <v>470.99</v>
      </c>
      <c r="D264" s="24" t="n">
        <v>1056.12</v>
      </c>
      <c r="E264" s="24" t="n">
        <v>417.07</v>
      </c>
      <c r="F264" s="24" t="n">
        <v>1000</v>
      </c>
      <c r="G264" s="24" t="n">
        <v>1000</v>
      </c>
      <c r="H264" s="24">
        <f>G264-F264</f>
        <v/>
      </c>
      <c r="I264" s="8">
        <f>IF(F264=0,0,G264/F264-1)</f>
        <v/>
      </c>
    </row>
    <row r="265">
      <c r="A265" s="6" t="inlineStr">
        <is>
          <t>1000.0000.2120.57300.300</t>
        </is>
      </c>
      <c r="B265" s="6" t="inlineStr">
        <is>
          <t>Equipment</t>
        </is>
      </c>
      <c r="C265" s="24" t="n">
        <v>0</v>
      </c>
      <c r="D265" s="24" t="n">
        <v>0</v>
      </c>
      <c r="E265" s="24" t="n">
        <v>0</v>
      </c>
      <c r="F265" s="24" t="n">
        <v>500</v>
      </c>
      <c r="G265" s="24" t="n">
        <v>750</v>
      </c>
      <c r="H265" s="24">
        <f>G265-F265</f>
        <v/>
      </c>
      <c r="I265" s="8">
        <f>IF(F265=0,0,G265/F265-1)</f>
        <v/>
      </c>
    </row>
    <row r="266">
      <c r="A266" s="14" t="n"/>
      <c r="B266" s="28" t="inlineStr">
        <is>
          <t>Program 0000 Total</t>
        </is>
      </c>
      <c r="C266" s="29">
        <f>SUM(C254:C265)</f>
        <v/>
      </c>
      <c r="D266" s="29">
        <f>SUM(D254:D265)</f>
        <v/>
      </c>
      <c r="E266" s="29">
        <f>SUM(E254:E265)</f>
        <v/>
      </c>
      <c r="F266" s="29">
        <f>SUM(F254:F265)</f>
        <v/>
      </c>
      <c r="G266" s="29">
        <f>SUM(G254:G265)</f>
        <v/>
      </c>
      <c r="H266" s="29">
        <f>SUM(H254:H265)</f>
        <v/>
      </c>
      <c r="I266" s="29">
        <f>SUM(I254:I265)</f>
        <v/>
      </c>
    </row>
    <row r="267">
      <c r="A267" s="6" t="inlineStr">
        <is>
          <t>1000.0000.2130.51010.300</t>
        </is>
      </c>
      <c r="B267" s="6" t="inlineStr">
        <is>
          <t>Nurse Salary</t>
        </is>
      </c>
      <c r="C267" s="24" t="n">
        <v>61708.78</v>
      </c>
      <c r="D267" s="24" t="n">
        <v>68846.06</v>
      </c>
      <c r="E267" s="24" t="n">
        <v>66700.84</v>
      </c>
      <c r="F267" s="24" t="n">
        <v>69892</v>
      </c>
      <c r="G267" s="24" t="n">
        <v>73228</v>
      </c>
      <c r="H267" s="24">
        <f>G267-F267</f>
        <v/>
      </c>
      <c r="I267" s="8">
        <f>IF(F267=0,0,G267/F267-1)</f>
        <v/>
      </c>
    </row>
    <row r="268">
      <c r="A268" s="6" t="inlineStr">
        <is>
          <t>1000.0000.2130.51200.300</t>
        </is>
      </c>
      <c r="B268" s="6" t="inlineStr">
        <is>
          <t>Nurse Substitute - FHS</t>
        </is>
      </c>
      <c r="C268" s="24" t="n">
        <v>0</v>
      </c>
      <c r="D268" s="24" t="n">
        <v>0</v>
      </c>
      <c r="E268" s="24" t="n">
        <v>1750</v>
      </c>
      <c r="F268" s="24" t="n">
        <v>0</v>
      </c>
      <c r="G268" s="24" t="n">
        <v>0</v>
      </c>
      <c r="H268" s="24">
        <f>G268-F268</f>
        <v/>
      </c>
      <c r="I268" s="8">
        <f>IF(F268=0,0,G268/F268-1)</f>
        <v/>
      </c>
    </row>
    <row r="269">
      <c r="A269" s="6" t="inlineStr">
        <is>
          <t>1000.0000.2130.52000.300</t>
        </is>
      </c>
      <c r="B269" s="6" t="inlineStr">
        <is>
          <t>Employee Benefits</t>
        </is>
      </c>
      <c r="C269" s="24" t="n">
        <v>0</v>
      </c>
      <c r="D269" s="24" t="n">
        <v>0</v>
      </c>
      <c r="E269" s="24" t="n">
        <v>37.81</v>
      </c>
      <c r="F269" s="24" t="n">
        <v>0</v>
      </c>
      <c r="G269" s="24" t="n">
        <v>0</v>
      </c>
      <c r="H269" s="24">
        <f>G269-F269</f>
        <v/>
      </c>
      <c r="I269" s="8">
        <f>IF(F269=0,0,G269/F269-1)</f>
        <v/>
      </c>
    </row>
    <row r="270">
      <c r="A270" s="6" t="inlineStr">
        <is>
          <t>1000.0000.2130.52010.300</t>
        </is>
      </c>
      <c r="B270" s="6" t="inlineStr">
        <is>
          <t>Nurses Benefits</t>
        </is>
      </c>
      <c r="C270" s="24" t="n">
        <v>21149.41</v>
      </c>
      <c r="D270" s="24" t="n">
        <v>4716.65</v>
      </c>
      <c r="E270" s="24" t="n">
        <v>21312.53</v>
      </c>
      <c r="F270" s="24" t="n">
        <v>21844</v>
      </c>
      <c r="G270" s="24" t="n">
        <v>23302</v>
      </c>
      <c r="H270" s="24">
        <f>G270-F270</f>
        <v/>
      </c>
      <c r="I270" s="8">
        <f>IF(F270=0,0,G270/F270-1)</f>
        <v/>
      </c>
    </row>
    <row r="271">
      <c r="A271" s="6" t="inlineStr">
        <is>
          <t>1000.0000.2130.52300.300</t>
        </is>
      </c>
      <c r="B271" s="6" t="inlineStr">
        <is>
          <t>Retirement - Stipends</t>
        </is>
      </c>
      <c r="C271" s="24" t="n">
        <v>0</v>
      </c>
      <c r="D271" s="24" t="n">
        <v>0</v>
      </c>
      <c r="E271" s="24" t="n">
        <v>67.22</v>
      </c>
      <c r="F271" s="24" t="n">
        <v>0</v>
      </c>
      <c r="G271" s="24" t="n">
        <v>0</v>
      </c>
      <c r="H271" s="24">
        <f>G271-F271</f>
        <v/>
      </c>
      <c r="I271" s="8">
        <f>IF(F271=0,0,G271/F271-1)</f>
        <v/>
      </c>
    </row>
    <row r="272">
      <c r="A272" s="6" t="inlineStr">
        <is>
          <t>1000.0000.2130.52310.300</t>
        </is>
      </c>
      <c r="B272" s="6" t="inlineStr">
        <is>
          <t>Retirement</t>
        </is>
      </c>
      <c r="C272" s="24" t="n">
        <v>2566.98</v>
      </c>
      <c r="D272" s="24" t="n">
        <v>602.3</v>
      </c>
      <c r="E272" s="24" t="n">
        <v>2561.26</v>
      </c>
      <c r="F272" s="24" t="n">
        <v>2907</v>
      </c>
      <c r="G272" s="24" t="n">
        <v>3273</v>
      </c>
      <c r="H272" s="24">
        <f>G272-F272</f>
        <v/>
      </c>
      <c r="I272" s="8">
        <f>IF(F272=0,0,G272/F272-1)</f>
        <v/>
      </c>
    </row>
    <row r="273">
      <c r="A273" s="6" t="inlineStr">
        <is>
          <t>1000.0000.2130.53000.300</t>
        </is>
      </c>
      <c r="B273" s="6" t="inlineStr">
        <is>
          <t>Purchased Professional</t>
        </is>
      </c>
      <c r="C273" s="24" t="n">
        <v>28.5</v>
      </c>
      <c r="D273" s="24" t="n">
        <v>0</v>
      </c>
      <c r="E273" s="24" t="n">
        <v>0</v>
      </c>
      <c r="F273" s="24" t="n">
        <v>300</v>
      </c>
      <c r="G273" s="24" t="n">
        <v>300</v>
      </c>
      <c r="H273" s="24">
        <f>G273-F273</f>
        <v/>
      </c>
      <c r="I273" s="8">
        <f>IF(F273=0,0,G273/F273-1)</f>
        <v/>
      </c>
    </row>
    <row r="274">
      <c r="A274" s="6" t="inlineStr">
        <is>
          <t>1000.0000.2130.54310.300</t>
        </is>
      </c>
      <c r="B274" s="6" t="inlineStr">
        <is>
          <t>Repairs &amp; Maintenance</t>
        </is>
      </c>
      <c r="C274" s="24" t="n">
        <v>0</v>
      </c>
      <c r="D274" s="24" t="n">
        <v>0</v>
      </c>
      <c r="E274" s="24" t="n">
        <v>0</v>
      </c>
      <c r="F274" s="24" t="n">
        <v>135</v>
      </c>
      <c r="G274" s="24" t="n">
        <v>135</v>
      </c>
      <c r="H274" s="24">
        <f>G274-F274</f>
        <v/>
      </c>
      <c r="I274" s="8">
        <f>IF(F274=0,0,G274/F274-1)</f>
        <v/>
      </c>
    </row>
    <row r="275">
      <c r="A275" s="6" t="inlineStr">
        <is>
          <t>1000.0000.2130.56000.300</t>
        </is>
      </c>
      <c r="B275" s="6" t="inlineStr">
        <is>
          <t>Supplies</t>
        </is>
      </c>
      <c r="C275" s="24" t="n">
        <v>1181.37</v>
      </c>
      <c r="D275" s="24" t="n">
        <v>1205.06</v>
      </c>
      <c r="E275" s="24" t="n">
        <v>1649.88</v>
      </c>
      <c r="F275" s="24" t="n">
        <v>1538</v>
      </c>
      <c r="G275" s="24" t="n">
        <v>1899</v>
      </c>
      <c r="H275" s="24">
        <f>G275-F275</f>
        <v/>
      </c>
      <c r="I275" s="8">
        <f>IF(F275=0,0,G275/F275-1)</f>
        <v/>
      </c>
    </row>
    <row r="276">
      <c r="A276" s="14" t="n"/>
      <c r="B276" s="28" t="inlineStr">
        <is>
          <t>Program 0000 Total</t>
        </is>
      </c>
      <c r="C276" s="29">
        <f>SUM(C267:C275)</f>
        <v/>
      </c>
      <c r="D276" s="29">
        <f>SUM(D267:D275)</f>
        <v/>
      </c>
      <c r="E276" s="29">
        <f>SUM(E267:E275)</f>
        <v/>
      </c>
      <c r="F276" s="29">
        <f>SUM(F267:F275)</f>
        <v/>
      </c>
      <c r="G276" s="29">
        <f>SUM(G267:G275)</f>
        <v/>
      </c>
      <c r="H276" s="29">
        <f>SUM(H267:H275)</f>
        <v/>
      </c>
      <c r="I276" s="29">
        <f>SUM(I267:I275)</f>
        <v/>
      </c>
    </row>
    <row r="277">
      <c r="A277" s="6" t="inlineStr">
        <is>
          <t>1000.0000.2213.51010.300</t>
        </is>
      </c>
      <c r="B277" s="6" t="inlineStr">
        <is>
          <t>9-12 HONORARIUM</t>
        </is>
      </c>
      <c r="C277" s="24" t="n">
        <v>1632.72</v>
      </c>
      <c r="D277" s="24" t="n">
        <v>21.88</v>
      </c>
      <c r="E277" s="24" t="n">
        <v>4356</v>
      </c>
      <c r="F277" s="24" t="n">
        <v>1652</v>
      </c>
      <c r="G277" s="24" t="n">
        <v>4000</v>
      </c>
      <c r="H277" s="24">
        <f>G277-F277</f>
        <v/>
      </c>
      <c r="I277" s="8">
        <f>IF(F277=0,0,G277/F277-1)</f>
        <v/>
      </c>
    </row>
    <row r="278">
      <c r="A278" s="6" t="inlineStr">
        <is>
          <t>1000.0000.2213.51230.300</t>
        </is>
      </c>
      <c r="B278" s="6" t="inlineStr">
        <is>
          <t>Substitute Salaries</t>
        </is>
      </c>
      <c r="C278" s="24" t="n">
        <v>0</v>
      </c>
      <c r="D278" s="24" t="n">
        <v>0</v>
      </c>
      <c r="E278" s="24" t="n">
        <v>1875</v>
      </c>
      <c r="F278" s="24" t="n">
        <v>0</v>
      </c>
      <c r="G278" s="24" t="n">
        <v>0</v>
      </c>
      <c r="H278" s="24">
        <f>G278-F278</f>
        <v/>
      </c>
      <c r="I278" s="8">
        <f>IF(F278=0,0,G278/F278-1)</f>
        <v/>
      </c>
    </row>
    <row r="279">
      <c r="A279" s="6" t="inlineStr">
        <is>
          <t>1000.0000.2213.51500.300</t>
        </is>
      </c>
      <c r="B279" s="6" t="inlineStr">
        <is>
          <t>Stipends-Acad Leadership and LCC</t>
        </is>
      </c>
      <c r="C279" s="24" t="n">
        <v>19716.82</v>
      </c>
      <c r="D279" s="24" t="n">
        <v>29304.53</v>
      </c>
      <c r="E279" s="24" t="n">
        <v>34176</v>
      </c>
      <c r="F279" s="24" t="n">
        <v>17880</v>
      </c>
      <c r="G279" s="24" t="n">
        <v>24804</v>
      </c>
      <c r="H279" s="24">
        <f>G279-F279</f>
        <v/>
      </c>
      <c r="I279" s="8">
        <f>IF(F279=0,0,G279/F279-1)</f>
        <v/>
      </c>
    </row>
    <row r="280">
      <c r="A280" s="6" t="inlineStr">
        <is>
          <t>1000.0000.2213.52000.300</t>
        </is>
      </c>
      <c r="B280" s="6" t="inlineStr">
        <is>
          <t>Stipend Benefits - FHS</t>
        </is>
      </c>
      <c r="C280" s="24" t="n">
        <v>3179.32</v>
      </c>
      <c r="D280" s="24" t="n">
        <v>6.56</v>
      </c>
      <c r="E280" s="24" t="n">
        <v>1400.7</v>
      </c>
      <c r="F280" s="24" t="n">
        <v>2872</v>
      </c>
      <c r="G280" s="24" t="n">
        <v>2872</v>
      </c>
      <c r="H280" s="24">
        <f>G280-F280</f>
        <v/>
      </c>
      <c r="I280" s="8">
        <f>IF(F280=0,0,G280/F280-1)</f>
        <v/>
      </c>
    </row>
    <row r="281">
      <c r="A281" s="6" t="inlineStr">
        <is>
          <t>1000.0000.2213.52010.300</t>
        </is>
      </c>
      <c r="B281" s="6" t="inlineStr">
        <is>
          <t>9-12 HONORARIUM BENEFITS</t>
        </is>
      </c>
      <c r="C281" s="24" t="n">
        <v>169.88</v>
      </c>
      <c r="D281" s="24" t="n">
        <v>0</v>
      </c>
      <c r="E281" s="24" t="n">
        <v>428.26</v>
      </c>
      <c r="F281" s="24" t="n">
        <v>183</v>
      </c>
      <c r="G281" s="24" t="n">
        <v>183</v>
      </c>
      <c r="H281" s="24">
        <f>G281-F281</f>
        <v/>
      </c>
      <c r="I281" s="8">
        <f>IF(F281=0,0,G281/F281-1)</f>
        <v/>
      </c>
    </row>
    <row r="282">
      <c r="A282" s="6" t="inlineStr">
        <is>
          <t>1000.0000.2213.52030.300</t>
        </is>
      </c>
      <c r="B282" s="6" t="inlineStr">
        <is>
          <t>Substitute Benefit</t>
        </is>
      </c>
      <c r="C282" s="24" t="n">
        <v>0</v>
      </c>
      <c r="D282" s="24" t="n">
        <v>0</v>
      </c>
      <c r="E282" s="24" t="n">
        <v>139.24</v>
      </c>
      <c r="F282" s="24" t="n">
        <v>0</v>
      </c>
      <c r="G282" s="24" t="n">
        <v>0</v>
      </c>
      <c r="H282" s="24">
        <f>G282-F282</f>
        <v/>
      </c>
      <c r="I282" s="8">
        <f>IF(F282=0,0,G282/F282-1)</f>
        <v/>
      </c>
    </row>
    <row r="283">
      <c r="A283" s="6" t="inlineStr">
        <is>
          <t>1000.0000.2213.52300.300</t>
        </is>
      </c>
      <c r="B283" s="6" t="inlineStr">
        <is>
          <t>Stipend Retirement - FHS</t>
        </is>
      </c>
      <c r="C283" s="24" t="n">
        <v>650.2</v>
      </c>
      <c r="D283" s="24" t="n">
        <v>0</v>
      </c>
      <c r="E283" s="24" t="n">
        <v>1331.41</v>
      </c>
      <c r="F283" s="24" t="n">
        <v>2389</v>
      </c>
      <c r="G283" s="24" t="n">
        <v>2839</v>
      </c>
      <c r="H283" s="24">
        <f>G283-F283</f>
        <v/>
      </c>
      <c r="I283" s="8">
        <f>IF(F283=0,0,G283/F283-1)</f>
        <v/>
      </c>
    </row>
    <row r="284">
      <c r="A284" s="6" t="inlineStr">
        <is>
          <t>1000.0000.2213.52310.300</t>
        </is>
      </c>
      <c r="B284" s="6" t="inlineStr">
        <is>
          <t>9-12 HONORARIUM RETIREMENT</t>
        </is>
      </c>
      <c r="C284" s="24" t="n">
        <v>73.84999999999999</v>
      </c>
      <c r="D284" s="24" t="n">
        <v>0</v>
      </c>
      <c r="E284" s="24" t="n">
        <v>167.24</v>
      </c>
      <c r="F284" s="24" t="n">
        <v>152</v>
      </c>
      <c r="G284" s="24" t="n">
        <v>152</v>
      </c>
      <c r="H284" s="24">
        <f>G284-F284</f>
        <v/>
      </c>
      <c r="I284" s="8">
        <f>IF(F284=0,0,G284/F284-1)</f>
        <v/>
      </c>
    </row>
    <row r="285">
      <c r="A285" s="6" t="inlineStr">
        <is>
          <t>1000.0000.2213.52330.300</t>
        </is>
      </c>
      <c r="B285" s="6" t="inlineStr">
        <is>
          <t>Retirement</t>
        </is>
      </c>
      <c r="C285" s="24" t="n">
        <v>0</v>
      </c>
      <c r="D285" s="24" t="n">
        <v>0</v>
      </c>
      <c r="E285" s="24" t="n">
        <v>4.99</v>
      </c>
      <c r="F285" s="24" t="n">
        <v>0</v>
      </c>
      <c r="G285" s="24" t="n">
        <v>0</v>
      </c>
      <c r="H285" s="24">
        <f>G285-F285</f>
        <v/>
      </c>
      <c r="I285" s="8">
        <f>IF(F285=0,0,G285/F285-1)</f>
        <v/>
      </c>
    </row>
    <row r="286">
      <c r="A286" s="6" t="inlineStr">
        <is>
          <t>1000.0000.2213.52510.300</t>
        </is>
      </c>
      <c r="B286" s="6" t="inlineStr">
        <is>
          <t>Tuition Reimbursement-Teacher</t>
        </is>
      </c>
      <c r="C286" s="24" t="n">
        <v>16336.5</v>
      </c>
      <c r="D286" s="24" t="n">
        <v>11076.5</v>
      </c>
      <c r="E286" s="24" t="n">
        <v>26408</v>
      </c>
      <c r="F286" s="24" t="n">
        <v>20000</v>
      </c>
      <c r="G286" s="24" t="n">
        <v>20000</v>
      </c>
      <c r="H286" s="24">
        <f>G286-F286</f>
        <v/>
      </c>
      <c r="I286" s="8">
        <f>IF(F286=0,0,G286/F286-1)</f>
        <v/>
      </c>
    </row>
    <row r="287">
      <c r="A287" s="6" t="inlineStr">
        <is>
          <t>1000.0000.2213.52520.300</t>
        </is>
      </c>
      <c r="B287" s="6" t="inlineStr">
        <is>
          <t>Tuition Reimbursement-Support</t>
        </is>
      </c>
      <c r="C287" s="24" t="n">
        <v>0</v>
      </c>
      <c r="D287" s="24" t="n">
        <v>0</v>
      </c>
      <c r="E287" s="24" t="n">
        <v>0</v>
      </c>
      <c r="F287" s="24" t="n">
        <v>1300</v>
      </c>
      <c r="G287" s="24" t="n">
        <v>1300</v>
      </c>
      <c r="H287" s="24">
        <f>G287-F287</f>
        <v/>
      </c>
      <c r="I287" s="8">
        <f>IF(F287=0,0,G287/F287-1)</f>
        <v/>
      </c>
    </row>
    <row r="288">
      <c r="A288" s="6" t="inlineStr">
        <is>
          <t>1000.0000.2213.53000.300</t>
        </is>
      </c>
      <c r="B288" s="6" t="inlineStr">
        <is>
          <t>Purchased Professional Services $20,298.79</t>
        </is>
      </c>
      <c r="C288" s="24" t="n">
        <v>8195.030000000001</v>
      </c>
      <c r="D288" s="24" t="n">
        <v>6028.5</v>
      </c>
      <c r="E288" s="24" t="n">
        <v>39536</v>
      </c>
      <c r="F288" s="24" t="n">
        <v>39536</v>
      </c>
      <c r="G288" s="24" t="n">
        <v>0</v>
      </c>
      <c r="H288" s="24">
        <f>G288-F288</f>
        <v/>
      </c>
      <c r="I288" s="8">
        <f>IF(F288=0,0,G288/F288-1)</f>
        <v/>
      </c>
    </row>
    <row r="289">
      <c r="A289" s="6" t="inlineStr">
        <is>
          <t>1000.0000.2213.53300.300</t>
        </is>
      </c>
      <c r="B289" s="6" t="inlineStr">
        <is>
          <t>Employee Training</t>
        </is>
      </c>
      <c r="C289" s="24" t="n">
        <v>0</v>
      </c>
      <c r="D289" s="24" t="n">
        <v>0</v>
      </c>
      <c r="E289" s="24" t="n">
        <v>150</v>
      </c>
      <c r="F289" s="24" t="n">
        <v>0</v>
      </c>
      <c r="G289" s="24" t="n">
        <v>0</v>
      </c>
      <c r="H289" s="24">
        <f>G289-F289</f>
        <v/>
      </c>
      <c r="I289" s="8">
        <f>IF(F289=0,0,G289/F289-1)</f>
        <v/>
      </c>
    </row>
    <row r="290">
      <c r="A290" s="6" t="inlineStr">
        <is>
          <t>1000.0000.2213.55000.300</t>
        </is>
      </c>
      <c r="B290" s="6" t="inlineStr">
        <is>
          <t>Other Purchased Services</t>
        </is>
      </c>
      <c r="C290" s="24" t="n">
        <v>0</v>
      </c>
      <c r="D290" s="24" t="n">
        <v>0</v>
      </c>
      <c r="E290" s="24" t="n">
        <v>0</v>
      </c>
      <c r="F290" s="24" t="n">
        <v>1000</v>
      </c>
      <c r="G290" s="24" t="n">
        <v>1000</v>
      </c>
      <c r="H290" s="24">
        <f>G290-F290</f>
        <v/>
      </c>
      <c r="I290" s="8">
        <f>IF(F290=0,0,G290/F290-1)</f>
        <v/>
      </c>
    </row>
    <row r="291">
      <c r="A291" s="6" t="inlineStr">
        <is>
          <t>1000.0000.2213.55810.300</t>
        </is>
      </c>
      <c r="B291" s="6" t="inlineStr">
        <is>
          <t>Travel</t>
        </is>
      </c>
      <c r="C291" s="24" t="n">
        <v>1185.81</v>
      </c>
      <c r="D291" s="24" t="n">
        <v>0</v>
      </c>
      <c r="E291" s="24" t="n">
        <v>0</v>
      </c>
      <c r="F291" s="24" t="n">
        <v>1000</v>
      </c>
      <c r="G291" s="24" t="n">
        <v>1000</v>
      </c>
      <c r="H291" s="24">
        <f>G291-F291</f>
        <v/>
      </c>
      <c r="I291" s="8">
        <f>IF(F291=0,0,G291/F291-1)</f>
        <v/>
      </c>
    </row>
    <row r="292">
      <c r="A292" s="6" t="inlineStr">
        <is>
          <t>1000.0000.2213.56000.300</t>
        </is>
      </c>
      <c r="B292" s="6" t="inlineStr">
        <is>
          <t>Supplies</t>
        </is>
      </c>
      <c r="C292" s="24" t="n">
        <v>0</v>
      </c>
      <c r="D292" s="24" t="n">
        <v>0</v>
      </c>
      <c r="E292" s="24" t="n">
        <v>72.41</v>
      </c>
      <c r="F292" s="24" t="n">
        <v>0</v>
      </c>
      <c r="G292" s="24" t="n">
        <v>0</v>
      </c>
      <c r="H292" s="24">
        <f>G292-F292</f>
        <v/>
      </c>
      <c r="I292" s="8">
        <f>IF(F292=0,0,G292/F292-1)</f>
        <v/>
      </c>
    </row>
    <row r="293">
      <c r="A293" s="14" t="n"/>
      <c r="B293" s="28" t="inlineStr">
        <is>
          <t>Program 0000 Total</t>
        </is>
      </c>
      <c r="C293" s="29">
        <f>SUM(C277:C292)</f>
        <v/>
      </c>
      <c r="D293" s="29">
        <f>SUM(D277:D292)</f>
        <v/>
      </c>
      <c r="E293" s="29">
        <f>SUM(E277:E292)</f>
        <v/>
      </c>
      <c r="F293" s="29">
        <f>SUM(F277:F292)</f>
        <v/>
      </c>
      <c r="G293" s="29">
        <f>SUM(G277:G292)</f>
        <v/>
      </c>
      <c r="H293" s="29">
        <f>SUM(H277:H292)</f>
        <v/>
      </c>
      <c r="I293" s="29">
        <f>SUM(I277:I292)</f>
        <v/>
      </c>
    </row>
    <row r="294">
      <c r="A294" s="6" t="inlineStr">
        <is>
          <t>1000.0000.2220.51010.300</t>
        </is>
      </c>
      <c r="B294" s="6" t="inlineStr">
        <is>
          <t>Librarian Salary</t>
        </is>
      </c>
      <c r="C294" s="24" t="n">
        <v>77525.22</v>
      </c>
      <c r="D294" s="24" t="n">
        <v>74880.66</v>
      </c>
      <c r="E294" s="24" t="n">
        <v>77978.58</v>
      </c>
      <c r="F294" s="24" t="n">
        <v>81341</v>
      </c>
      <c r="G294" s="24" t="n">
        <v>84853</v>
      </c>
      <c r="H294" s="24">
        <f>G294-F294</f>
        <v/>
      </c>
      <c r="I294" s="8">
        <f>IF(F294=0,0,G294/F294-1)</f>
        <v/>
      </c>
    </row>
    <row r="295">
      <c r="A295" s="6" t="inlineStr">
        <is>
          <t>1000.0000.2220.51020.300</t>
        </is>
      </c>
      <c r="B295" s="6" t="inlineStr">
        <is>
          <t>Ed Tech Salaries</t>
        </is>
      </c>
      <c r="C295" s="24" t="n">
        <v>14836.94</v>
      </c>
      <c r="D295" s="24" t="n">
        <v>14711.54</v>
      </c>
      <c r="E295" s="24" t="n">
        <v>16575.71</v>
      </c>
      <c r="F295" s="24" t="n">
        <v>22899</v>
      </c>
      <c r="G295" s="24" t="n">
        <v>24227</v>
      </c>
      <c r="H295" s="24">
        <f>G295-F295</f>
        <v/>
      </c>
      <c r="I295" s="8">
        <f>IF(F295=0,0,G295/F295-1)</f>
        <v/>
      </c>
    </row>
    <row r="296">
      <c r="A296" s="6" t="inlineStr">
        <is>
          <t>1000.0000.2220.52010.300</t>
        </is>
      </c>
      <c r="B296" s="6" t="inlineStr">
        <is>
          <t>Librarian Benefits</t>
        </is>
      </c>
      <c r="C296" s="24" t="n">
        <v>15834.88</v>
      </c>
      <c r="D296" s="24" t="n">
        <v>3514</v>
      </c>
      <c r="E296" s="24" t="n">
        <v>15710.12</v>
      </c>
      <c r="F296" s="24" t="n">
        <v>16274</v>
      </c>
      <c r="G296" s="24" t="n">
        <v>10847</v>
      </c>
      <c r="H296" s="24">
        <f>G296-F296</f>
        <v/>
      </c>
      <c r="I296" s="8">
        <f>IF(F296=0,0,G296/F296-1)</f>
        <v/>
      </c>
    </row>
    <row r="297">
      <c r="A297" s="6" t="inlineStr">
        <is>
          <t>1000.0000.2220.52020.300</t>
        </is>
      </c>
      <c r="B297" s="6" t="inlineStr">
        <is>
          <t>Ed Tech Benefits</t>
        </is>
      </c>
      <c r="C297" s="24" t="n">
        <v>4174.01</v>
      </c>
      <c r="D297" s="24" t="n">
        <v>156.34</v>
      </c>
      <c r="E297" s="24" t="n">
        <v>386.66</v>
      </c>
      <c r="F297" s="24" t="n">
        <v>10224</v>
      </c>
      <c r="G297" s="24" t="n">
        <v>11652</v>
      </c>
      <c r="H297" s="24">
        <f>G297-F297</f>
        <v/>
      </c>
      <c r="I297" s="8">
        <f>IF(F297=0,0,G297/F297-1)</f>
        <v/>
      </c>
    </row>
    <row r="298">
      <c r="A298" s="6" t="inlineStr">
        <is>
          <t>1000.0000.2220.52310.300</t>
        </is>
      </c>
      <c r="B298" s="6" t="inlineStr">
        <is>
          <t>Retirement</t>
        </is>
      </c>
      <c r="C298" s="24" t="n">
        <v>2972.84</v>
      </c>
      <c r="D298" s="24" t="n">
        <v>712.38</v>
      </c>
      <c r="E298" s="24" t="n">
        <v>2994.45</v>
      </c>
      <c r="F298" s="24" t="n">
        <v>3383</v>
      </c>
      <c r="G298" s="24" t="n">
        <v>3792</v>
      </c>
      <c r="H298" s="24">
        <f>G298-F298</f>
        <v/>
      </c>
      <c r="I298" s="8">
        <f>IF(F298=0,0,G298/F298-1)</f>
        <v/>
      </c>
    </row>
    <row r="299">
      <c r="A299" s="6" t="inlineStr">
        <is>
          <t>1000.0000.2220.52320.300</t>
        </is>
      </c>
      <c r="B299" s="6" t="inlineStr">
        <is>
          <t>Retirement</t>
        </is>
      </c>
      <c r="C299" s="24" t="n">
        <v>0</v>
      </c>
      <c r="D299" s="24" t="n">
        <v>0</v>
      </c>
      <c r="E299" s="24" t="n">
        <v>0</v>
      </c>
      <c r="F299" s="24" t="n">
        <v>952</v>
      </c>
      <c r="G299" s="24" t="n">
        <v>1170</v>
      </c>
      <c r="H299" s="24">
        <f>G299-F299</f>
        <v/>
      </c>
      <c r="I299" s="8">
        <f>IF(F299=0,0,G299/F299-1)</f>
        <v/>
      </c>
    </row>
    <row r="300">
      <c r="A300" s="6" t="inlineStr">
        <is>
          <t>1000.0000.2220.54330.300</t>
        </is>
      </c>
      <c r="B300" s="6" t="inlineStr">
        <is>
          <t>Software</t>
        </is>
      </c>
      <c r="C300" s="24" t="n">
        <v>1042.5</v>
      </c>
      <c r="D300" s="24" t="n">
        <v>1042.5</v>
      </c>
      <c r="E300" s="24" t="n">
        <v>1060.35</v>
      </c>
      <c r="F300" s="24" t="n">
        <v>2843</v>
      </c>
      <c r="G300" s="24" t="n">
        <v>1129</v>
      </c>
      <c r="H300" s="24">
        <f>G300-F300</f>
        <v/>
      </c>
      <c r="I300" s="8">
        <f>IF(F300=0,0,G300/F300-1)</f>
        <v/>
      </c>
    </row>
    <row r="301">
      <c r="A301" s="6" t="inlineStr">
        <is>
          <t>1000.0000.2220.56000.300</t>
        </is>
      </c>
      <c r="B301" s="6" t="inlineStr">
        <is>
          <t>Supplies</t>
        </is>
      </c>
      <c r="C301" s="24" t="n">
        <v>535.8099999999999</v>
      </c>
      <c r="D301" s="24" t="n">
        <v>802.7</v>
      </c>
      <c r="E301" s="24" t="n">
        <v>1430.17</v>
      </c>
      <c r="F301" s="24" t="n">
        <v>1440</v>
      </c>
      <c r="G301" s="24" t="n">
        <v>0</v>
      </c>
      <c r="H301" s="24">
        <f>G301-F301</f>
        <v/>
      </c>
      <c r="I301" s="8">
        <f>IF(F301=0,0,G301/F301-1)</f>
        <v/>
      </c>
    </row>
    <row r="302">
      <c r="A302" s="6" t="inlineStr">
        <is>
          <t>1000.0000.2220.56100.300</t>
        </is>
      </c>
      <c r="B302" s="6" t="inlineStr">
        <is>
          <t>Instructional Supplies</t>
        </is>
      </c>
      <c r="C302" s="24" t="n">
        <v>0</v>
      </c>
      <c r="D302" s="24" t="n">
        <v>0</v>
      </c>
      <c r="E302" s="24" t="n">
        <v>0</v>
      </c>
      <c r="F302" s="24" t="n">
        <v>0</v>
      </c>
      <c r="G302" s="24" t="n">
        <v>1440</v>
      </c>
      <c r="H302" s="24">
        <f>G302-F302</f>
        <v/>
      </c>
      <c r="I302" s="8">
        <f>IF(F302=0,0,G302/F302-1)</f>
        <v/>
      </c>
    </row>
    <row r="303">
      <c r="A303" s="6" t="inlineStr">
        <is>
          <t>1000.0000.2220.56400.300</t>
        </is>
      </c>
      <c r="B303" s="6" t="inlineStr">
        <is>
          <t>Books</t>
        </is>
      </c>
      <c r="C303" s="24" t="n">
        <v>7489.04</v>
      </c>
      <c r="D303" s="24" t="n">
        <v>12652.08</v>
      </c>
      <c r="E303" s="24" t="n">
        <v>11748.52</v>
      </c>
      <c r="F303" s="24" t="n">
        <v>14141</v>
      </c>
      <c r="G303" s="24" t="n">
        <v>13020</v>
      </c>
      <c r="H303" s="24">
        <f>G303-F303</f>
        <v/>
      </c>
      <c r="I303" s="8">
        <f>IF(F303=0,0,G303/F303-1)</f>
        <v/>
      </c>
    </row>
    <row r="304">
      <c r="A304" s="6" t="inlineStr">
        <is>
          <t>1000.0000.2220.57300.300</t>
        </is>
      </c>
      <c r="B304" s="6" t="inlineStr">
        <is>
          <t>Equipment</t>
        </is>
      </c>
      <c r="C304" s="24" t="n">
        <v>0</v>
      </c>
      <c r="D304" s="24" t="n">
        <v>0</v>
      </c>
      <c r="E304" s="24" t="n">
        <v>0</v>
      </c>
      <c r="F304" s="24" t="n">
        <v>100</v>
      </c>
      <c r="G304" s="24" t="n">
        <v>100</v>
      </c>
      <c r="H304" s="24">
        <f>G304-F304</f>
        <v/>
      </c>
      <c r="I304" s="8">
        <f>IF(F304=0,0,G304/F304-1)</f>
        <v/>
      </c>
    </row>
    <row r="305">
      <c r="A305" s="14" t="n"/>
      <c r="B305" s="28" t="inlineStr">
        <is>
          <t>Program 0000 Total</t>
        </is>
      </c>
      <c r="C305" s="29">
        <f>SUM(C294:C304)</f>
        <v/>
      </c>
      <c r="D305" s="29">
        <f>SUM(D294:D304)</f>
        <v/>
      </c>
      <c r="E305" s="29">
        <f>SUM(E294:E304)</f>
        <v/>
      </c>
      <c r="F305" s="29">
        <f>SUM(F294:F304)</f>
        <v/>
      </c>
      <c r="G305" s="29">
        <f>SUM(G294:G304)</f>
        <v/>
      </c>
      <c r="H305" s="29">
        <f>SUM(H294:H304)</f>
        <v/>
      </c>
      <c r="I305" s="29">
        <f>SUM(I294:I304)</f>
        <v/>
      </c>
    </row>
    <row r="306">
      <c r="A306" s="6" t="inlineStr">
        <is>
          <t>1000.0000.2230.51010.300</t>
        </is>
      </c>
      <c r="B306" s="6" t="inlineStr">
        <is>
          <t>Teacher Salaries</t>
        </is>
      </c>
      <c r="C306" s="24" t="n">
        <v>76135.08</v>
      </c>
      <c r="D306" s="24" t="n">
        <v>16964.5</v>
      </c>
      <c r="E306" s="24" t="n">
        <v>2092.5</v>
      </c>
      <c r="F306" s="24" t="n">
        <v>0</v>
      </c>
      <c r="G306" s="24" t="n">
        <v>0</v>
      </c>
      <c r="H306" s="24">
        <f>G306-F306</f>
        <v/>
      </c>
      <c r="I306" s="8">
        <f>IF(F306=0,0,G306/F306-1)</f>
        <v/>
      </c>
    </row>
    <row r="307">
      <c r="A307" s="6" t="inlineStr">
        <is>
          <t>1000.0000.2230.51180.300</t>
        </is>
      </c>
      <c r="B307" s="6" t="inlineStr">
        <is>
          <t>Support Salaries</t>
        </is>
      </c>
      <c r="C307" s="24" t="n">
        <v>36247.68</v>
      </c>
      <c r="D307" s="24" t="n">
        <v>-1083.73</v>
      </c>
      <c r="E307" s="24" t="n">
        <v>0</v>
      </c>
      <c r="F307" s="24" t="n">
        <v>0</v>
      </c>
      <c r="G307" s="24" t="n">
        <v>0</v>
      </c>
      <c r="H307" s="24">
        <f>G307-F307</f>
        <v/>
      </c>
      <c r="I307" s="8">
        <f>IF(F307=0,0,G307/F307-1)</f>
        <v/>
      </c>
    </row>
    <row r="308">
      <c r="A308" s="6" t="inlineStr">
        <is>
          <t>1000.0000.2230.52000.300</t>
        </is>
      </c>
      <c r="B308" s="6" t="inlineStr">
        <is>
          <t>Teacher Benefits</t>
        </is>
      </c>
      <c r="C308" s="24" t="n">
        <v>0</v>
      </c>
      <c r="D308" s="24" t="n">
        <v>2340.21</v>
      </c>
      <c r="E308" s="24" t="n">
        <v>0</v>
      </c>
      <c r="F308" s="24" t="n">
        <v>0</v>
      </c>
      <c r="G308" s="24" t="n">
        <v>0</v>
      </c>
      <c r="H308" s="24">
        <f>G308-F308</f>
        <v/>
      </c>
      <c r="I308" s="8">
        <f>IF(F308=0,0,G308/F308-1)</f>
        <v/>
      </c>
    </row>
    <row r="309">
      <c r="A309" s="6" t="inlineStr">
        <is>
          <t>1000.0000.2230.52010.300</t>
        </is>
      </c>
      <c r="B309" s="6" t="inlineStr">
        <is>
          <t>Teacher Benefits</t>
        </is>
      </c>
      <c r="C309" s="24" t="n">
        <v>19851.7</v>
      </c>
      <c r="D309" s="24" t="n">
        <v>0</v>
      </c>
      <c r="E309" s="24" t="n">
        <v>295.53</v>
      </c>
      <c r="F309" s="24" t="n">
        <v>0</v>
      </c>
      <c r="G309" s="24" t="n">
        <v>0</v>
      </c>
      <c r="H309" s="24">
        <f>G309-F309</f>
        <v/>
      </c>
      <c r="I309" s="8">
        <f>IF(F309=0,0,G309/F309-1)</f>
        <v/>
      </c>
    </row>
    <row r="310">
      <c r="A310" s="6" t="inlineStr">
        <is>
          <t>1000.0000.2230.52080.300</t>
        </is>
      </c>
      <c r="B310" s="6" t="inlineStr">
        <is>
          <t>SUPPORT BENEFITS</t>
        </is>
      </c>
      <c r="C310" s="24" t="n">
        <v>12879.91</v>
      </c>
      <c r="D310" s="24" t="n">
        <v>-562.4400000000001</v>
      </c>
      <c r="E310" s="24" t="n">
        <v>0</v>
      </c>
      <c r="F310" s="24" t="n">
        <v>0</v>
      </c>
      <c r="G310" s="24" t="n">
        <v>0</v>
      </c>
      <c r="H310" s="24">
        <f>G310-F310</f>
        <v/>
      </c>
      <c r="I310" s="8">
        <f>IF(F310=0,0,G310/F310-1)</f>
        <v/>
      </c>
    </row>
    <row r="311">
      <c r="A311" s="6" t="inlineStr">
        <is>
          <t>1000.0000.2230.52310.300</t>
        </is>
      </c>
      <c r="B311" s="6" t="inlineStr">
        <is>
          <t>Retirement</t>
        </is>
      </c>
      <c r="C311" s="24" t="n">
        <v>3284.95</v>
      </c>
      <c r="D311" s="24" t="n">
        <v>0</v>
      </c>
      <c r="E311" s="24" t="n">
        <v>80.34999999999999</v>
      </c>
      <c r="F311" s="24" t="n">
        <v>0</v>
      </c>
      <c r="G311" s="24" t="n">
        <v>0</v>
      </c>
      <c r="H311" s="24">
        <f>G311-F311</f>
        <v/>
      </c>
      <c r="I311" s="8">
        <f>IF(F311=0,0,G311/F311-1)</f>
        <v/>
      </c>
    </row>
    <row r="312">
      <c r="A312" s="6" t="inlineStr">
        <is>
          <t>1000.0000.2230.54320.300</t>
        </is>
      </c>
      <c r="B312" s="6" t="inlineStr">
        <is>
          <t>Tech Repairs/Maint</t>
        </is>
      </c>
      <c r="C312" s="24" t="n">
        <v>0</v>
      </c>
      <c r="D312" s="24" t="n">
        <v>64.08</v>
      </c>
      <c r="E312" s="24" t="n">
        <v>0</v>
      </c>
      <c r="F312" s="24" t="n">
        <v>0</v>
      </c>
      <c r="G312" s="24" t="n">
        <v>0</v>
      </c>
      <c r="H312" s="24">
        <f>G312-F312</f>
        <v/>
      </c>
      <c r="I312" s="8">
        <f>IF(F312=0,0,G312/F312-1)</f>
        <v/>
      </c>
    </row>
    <row r="313">
      <c r="A313" s="6" t="inlineStr">
        <is>
          <t>1000.0000.2230.56500.300</t>
        </is>
      </c>
      <c r="B313" s="6" t="inlineStr">
        <is>
          <t>Supplies</t>
        </is>
      </c>
      <c r="C313" s="24" t="n">
        <v>0</v>
      </c>
      <c r="D313" s="24" t="n">
        <v>0</v>
      </c>
      <c r="E313" s="24" t="n">
        <v>139.5</v>
      </c>
      <c r="F313" s="24" t="n">
        <v>0</v>
      </c>
      <c r="G313" s="24" t="n">
        <v>0</v>
      </c>
      <c r="H313" s="24">
        <f>G313-F313</f>
        <v/>
      </c>
      <c r="I313" s="8">
        <f>IF(F313=0,0,G313/F313-1)</f>
        <v/>
      </c>
    </row>
    <row r="314">
      <c r="A314" s="6" t="inlineStr">
        <is>
          <t>1000.0000.2230.57340.300</t>
        </is>
      </c>
      <c r="B314" s="6" t="inlineStr">
        <is>
          <t>Equipment</t>
        </is>
      </c>
      <c r="C314" s="24" t="n">
        <v>174162</v>
      </c>
      <c r="D314" s="24" t="n">
        <v>40580.56</v>
      </c>
      <c r="E314" s="24" t="n">
        <v>31087.44</v>
      </c>
      <c r="F314" s="24" t="n">
        <v>0</v>
      </c>
      <c r="G314" s="24" t="n">
        <v>0</v>
      </c>
      <c r="H314" s="24">
        <f>G314-F314</f>
        <v/>
      </c>
      <c r="I314" s="8">
        <f>IF(F314=0,0,G314/F314-1)</f>
        <v/>
      </c>
    </row>
    <row r="315">
      <c r="A315" s="14" t="n"/>
      <c r="B315" s="28" t="inlineStr">
        <is>
          <t>Program 0000 Total</t>
        </is>
      </c>
      <c r="C315" s="29">
        <f>SUM(C306:C314)</f>
        <v/>
      </c>
      <c r="D315" s="29">
        <f>SUM(D306:D314)</f>
        <v/>
      </c>
      <c r="E315" s="29">
        <f>SUM(E306:E314)</f>
        <v/>
      </c>
      <c r="F315" s="29">
        <f>SUM(F306:F314)</f>
        <v/>
      </c>
      <c r="G315" s="29">
        <f>SUM(G306:G314)</f>
        <v/>
      </c>
      <c r="H315" s="29">
        <f>SUM(H306:H314)</f>
        <v/>
      </c>
      <c r="I315" s="29">
        <f>SUM(I306:I314)</f>
        <v/>
      </c>
    </row>
    <row r="316">
      <c r="A316" s="6" t="inlineStr">
        <is>
          <t>1000.0000.2290.51060.300</t>
        </is>
      </c>
      <c r="B316" s="6" t="inlineStr">
        <is>
          <t>Outreach Coordinator Salary</t>
        </is>
      </c>
      <c r="C316" s="24" t="n">
        <v>0</v>
      </c>
      <c r="D316" s="24" t="n">
        <v>0</v>
      </c>
      <c r="E316" s="24" t="n">
        <v>61435.8</v>
      </c>
      <c r="F316" s="24" t="n">
        <v>87674</v>
      </c>
      <c r="G316" s="24" t="n">
        <v>60612</v>
      </c>
      <c r="H316" s="24">
        <f>G316-F316</f>
        <v/>
      </c>
      <c r="I316" s="8">
        <f>IF(F316=0,0,G316/F316-1)</f>
        <v/>
      </c>
    </row>
    <row r="317">
      <c r="A317" s="6" t="inlineStr">
        <is>
          <t>1000.0000.2290.52060.300</t>
        </is>
      </c>
      <c r="B317" s="6" t="inlineStr">
        <is>
          <t>Outreach Coordinator Benefits</t>
        </is>
      </c>
      <c r="C317" s="24" t="n">
        <v>0</v>
      </c>
      <c r="D317" s="24" t="n">
        <v>0</v>
      </c>
      <c r="E317" s="24" t="n">
        <v>26053.33</v>
      </c>
      <c r="F317" s="24" t="n">
        <v>0</v>
      </c>
      <c r="G317" s="24" t="n">
        <v>30095</v>
      </c>
      <c r="H317" s="24">
        <f>G317-F317</f>
        <v/>
      </c>
      <c r="I317" s="8">
        <f>IF(F317=0,0,G317/F317-1)</f>
        <v/>
      </c>
    </row>
    <row r="318">
      <c r="A318" s="14" t="n"/>
      <c r="B318" s="28" t="inlineStr">
        <is>
          <t>Program 0000 Total</t>
        </is>
      </c>
      <c r="C318" s="29">
        <f>SUM(C316:C317)</f>
        <v/>
      </c>
      <c r="D318" s="29">
        <f>SUM(D316:D317)</f>
        <v/>
      </c>
      <c r="E318" s="29">
        <f>SUM(E316:E317)</f>
        <v/>
      </c>
      <c r="F318" s="29">
        <f>SUM(F316:F317)</f>
        <v/>
      </c>
      <c r="G318" s="29">
        <f>SUM(G316:G317)</f>
        <v/>
      </c>
      <c r="H318" s="29">
        <f>SUM(H316:H317)</f>
        <v/>
      </c>
      <c r="I318" s="29">
        <f>SUM(I316:I317)</f>
        <v/>
      </c>
    </row>
    <row r="319">
      <c r="A319" s="14" t="n"/>
      <c r="B319" s="17" t="inlineStr">
        <is>
          <t>Cost Center ('300',) Total</t>
        </is>
      </c>
      <c r="C319" s="32">
        <f>C253+C266+C276+C293+C305+C315+C318</f>
        <v/>
      </c>
      <c r="D319" s="32">
        <f>D253+D266+D276+D293+D305+D315+D318</f>
        <v/>
      </c>
      <c r="E319" s="32">
        <f>E253+E266+E276+E293+E305+E315+E318</f>
        <v/>
      </c>
      <c r="F319" s="32">
        <f>F253+F266+F276+F293+F305+F315+F318</f>
        <v/>
      </c>
      <c r="G319" s="32">
        <f>G253+G266+G276+G293+G305+G315+G318</f>
        <v/>
      </c>
      <c r="H319" s="32">
        <f>H253+H266+H276+H293+H305+H315+H318</f>
        <v/>
      </c>
      <c r="I319" s="32">
        <f>I253+I266+I276+I293+I305+I315+I318</f>
        <v/>
      </c>
    </row>
    <row r="321">
      <c r="A321" s="3" t="inlineStr">
        <is>
          <t>Cost Center: ('900',)</t>
        </is>
      </c>
    </row>
    <row r="322">
      <c r="A322" s="6" t="inlineStr">
        <is>
          <t>1000.0000.2130.51500.900</t>
        </is>
      </c>
      <c r="B322" s="6" t="inlineStr">
        <is>
          <t>Doctor-Consulting Physician-Stipend</t>
        </is>
      </c>
      <c r="C322" s="24" t="n">
        <v>0</v>
      </c>
      <c r="D322" s="24" t="n">
        <v>0</v>
      </c>
      <c r="E322" s="24" t="n">
        <v>0</v>
      </c>
      <c r="F322" s="24" t="n">
        <v>0</v>
      </c>
      <c r="G322" s="24" t="n">
        <v>1500</v>
      </c>
      <c r="H322" s="24">
        <f>G322-F322</f>
        <v/>
      </c>
      <c r="I322" s="8">
        <f>IF(F322=0,0,G322/F322-1)</f>
        <v/>
      </c>
    </row>
    <row r="323">
      <c r="A323" s="6" t="inlineStr">
        <is>
          <t>1000.0000.2130.52000.900</t>
        </is>
      </c>
      <c r="B323" s="6" t="inlineStr">
        <is>
          <t>Doctor</t>
        </is>
      </c>
      <c r="C323" s="24" t="n">
        <v>0</v>
      </c>
      <c r="D323" s="24" t="n">
        <v>0</v>
      </c>
      <c r="E323" s="24" t="n">
        <v>0</v>
      </c>
      <c r="F323" s="24" t="n">
        <v>0</v>
      </c>
      <c r="G323" s="24" t="n">
        <v>27</v>
      </c>
      <c r="H323" s="24">
        <f>G323-F323</f>
        <v/>
      </c>
      <c r="I323" s="8">
        <f>IF(F323=0,0,G323/F323-1)</f>
        <v/>
      </c>
    </row>
    <row r="324">
      <c r="A324" s="6" t="inlineStr">
        <is>
          <t>1000.0000.2130.53000.900</t>
        </is>
      </c>
      <c r="B324" s="6" t="inlineStr">
        <is>
          <t>Purchased Professional-District Wide $0.00</t>
        </is>
      </c>
      <c r="C324" s="24" t="n">
        <v>0</v>
      </c>
      <c r="D324" s="24" t="n">
        <v>0</v>
      </c>
      <c r="E324" s="24" t="n">
        <v>0</v>
      </c>
      <c r="F324" s="24" t="n">
        <v>1000</v>
      </c>
      <c r="G324" s="24" t="n">
        <v>1000</v>
      </c>
      <c r="H324" s="24">
        <f>G324-F324</f>
        <v/>
      </c>
      <c r="I324" s="8">
        <f>IF(F324=0,0,G324/F324-1)</f>
        <v/>
      </c>
    </row>
    <row r="325">
      <c r="A325" s="6" t="inlineStr">
        <is>
          <t>1000.0000.2130.56000.900</t>
        </is>
      </c>
      <c r="B325" s="6" t="inlineStr">
        <is>
          <t>Supplies - District Wide</t>
        </is>
      </c>
      <c r="C325" s="24" t="n">
        <v>0</v>
      </c>
      <c r="D325" s="24" t="n">
        <v>0</v>
      </c>
      <c r="E325" s="24" t="n">
        <v>0</v>
      </c>
      <c r="F325" s="24" t="n">
        <v>0</v>
      </c>
      <c r="G325" s="24" t="n">
        <v>1200</v>
      </c>
      <c r="H325" s="24">
        <f>G325-F325</f>
        <v/>
      </c>
      <c r="I325" s="8">
        <f>IF(F325=0,0,G325/F325-1)</f>
        <v/>
      </c>
    </row>
    <row r="326">
      <c r="A326" s="14" t="n"/>
      <c r="B326" s="28" t="inlineStr">
        <is>
          <t>Program 0000 Total</t>
        </is>
      </c>
      <c r="C326" s="29">
        <f>SUM(C322:C325)</f>
        <v/>
      </c>
      <c r="D326" s="29">
        <f>SUM(D322:D325)</f>
        <v/>
      </c>
      <c r="E326" s="29">
        <f>SUM(E322:E325)</f>
        <v/>
      </c>
      <c r="F326" s="29">
        <f>SUM(F322:F325)</f>
        <v/>
      </c>
      <c r="G326" s="29">
        <f>SUM(G322:G325)</f>
        <v/>
      </c>
      <c r="H326" s="29">
        <f>SUM(H322:H325)</f>
        <v/>
      </c>
      <c r="I326" s="29">
        <f>SUM(I322:I325)</f>
        <v/>
      </c>
    </row>
    <row r="327">
      <c r="A327" s="6" t="inlineStr">
        <is>
          <t>1000.0000.2210.51040.900</t>
        </is>
      </c>
      <c r="B327" s="6" t="inlineStr">
        <is>
          <t>Curriculum Director Salary</t>
        </is>
      </c>
      <c r="C327" s="24" t="n">
        <v>72190.82000000001</v>
      </c>
      <c r="D327" s="24" t="n">
        <v>77949.57000000001</v>
      </c>
      <c r="E327" s="24" t="n">
        <v>77331.06</v>
      </c>
      <c r="F327" s="24" t="n">
        <v>80135</v>
      </c>
      <c r="G327" s="24" t="n">
        <v>79651</v>
      </c>
      <c r="H327" s="24">
        <f>G327-F327</f>
        <v/>
      </c>
      <c r="I327" s="8">
        <f>IF(F327=0,0,G327/F327-1)</f>
        <v/>
      </c>
    </row>
    <row r="328">
      <c r="A328" s="6" t="inlineStr">
        <is>
          <t>1000.0000.2210.52040.900</t>
        </is>
      </c>
      <c r="B328" s="6" t="inlineStr">
        <is>
          <t>Curriculum Director Benefits</t>
        </is>
      </c>
      <c r="C328" s="24" t="n">
        <v>12380.74</v>
      </c>
      <c r="D328" s="24" t="n">
        <v>11635.05</v>
      </c>
      <c r="E328" s="24" t="n">
        <v>12298.57</v>
      </c>
      <c r="F328" s="24" t="n">
        <v>17739</v>
      </c>
      <c r="G328" s="24" t="n">
        <v>19079</v>
      </c>
      <c r="H328" s="24">
        <f>G328-F328</f>
        <v/>
      </c>
      <c r="I328" s="8">
        <f>IF(F328=0,0,G328/F328-1)</f>
        <v/>
      </c>
    </row>
    <row r="329">
      <c r="A329" s="6" t="inlineStr">
        <is>
          <t>1000.0000.2210.52340.900</t>
        </is>
      </c>
      <c r="B329" s="6" t="inlineStr">
        <is>
          <t>Retirement</t>
        </is>
      </c>
      <c r="C329" s="24" t="n">
        <v>3003.26</v>
      </c>
      <c r="D329" s="24" t="n">
        <v>1196.6</v>
      </c>
      <c r="E329" s="24" t="n">
        <v>2969.47</v>
      </c>
      <c r="F329" s="24" t="n">
        <v>3345</v>
      </c>
      <c r="G329" s="24" t="n">
        <v>3703</v>
      </c>
      <c r="H329" s="24">
        <f>G329-F329</f>
        <v/>
      </c>
      <c r="I329" s="8">
        <f>IF(F329=0,0,G329/F329-1)</f>
        <v/>
      </c>
    </row>
    <row r="330">
      <c r="A330" s="6" t="inlineStr">
        <is>
          <t>1000.0000.2210.53000.900</t>
        </is>
      </c>
      <c r="B330" s="6" t="inlineStr">
        <is>
          <t>Purchased Professional</t>
        </is>
      </c>
      <c r="C330" s="24" t="n">
        <v>0</v>
      </c>
      <c r="D330" s="24" t="n">
        <v>150</v>
      </c>
      <c r="E330" s="24" t="n">
        <v>14229</v>
      </c>
      <c r="F330" s="24" t="n">
        <v>8000</v>
      </c>
      <c r="G330" s="24" t="n">
        <v>10000</v>
      </c>
      <c r="H330" s="24">
        <f>G330-F330</f>
        <v/>
      </c>
      <c r="I330" s="8">
        <f>IF(F330=0,0,G330/F330-1)</f>
        <v/>
      </c>
    </row>
    <row r="331">
      <c r="A331" s="6" t="inlineStr">
        <is>
          <t>1000.0000.2210.55810.900</t>
        </is>
      </c>
      <c r="B331" s="6" t="inlineStr">
        <is>
          <t>Travel</t>
        </is>
      </c>
      <c r="C331" s="24" t="n">
        <v>0</v>
      </c>
      <c r="D331" s="24" t="n">
        <v>0</v>
      </c>
      <c r="E331" s="24" t="n">
        <v>0</v>
      </c>
      <c r="F331" s="24" t="n">
        <v>700</v>
      </c>
      <c r="G331" s="24" t="n">
        <v>700</v>
      </c>
      <c r="H331" s="24">
        <f>G331-F331</f>
        <v/>
      </c>
      <c r="I331" s="8">
        <f>IF(F331=0,0,G331/F331-1)</f>
        <v/>
      </c>
    </row>
    <row r="332">
      <c r="A332" s="6" t="inlineStr">
        <is>
          <t>1000.0000.2210.56400.900</t>
        </is>
      </c>
      <c r="B332" s="6" t="inlineStr">
        <is>
          <t>Curriculum Materials</t>
        </is>
      </c>
      <c r="C332" s="24" t="n">
        <v>24572.76</v>
      </c>
      <c r="D332" s="24" t="n">
        <v>25445.12</v>
      </c>
      <c r="E332" s="24" t="n">
        <v>12851.94</v>
      </c>
      <c r="F332" s="24" t="n">
        <v>50000</v>
      </c>
      <c r="G332" s="24" t="n">
        <v>50000</v>
      </c>
      <c r="H332" s="24">
        <f>G332-F332</f>
        <v/>
      </c>
      <c r="I332" s="8">
        <f>IF(F332=0,0,G332/F332-1)</f>
        <v/>
      </c>
    </row>
    <row r="333">
      <c r="A333" s="6" t="inlineStr">
        <is>
          <t>1000.0000.2210.58100.900</t>
        </is>
      </c>
      <c r="B333" s="6" t="inlineStr">
        <is>
          <t>Dues &amp; Fees</t>
        </is>
      </c>
      <c r="C333" s="24" t="n">
        <v>1219</v>
      </c>
      <c r="D333" s="24" t="n">
        <v>524</v>
      </c>
      <c r="E333" s="24" t="n">
        <v>524</v>
      </c>
      <c r="F333" s="24" t="n">
        <v>1000</v>
      </c>
      <c r="G333" s="24" t="n">
        <v>239</v>
      </c>
      <c r="H333" s="24">
        <f>G333-F333</f>
        <v/>
      </c>
      <c r="I333" s="8">
        <f>IF(F333=0,0,G333/F333-1)</f>
        <v/>
      </c>
    </row>
    <row r="334">
      <c r="A334" s="14" t="n"/>
      <c r="B334" s="28" t="inlineStr">
        <is>
          <t>Program 0000 Total</t>
        </is>
      </c>
      <c r="C334" s="29">
        <f>SUM(C327:C333)</f>
        <v/>
      </c>
      <c r="D334" s="29">
        <f>SUM(D327:D333)</f>
        <v/>
      </c>
      <c r="E334" s="29">
        <f>SUM(E327:E333)</f>
        <v/>
      </c>
      <c r="F334" s="29">
        <f>SUM(F327:F333)</f>
        <v/>
      </c>
      <c r="G334" s="29">
        <f>SUM(G327:G333)</f>
        <v/>
      </c>
      <c r="H334" s="29">
        <f>SUM(H327:H333)</f>
        <v/>
      </c>
      <c r="I334" s="29">
        <f>SUM(I327:I333)</f>
        <v/>
      </c>
    </row>
    <row r="335">
      <c r="A335" s="6" t="inlineStr">
        <is>
          <t>1000.0000.2230.51040.900</t>
        </is>
      </c>
      <c r="B335" s="6" t="inlineStr">
        <is>
          <t>Technology Director Salary</t>
        </is>
      </c>
      <c r="C335" s="24" t="n">
        <v>88394.06</v>
      </c>
      <c r="D335" s="24" t="n">
        <v>124325.64</v>
      </c>
      <c r="E335" s="24" t="n">
        <v>93155.46000000001</v>
      </c>
      <c r="F335" s="24" t="n">
        <v>98561</v>
      </c>
      <c r="G335" s="24" t="n">
        <v>100457</v>
      </c>
      <c r="H335" s="24">
        <f>G335-F335</f>
        <v/>
      </c>
      <c r="I335" s="8">
        <f>IF(F335=0,0,G335/F335-1)</f>
        <v/>
      </c>
    </row>
    <row r="336">
      <c r="A336" s="6" t="inlineStr">
        <is>
          <t>1000.0000.2230.51180.900</t>
        </is>
      </c>
      <c r="B336" s="6" t="inlineStr">
        <is>
          <t>Support Wages</t>
        </is>
      </c>
      <c r="C336" s="24" t="n">
        <v>107178.33</v>
      </c>
      <c r="D336" s="24" t="n">
        <v>222625.57</v>
      </c>
      <c r="E336" s="24" t="n">
        <v>274656.06</v>
      </c>
      <c r="F336" s="24" t="n">
        <v>289015</v>
      </c>
      <c r="G336" s="24" t="n">
        <v>291790</v>
      </c>
      <c r="H336" s="24">
        <f>G336-F336</f>
        <v/>
      </c>
      <c r="I336" s="8">
        <f>IF(F336=0,0,G336/F336-1)</f>
        <v/>
      </c>
    </row>
    <row r="337">
      <c r="A337" s="6" t="inlineStr">
        <is>
          <t>1000.0000.2230.52040.900</t>
        </is>
      </c>
      <c r="B337" s="6" t="inlineStr">
        <is>
          <t>Benefits</t>
        </is>
      </c>
      <c r="C337" s="24" t="n">
        <v>15881.16</v>
      </c>
      <c r="D337" s="24" t="n">
        <v>4259.03</v>
      </c>
      <c r="E337" s="24" t="n">
        <v>21746.93</v>
      </c>
      <c r="F337" s="24" t="n">
        <v>34412</v>
      </c>
      <c r="G337" s="24" t="n">
        <v>30301</v>
      </c>
      <c r="H337" s="24">
        <f>G337-F337</f>
        <v/>
      </c>
      <c r="I337" s="8">
        <f>IF(F337=0,0,G337/F337-1)</f>
        <v/>
      </c>
    </row>
    <row r="338">
      <c r="A338" s="6" t="inlineStr">
        <is>
          <t>1000.0000.2230.52080.900</t>
        </is>
      </c>
      <c r="B338" s="6" t="inlineStr">
        <is>
          <t>Benefits</t>
        </is>
      </c>
      <c r="C338" s="24" t="n">
        <v>33123.77</v>
      </c>
      <c r="D338" s="24" t="n">
        <v>56048.18</v>
      </c>
      <c r="E338" s="24" t="n">
        <v>93845.49000000001</v>
      </c>
      <c r="F338" s="24" t="n">
        <v>129643</v>
      </c>
      <c r="G338" s="24" t="n">
        <v>104192</v>
      </c>
      <c r="H338" s="24">
        <f>G338-F338</f>
        <v/>
      </c>
      <c r="I338" s="8">
        <f>IF(F338=0,0,G338/F338-1)</f>
        <v/>
      </c>
    </row>
    <row r="339">
      <c r="A339" s="6" t="inlineStr">
        <is>
          <t>1000.0000.2230.52340.900</t>
        </is>
      </c>
      <c r="B339" s="6" t="inlineStr">
        <is>
          <t>Retirement</t>
        </is>
      </c>
      <c r="C339" s="24" t="n">
        <v>0</v>
      </c>
      <c r="D339" s="24" t="n">
        <v>0</v>
      </c>
      <c r="E339" s="24" t="n">
        <v>4831.18</v>
      </c>
      <c r="F339" s="24" t="n">
        <v>4100</v>
      </c>
      <c r="G339" s="24" t="n">
        <v>10554</v>
      </c>
      <c r="H339" s="24">
        <f>G339-F339</f>
        <v/>
      </c>
      <c r="I339" s="8">
        <f>IF(F339=0,0,G339/F339-1)</f>
        <v/>
      </c>
    </row>
    <row r="340">
      <c r="A340" s="6" t="inlineStr">
        <is>
          <t>1000.0000.2230.52380.900</t>
        </is>
      </c>
      <c r="B340" s="6" t="inlineStr">
        <is>
          <t>Retirement</t>
        </is>
      </c>
      <c r="C340" s="24" t="n">
        <v>0</v>
      </c>
      <c r="D340" s="24" t="n">
        <v>0</v>
      </c>
      <c r="E340" s="24" t="n">
        <v>6798.32</v>
      </c>
      <c r="F340" s="24" t="n">
        <v>0</v>
      </c>
      <c r="G340" s="24" t="n">
        <v>7395</v>
      </c>
      <c r="H340" s="24">
        <f>G340-F340</f>
        <v/>
      </c>
      <c r="I340" s="8">
        <f>IF(F340=0,0,G340/F340-1)</f>
        <v/>
      </c>
    </row>
    <row r="341">
      <c r="A341" s="6" t="inlineStr">
        <is>
          <t>1000.0000.2230.53000.900</t>
        </is>
      </c>
      <c r="B341" s="6" t="inlineStr">
        <is>
          <t>Purchased Professional</t>
        </is>
      </c>
      <c r="C341" s="24" t="n">
        <v>4671.35</v>
      </c>
      <c r="D341" s="24" t="n">
        <v>1949</v>
      </c>
      <c r="E341" s="24" t="n">
        <v>4166</v>
      </c>
      <c r="F341" s="24" t="n">
        <v>7952</v>
      </c>
      <c r="G341" s="24" t="n">
        <v>3572</v>
      </c>
      <c r="H341" s="24">
        <f>G341-F341</f>
        <v/>
      </c>
      <c r="I341" s="8">
        <f>IF(F341=0,0,G341/F341-1)</f>
        <v/>
      </c>
    </row>
    <row r="342">
      <c r="A342" s="6" t="inlineStr">
        <is>
          <t>1000.0000.2230.54320.900</t>
        </is>
      </c>
      <c r="B342" s="6" t="inlineStr">
        <is>
          <t>Tech Repairs/Maintenance</t>
        </is>
      </c>
      <c r="C342" s="24" t="n">
        <v>0</v>
      </c>
      <c r="D342" s="24" t="n">
        <v>5230.58</v>
      </c>
      <c r="E342" s="24" t="n">
        <v>63.6</v>
      </c>
      <c r="F342" s="24" t="n">
        <v>0</v>
      </c>
      <c r="G342" s="24" t="n">
        <v>5500</v>
      </c>
      <c r="H342" s="24">
        <f>G342-F342</f>
        <v/>
      </c>
      <c r="I342" s="8">
        <f>IF(F342=0,0,G342/F342-1)</f>
        <v/>
      </c>
    </row>
    <row r="343">
      <c r="A343" s="6" t="inlineStr">
        <is>
          <t>1000.0000.2230.54330.900</t>
        </is>
      </c>
      <c r="B343" s="6" t="inlineStr">
        <is>
          <t>Software</t>
        </is>
      </c>
      <c r="C343" s="24" t="n">
        <v>0</v>
      </c>
      <c r="D343" s="24" t="n">
        <v>1168.54</v>
      </c>
      <c r="E343" s="24" t="n">
        <v>849.95</v>
      </c>
      <c r="F343" s="24" t="n">
        <v>1200</v>
      </c>
      <c r="G343" s="24" t="n">
        <v>500</v>
      </c>
      <c r="H343" s="24">
        <f>G343-F343</f>
        <v/>
      </c>
      <c r="I343" s="8">
        <f>IF(F343=0,0,G343/F343-1)</f>
        <v/>
      </c>
    </row>
    <row r="344">
      <c r="A344" s="6" t="inlineStr">
        <is>
          <t>1000.0000.2230.54432.900</t>
        </is>
      </c>
      <c r="B344" s="6" t="inlineStr">
        <is>
          <t>SOFTWARE LICENCE/RENTAL</t>
        </is>
      </c>
      <c r="C344" s="24" t="n">
        <v>0</v>
      </c>
      <c r="D344" s="24" t="n">
        <v>2640</v>
      </c>
      <c r="E344" s="24" t="n">
        <v>0</v>
      </c>
      <c r="F344" s="24" t="n">
        <v>0</v>
      </c>
      <c r="G344" s="24" t="n">
        <v>0</v>
      </c>
      <c r="H344" s="24">
        <f>G344-F344</f>
        <v/>
      </c>
      <c r="I344" s="8">
        <f>IF(F344=0,0,G344/F344-1)</f>
        <v/>
      </c>
    </row>
    <row r="345">
      <c r="A345" s="6" t="inlineStr">
        <is>
          <t>1000.0000.2230.55000.900</t>
        </is>
      </c>
      <c r="B345" s="6" t="inlineStr">
        <is>
          <t>Other Purchased Services</t>
        </is>
      </c>
      <c r="C345" s="24" t="n">
        <v>27651.73</v>
      </c>
      <c r="D345" s="24" t="n">
        <v>23787.93</v>
      </c>
      <c r="E345" s="24" t="n">
        <v>39954.58</v>
      </c>
      <c r="F345" s="24" t="n">
        <v>51593</v>
      </c>
      <c r="G345" s="24" t="n">
        <v>39726</v>
      </c>
      <c r="H345" s="24">
        <f>G345-F345</f>
        <v/>
      </c>
      <c r="I345" s="8">
        <f>IF(F345=0,0,G345/F345-1)</f>
        <v/>
      </c>
    </row>
    <row r="346">
      <c r="A346" s="6" t="inlineStr">
        <is>
          <t>1000.0000.2230.55200.900</t>
        </is>
      </c>
      <c r="B346" s="6" t="inlineStr">
        <is>
          <t>Insurance (P&amp;C)</t>
        </is>
      </c>
      <c r="C346" s="24" t="n">
        <v>0</v>
      </c>
      <c r="D346" s="24" t="n">
        <v>0</v>
      </c>
      <c r="E346" s="24" t="n">
        <v>0</v>
      </c>
      <c r="F346" s="24" t="n">
        <v>9100</v>
      </c>
      <c r="G346" s="24" t="n">
        <v>26874</v>
      </c>
      <c r="H346" s="24">
        <f>G346-F346</f>
        <v/>
      </c>
      <c r="I346" s="8">
        <f>IF(F346=0,0,G346/F346-1)</f>
        <v/>
      </c>
    </row>
    <row r="347">
      <c r="A347" s="6" t="inlineStr">
        <is>
          <t>1000.0000.2230.55800.900</t>
        </is>
      </c>
      <c r="B347" s="6" t="inlineStr">
        <is>
          <t>Travel</t>
        </is>
      </c>
      <c r="C347" s="24" t="n">
        <v>1438.8</v>
      </c>
      <c r="D347" s="24" t="n">
        <v>0</v>
      </c>
      <c r="E347" s="24" t="n">
        <v>41.44</v>
      </c>
      <c r="F347" s="24" t="n">
        <v>7530</v>
      </c>
      <c r="G347" s="24" t="n">
        <v>5000</v>
      </c>
      <c r="H347" s="24">
        <f>G347-F347</f>
        <v/>
      </c>
      <c r="I347" s="8">
        <f>IF(F347=0,0,G347/F347-1)</f>
        <v/>
      </c>
    </row>
    <row r="348">
      <c r="A348" s="6" t="inlineStr">
        <is>
          <t>1000.0000.2230.56500.900</t>
        </is>
      </c>
      <c r="B348" s="6" t="inlineStr">
        <is>
          <t>Computer Materials</t>
        </is>
      </c>
      <c r="C348" s="24" t="n">
        <v>0</v>
      </c>
      <c r="D348" s="24" t="n">
        <v>4026.04</v>
      </c>
      <c r="E348" s="24" t="n">
        <v>11878.92</v>
      </c>
      <c r="F348" s="24" t="n">
        <v>6000</v>
      </c>
      <c r="G348" s="24" t="n">
        <v>7500</v>
      </c>
      <c r="H348" s="24">
        <f>G348-F348</f>
        <v/>
      </c>
      <c r="I348" s="8">
        <f>IF(F348=0,0,G348/F348-1)</f>
        <v/>
      </c>
    </row>
    <row r="349">
      <c r="A349" s="6" t="inlineStr">
        <is>
          <t>1000.0000.2230.57340.900</t>
        </is>
      </c>
      <c r="B349" s="6" t="inlineStr">
        <is>
          <t>EQUIPMENT</t>
        </is>
      </c>
      <c r="C349" s="24" t="n">
        <v>280132.32</v>
      </c>
      <c r="D349" s="24" t="n">
        <v>57736.36</v>
      </c>
      <c r="E349" s="24" t="n">
        <v>223302.01</v>
      </c>
      <c r="F349" s="24" t="n">
        <v>244641.22</v>
      </c>
      <c r="G349" s="24" t="n">
        <v>247000</v>
      </c>
      <c r="H349" s="24">
        <f>G349-F349</f>
        <v/>
      </c>
      <c r="I349" s="8">
        <f>IF(F349=0,0,G349/F349-1)</f>
        <v/>
      </c>
    </row>
    <row r="350">
      <c r="A350" s="6" t="inlineStr">
        <is>
          <t>1000.0000.2230.58100.900</t>
        </is>
      </c>
      <c r="B350" s="6" t="inlineStr">
        <is>
          <t>Dues and Fees</t>
        </is>
      </c>
      <c r="C350" s="24" t="n">
        <v>0</v>
      </c>
      <c r="D350" s="24" t="n">
        <v>170</v>
      </c>
      <c r="E350" s="24" t="n">
        <v>150</v>
      </c>
      <c r="F350" s="24" t="n">
        <v>150</v>
      </c>
      <c r="G350" s="24" t="n">
        <v>150</v>
      </c>
      <c r="H350" s="24">
        <f>G350-F350</f>
        <v/>
      </c>
      <c r="I350" s="8">
        <f>IF(F350=0,0,G350/F350-1)</f>
        <v/>
      </c>
    </row>
    <row r="351">
      <c r="A351" s="14" t="n"/>
      <c r="B351" s="28" t="inlineStr">
        <is>
          <t>Program 0000 Total</t>
        </is>
      </c>
      <c r="C351" s="29">
        <f>SUM(C335:C350)</f>
        <v/>
      </c>
      <c r="D351" s="29">
        <f>SUM(D335:D350)</f>
        <v/>
      </c>
      <c r="E351" s="29">
        <f>SUM(E335:E350)</f>
        <v/>
      </c>
      <c r="F351" s="29">
        <f>SUM(F335:F350)</f>
        <v/>
      </c>
      <c r="G351" s="29">
        <f>SUM(G335:G350)</f>
        <v/>
      </c>
      <c r="H351" s="29">
        <f>SUM(H335:H350)</f>
        <v/>
      </c>
      <c r="I351" s="29">
        <f>SUM(I335:I350)</f>
        <v/>
      </c>
    </row>
    <row r="352">
      <c r="A352" s="6" t="inlineStr">
        <is>
          <t>1000.0000.2240.53000.900</t>
        </is>
      </c>
      <c r="B352" s="6" t="inlineStr">
        <is>
          <t>Purchased Professional - Assessment$17,100.00</t>
        </is>
      </c>
      <c r="C352" s="24" t="n">
        <v>4762.5</v>
      </c>
      <c r="D352" s="24" t="n">
        <v>3750</v>
      </c>
      <c r="E352" s="24" t="n">
        <v>5616</v>
      </c>
      <c r="F352" s="24" t="n">
        <v>3875</v>
      </c>
      <c r="G352" s="24" t="n">
        <v>-1741</v>
      </c>
      <c r="H352" s="24">
        <f>G352-F352</f>
        <v/>
      </c>
      <c r="I352" s="8">
        <f>IF(F352=0,0,G352/F352-1)</f>
        <v/>
      </c>
    </row>
    <row r="353">
      <c r="A353" s="14" t="n"/>
      <c r="B353" s="17" t="inlineStr">
        <is>
          <t>Cost Center ('900',) Total</t>
        </is>
      </c>
      <c r="C353" s="32">
        <f>C326+C334+C351</f>
        <v/>
      </c>
      <c r="D353" s="32">
        <f>D326+D334+D351</f>
        <v/>
      </c>
      <c r="E353" s="32">
        <f>E326+E334+E351</f>
        <v/>
      </c>
      <c r="F353" s="32">
        <f>F326+F334+F351</f>
        <v/>
      </c>
      <c r="G353" s="32">
        <f>G326+G334+G351</f>
        <v/>
      </c>
      <c r="H353" s="32">
        <f>H326+H334+H351</f>
        <v/>
      </c>
      <c r="I353" s="32">
        <f>I326+I334+I351</f>
        <v/>
      </c>
    </row>
    <row r="355">
      <c r="A355" s="3" t="inlineStr">
        <is>
          <t>Cost Center: ('950',)</t>
        </is>
      </c>
    </row>
    <row r="356">
      <c r="A356" s="6" t="inlineStr">
        <is>
          <t>1000.0000.2213.51010.950</t>
        </is>
      </c>
      <c r="B356" s="6" t="inlineStr">
        <is>
          <t>K-8 HONORARIUM</t>
        </is>
      </c>
      <c r="C356" s="24" t="n">
        <v>5049.52</v>
      </c>
      <c r="D356" s="24" t="n">
        <v>59.92</v>
      </c>
      <c r="E356" s="24" t="n">
        <v>23253.95</v>
      </c>
      <c r="F356" s="24" t="n">
        <v>15000</v>
      </c>
      <c r="G356" s="24" t="n">
        <v>17010</v>
      </c>
      <c r="H356" s="24">
        <f>G356-F356</f>
        <v/>
      </c>
      <c r="I356" s="8">
        <f>IF(F356=0,0,G356/F356-1)</f>
        <v/>
      </c>
    </row>
    <row r="357">
      <c r="A357" s="6" t="inlineStr">
        <is>
          <t>1000.0000.2213.51230.950</t>
        </is>
      </c>
      <c r="B357" s="6" t="inlineStr">
        <is>
          <t>Substitutes</t>
        </is>
      </c>
      <c r="C357" s="24" t="n">
        <v>0</v>
      </c>
      <c r="D357" s="24" t="n">
        <v>0</v>
      </c>
      <c r="E357" s="24" t="n">
        <v>0</v>
      </c>
      <c r="F357" s="24" t="n">
        <v>5000</v>
      </c>
      <c r="G357" s="24" t="n">
        <v>0</v>
      </c>
      <c r="H357" s="24">
        <f>G357-F357</f>
        <v/>
      </c>
      <c r="I357" s="8">
        <f>IF(F357=0,0,G357/F357-1)</f>
        <v/>
      </c>
    </row>
    <row r="358">
      <c r="A358" s="6" t="inlineStr">
        <is>
          <t>1000.0000.2213.51500.950</t>
        </is>
      </c>
      <c r="B358" s="6" t="inlineStr">
        <is>
          <t>New Educator Mentors K-8</t>
        </is>
      </c>
      <c r="C358" s="24" t="n">
        <v>103090.45</v>
      </c>
      <c r="D358" s="24" t="n">
        <v>127809.75</v>
      </c>
      <c r="E358" s="24" t="n">
        <v>8904</v>
      </c>
      <c r="F358" s="24" t="n">
        <v>38384</v>
      </c>
      <c r="G358" s="24" t="n">
        <v>23265</v>
      </c>
      <c r="H358" s="24">
        <f>G358-F358</f>
        <v/>
      </c>
      <c r="I358" s="8">
        <f>IF(F358=0,0,G358/F358-1)</f>
        <v/>
      </c>
    </row>
    <row r="359">
      <c r="A359" s="6" t="inlineStr">
        <is>
          <t>1000.0000.2213.52000.950</t>
        </is>
      </c>
      <c r="B359" s="6" t="inlineStr">
        <is>
          <t>Stipend Benefits - K-8</t>
        </is>
      </c>
      <c r="C359" s="24" t="n">
        <v>565.46</v>
      </c>
      <c r="D359" s="24" t="n">
        <v>79.34</v>
      </c>
      <c r="E359" s="24" t="n">
        <v>333.48</v>
      </c>
      <c r="F359" s="24" t="n">
        <v>1919</v>
      </c>
      <c r="G359" s="24" t="n">
        <v>1919</v>
      </c>
      <c r="H359" s="24">
        <f>G359-F359</f>
        <v/>
      </c>
      <c r="I359" s="8">
        <f>IF(F359=0,0,G359/F359-1)</f>
        <v/>
      </c>
    </row>
    <row r="360">
      <c r="A360" s="6" t="inlineStr">
        <is>
          <t>1000.0000.2213.52010.950</t>
        </is>
      </c>
      <c r="B360" s="6" t="inlineStr">
        <is>
          <t>K-8 HONORARIUM BENEFITS</t>
        </is>
      </c>
      <c r="C360" s="24" t="n">
        <v>1863.98</v>
      </c>
      <c r="D360" s="24" t="n">
        <v>0</v>
      </c>
      <c r="E360" s="24" t="n">
        <v>11243.54</v>
      </c>
      <c r="F360" s="24" t="n">
        <v>750</v>
      </c>
      <c r="G360" s="24" t="n">
        <v>750</v>
      </c>
      <c r="H360" s="24">
        <f>G360-F360</f>
        <v/>
      </c>
      <c r="I360" s="8">
        <f>IF(F360=0,0,G360/F360-1)</f>
        <v/>
      </c>
    </row>
    <row r="361">
      <c r="A361" s="6" t="inlineStr">
        <is>
          <t>1000.0000.2213.52030.950</t>
        </is>
      </c>
      <c r="B361" s="6" t="inlineStr">
        <is>
          <t>Sub Benefits</t>
        </is>
      </c>
      <c r="C361" s="24" t="n">
        <v>0</v>
      </c>
      <c r="D361" s="24" t="n">
        <v>0</v>
      </c>
      <c r="E361" s="24" t="n">
        <v>0</v>
      </c>
      <c r="F361" s="24" t="n">
        <v>250</v>
      </c>
      <c r="G361" s="24" t="n">
        <v>0</v>
      </c>
      <c r="H361" s="24">
        <f>G361-F361</f>
        <v/>
      </c>
      <c r="I361" s="8">
        <f>IF(F361=0,0,G361/F361-1)</f>
        <v/>
      </c>
    </row>
    <row r="362">
      <c r="A362" s="6" t="inlineStr">
        <is>
          <t>1000.0000.2213.52300.950</t>
        </is>
      </c>
      <c r="B362" s="6" t="inlineStr">
        <is>
          <t>Stipend Retirement - K-8</t>
        </is>
      </c>
      <c r="C362" s="24" t="n">
        <v>20.37</v>
      </c>
      <c r="D362" s="24" t="n">
        <v>4.99</v>
      </c>
      <c r="E362" s="24" t="n">
        <v>350.68</v>
      </c>
      <c r="F362" s="24" t="n">
        <v>1597</v>
      </c>
      <c r="G362" s="24" t="n">
        <v>1597</v>
      </c>
      <c r="H362" s="24">
        <f>G362-F362</f>
        <v/>
      </c>
      <c r="I362" s="8">
        <f>IF(F362=0,0,G362/F362-1)</f>
        <v/>
      </c>
    </row>
    <row r="363">
      <c r="A363" s="6" t="inlineStr">
        <is>
          <t>1000.0000.2213.52310.950</t>
        </is>
      </c>
      <c r="B363" s="6" t="inlineStr">
        <is>
          <t>K-8 HONORARIUM RETIREMENT</t>
        </is>
      </c>
      <c r="C363" s="24" t="n">
        <v>204.77</v>
      </c>
      <c r="D363" s="24" t="n">
        <v>0</v>
      </c>
      <c r="E363" s="24" t="n">
        <v>958.9400000000001</v>
      </c>
      <c r="F363" s="24" t="n">
        <v>624</v>
      </c>
      <c r="G363" s="24" t="n">
        <v>624</v>
      </c>
      <c r="H363" s="24">
        <f>G363-F363</f>
        <v/>
      </c>
      <c r="I363" s="8">
        <f>IF(F363=0,0,G363/F363-1)</f>
        <v/>
      </c>
    </row>
    <row r="364">
      <c r="A364" s="6" t="inlineStr">
        <is>
          <t>1000.0000.2213.52330.950</t>
        </is>
      </c>
      <c r="B364" s="6" t="inlineStr">
        <is>
          <t>Retirement</t>
        </is>
      </c>
      <c r="C364" s="24" t="n">
        <v>0</v>
      </c>
      <c r="D364" s="24" t="n">
        <v>0</v>
      </c>
      <c r="E364" s="24" t="n">
        <v>0</v>
      </c>
      <c r="F364" s="24" t="n">
        <v>208</v>
      </c>
      <c r="G364" s="24" t="n">
        <v>0</v>
      </c>
      <c r="H364" s="24">
        <f>G364-F364</f>
        <v/>
      </c>
      <c r="I364" s="8">
        <f>IF(F364=0,0,G364/F364-1)</f>
        <v/>
      </c>
    </row>
    <row r="365">
      <c r="A365" s="6" t="inlineStr">
        <is>
          <t>1000.0000.2213.52510.950</t>
        </is>
      </c>
      <c r="B365" s="6" t="inlineStr">
        <is>
          <t>Tuition Reimbursement-Prof</t>
        </is>
      </c>
      <c r="C365" s="24" t="n">
        <v>54273.65</v>
      </c>
      <c r="D365" s="24" t="n">
        <v>53435.4</v>
      </c>
      <c r="E365" s="24" t="n">
        <v>62144.08</v>
      </c>
      <c r="F365" s="24" t="n">
        <v>47000</v>
      </c>
      <c r="G365" s="24" t="n">
        <v>50400</v>
      </c>
      <c r="H365" s="24">
        <f>G365-F365</f>
        <v/>
      </c>
      <c r="I365" s="8">
        <f>IF(F365=0,0,G365/F365-1)</f>
        <v/>
      </c>
    </row>
    <row r="366">
      <c r="A366" s="6" t="inlineStr">
        <is>
          <t>1000.0000.2213.52520.950</t>
        </is>
      </c>
      <c r="B366" s="6" t="inlineStr">
        <is>
          <t>Tuition Reimbursement-Support</t>
        </is>
      </c>
      <c r="C366" s="24" t="n">
        <v>2388</v>
      </c>
      <c r="D366" s="24" t="n">
        <v>2289.6</v>
      </c>
      <c r="E366" s="24" t="n">
        <v>0</v>
      </c>
      <c r="F366" s="24" t="n">
        <v>2700</v>
      </c>
      <c r="G366" s="24" t="n">
        <v>1300</v>
      </c>
      <c r="H366" s="24">
        <f>G366-F366</f>
        <v/>
      </c>
      <c r="I366" s="8">
        <f>IF(F366=0,0,G366/F366-1)</f>
        <v/>
      </c>
    </row>
    <row r="367">
      <c r="A367" s="6" t="inlineStr">
        <is>
          <t>1000.0000.2213.53000.950</t>
        </is>
      </c>
      <c r="B367" s="6" t="inlineStr">
        <is>
          <t>K-8 Purchased Professional</t>
        </is>
      </c>
      <c r="C367" s="24" t="n">
        <v>12433.05</v>
      </c>
      <c r="D367" s="24" t="n">
        <v>51815.55</v>
      </c>
      <c r="E367" s="24" t="n">
        <v>43062.6</v>
      </c>
      <c r="F367" s="24" t="n">
        <v>46072</v>
      </c>
      <c r="G367" s="24" t="n">
        <v>49900</v>
      </c>
      <c r="H367" s="24">
        <f>G367-F367</f>
        <v/>
      </c>
      <c r="I367" s="8">
        <f>IF(F367=0,0,G367/F367-1)</f>
        <v/>
      </c>
    </row>
    <row r="368">
      <c r="A368" s="6" t="inlineStr">
        <is>
          <t>1000.0000.2213.55810.950</t>
        </is>
      </c>
      <c r="B368" s="6" t="inlineStr">
        <is>
          <t>Travel</t>
        </is>
      </c>
      <c r="C368" s="24" t="n">
        <v>168.05</v>
      </c>
      <c r="D368" s="24" t="n">
        <v>-168.12</v>
      </c>
      <c r="E368" s="24" t="n">
        <v>0</v>
      </c>
      <c r="F368" s="24" t="n">
        <v>250</v>
      </c>
      <c r="G368" s="24" t="n">
        <v>250</v>
      </c>
      <c r="H368" s="24">
        <f>G368-F368</f>
        <v/>
      </c>
      <c r="I368" s="8">
        <f>IF(F368=0,0,G368/F368-1)</f>
        <v/>
      </c>
    </row>
    <row r="369">
      <c r="A369" s="6" t="inlineStr">
        <is>
          <t>1000.0000.2213.56000.950</t>
        </is>
      </c>
      <c r="B369" s="6" t="inlineStr">
        <is>
          <t>Supplies</t>
        </is>
      </c>
      <c r="C369" s="24" t="n">
        <v>0</v>
      </c>
      <c r="D369" s="24" t="n">
        <v>0</v>
      </c>
      <c r="E369" s="24" t="n">
        <v>143.6</v>
      </c>
      <c r="F369" s="24" t="n">
        <v>1000</v>
      </c>
      <c r="G369" s="24" t="n">
        <v>1150</v>
      </c>
      <c r="H369" s="24">
        <f>G369-F369</f>
        <v/>
      </c>
      <c r="I369" s="8">
        <f>IF(F369=0,0,G369/F369-1)</f>
        <v/>
      </c>
    </row>
    <row r="370">
      <c r="A370" s="6" t="inlineStr">
        <is>
          <t>1000.0000.2213.56400.950</t>
        </is>
      </c>
      <c r="B370" s="6" t="inlineStr">
        <is>
          <t>Books</t>
        </is>
      </c>
      <c r="C370" s="24" t="n">
        <v>0</v>
      </c>
      <c r="D370" s="24" t="n">
        <v>28</v>
      </c>
      <c r="E370" s="24" t="n">
        <v>0</v>
      </c>
      <c r="F370" s="24" t="n">
        <v>1400</v>
      </c>
      <c r="G370" s="24" t="n">
        <v>1400</v>
      </c>
      <c r="H370" s="24">
        <f>G370-F370</f>
        <v/>
      </c>
      <c r="I370" s="8">
        <f>IF(F370=0,0,G370/F370-1)</f>
        <v/>
      </c>
    </row>
    <row r="371">
      <c r="A371" s="14" t="n"/>
      <c r="B371" s="28" t="inlineStr">
        <is>
          <t>Program 0000 Total</t>
        </is>
      </c>
      <c r="C371" s="29">
        <f>SUM(C356:C370)</f>
        <v/>
      </c>
      <c r="D371" s="29">
        <f>SUM(D356:D370)</f>
        <v/>
      </c>
      <c r="E371" s="29">
        <f>SUM(E356:E370)</f>
        <v/>
      </c>
      <c r="F371" s="29">
        <f>SUM(F356:F370)</f>
        <v/>
      </c>
      <c r="G371" s="29">
        <f>SUM(G356:G370)</f>
        <v/>
      </c>
      <c r="H371" s="29">
        <f>SUM(H356:H370)</f>
        <v/>
      </c>
      <c r="I371" s="29">
        <f>SUM(I356:I370)</f>
        <v/>
      </c>
    </row>
    <row r="372">
      <c r="A372" s="14" t="n"/>
      <c r="B372" s="17" t="inlineStr">
        <is>
          <t>Cost Center ('950',) Total</t>
        </is>
      </c>
      <c r="C372" s="32">
        <f>C371</f>
        <v/>
      </c>
      <c r="D372" s="32">
        <f>D371</f>
        <v/>
      </c>
      <c r="E372" s="32">
        <f>E371</f>
        <v/>
      </c>
      <c r="F372" s="32">
        <f>F371</f>
        <v/>
      </c>
      <c r="G372" s="32">
        <f>G371</f>
        <v/>
      </c>
      <c r="H372" s="32">
        <f>H371</f>
        <v/>
      </c>
      <c r="I372" s="32">
        <f>I371</f>
        <v/>
      </c>
    </row>
    <row r="374">
      <c r="A374" s="3" t="inlineStr">
        <is>
          <t>Cost Center: ('990',)</t>
        </is>
      </c>
    </row>
    <row r="375">
      <c r="A375" s="6" t="inlineStr">
        <is>
          <t>1000.0000.2213.51500.990</t>
        </is>
      </c>
      <c r="B375" s="6" t="inlineStr">
        <is>
          <t>New Educator Mentors 9-12</t>
        </is>
      </c>
      <c r="C375" s="24" t="n">
        <v>0</v>
      </c>
      <c r="D375" s="24" t="n">
        <v>0</v>
      </c>
      <c r="E375" s="24" t="n">
        <v>0</v>
      </c>
      <c r="F375" s="24" t="n">
        <v>0</v>
      </c>
      <c r="G375" s="24" t="n">
        <v>10176</v>
      </c>
      <c r="H375" s="24">
        <f>G375-F375</f>
        <v/>
      </c>
      <c r="I375" s="8">
        <f>IF(F375=0,0,G375/F375-1)</f>
        <v/>
      </c>
    </row>
    <row r="376">
      <c r="A376" s="14" t="n"/>
      <c r="B376" s="33" t="inlineStr">
        <is>
          <t>ARTICLE 5 TOTAL</t>
        </is>
      </c>
      <c r="C376" s="34">
        <f>C58+C105+C149+C194+C244+C319+C353+C372</f>
        <v/>
      </c>
      <c r="D376" s="34">
        <f>D58+D105+D149+D194+D244+D319+D353+D372</f>
        <v/>
      </c>
      <c r="E376" s="34">
        <f>E58+E105+E149+E194+E244+E319+E353+E372</f>
        <v/>
      </c>
      <c r="F376" s="34">
        <f>F58+F105+F149+F194+F244+F319+F353+F372</f>
        <v/>
      </c>
      <c r="G376" s="34">
        <f>G58+G105+G149+G194+G244+G319+G353+G372</f>
        <v/>
      </c>
      <c r="H376" s="34">
        <f>H58+H105+H149+H194+H244+H319+H353+H372</f>
        <v/>
      </c>
      <c r="I376" s="34">
        <f>I58+I105+I149+I194+I244+I319+I353+I372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472C4"/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6 - System Administration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1000.0000.2310.51500.900</t>
        </is>
      </c>
      <c r="B7" s="6" t="inlineStr">
        <is>
          <t>Stipends</t>
        </is>
      </c>
      <c r="C7" s="24" t="n">
        <v>5450</v>
      </c>
      <c r="D7" s="24" t="n">
        <v>6598.04</v>
      </c>
      <c r="E7" s="24" t="n">
        <v>4000</v>
      </c>
      <c r="F7" s="24" t="n">
        <v>11000</v>
      </c>
      <c r="G7" s="24" t="n">
        <v>8000</v>
      </c>
      <c r="H7" s="24">
        <f>G7-F7</f>
        <v/>
      </c>
      <c r="I7" s="8">
        <f>IF(F7=0,0,G7/F7-1)</f>
        <v/>
      </c>
    </row>
    <row r="8">
      <c r="A8" s="6" t="inlineStr">
        <is>
          <t>1000.0000.2310.52000.900</t>
        </is>
      </c>
      <c r="B8" s="6" t="inlineStr">
        <is>
          <t>Board Stipend Benefits</t>
        </is>
      </c>
      <c r="C8" s="24" t="n">
        <v>445.11</v>
      </c>
      <c r="D8" s="24" t="n">
        <v>100.96</v>
      </c>
      <c r="E8" s="24" t="n">
        <v>308.11</v>
      </c>
      <c r="F8" s="24" t="n">
        <v>700</v>
      </c>
      <c r="G8" s="24" t="n">
        <v>500</v>
      </c>
      <c r="H8" s="24">
        <f>G8-F8</f>
        <v/>
      </c>
      <c r="I8" s="8">
        <f>IF(F8=0,0,G8/F8-1)</f>
        <v/>
      </c>
    </row>
    <row r="9">
      <c r="A9" s="6" t="inlineStr">
        <is>
          <t>1000.0000.2310.53400.900</t>
        </is>
      </c>
      <c r="B9" s="6" t="inlineStr">
        <is>
          <t>Professional Services</t>
        </is>
      </c>
      <c r="C9" s="24" t="n">
        <v>22239.12</v>
      </c>
      <c r="D9" s="24" t="n">
        <v>5504.52</v>
      </c>
      <c r="E9" s="24" t="n">
        <v>15535.82</v>
      </c>
      <c r="F9" s="24" t="n">
        <v>57000</v>
      </c>
      <c r="G9" s="24" t="n">
        <v>54165</v>
      </c>
      <c r="H9" s="24">
        <f>G9-F9</f>
        <v/>
      </c>
      <c r="I9" s="8">
        <f>IF(F9=0,0,G9/F9-1)</f>
        <v/>
      </c>
    </row>
    <row r="10">
      <c r="A10" s="6" t="inlineStr">
        <is>
          <t>1000.0000.2310.55200.900</t>
        </is>
      </c>
      <c r="B10" s="6" t="inlineStr">
        <is>
          <t>Insurance</t>
        </is>
      </c>
      <c r="C10" s="24" t="n">
        <v>16687.65</v>
      </c>
      <c r="D10" s="24" t="n">
        <v>24611</v>
      </c>
      <c r="E10" s="24" t="n">
        <v>34769</v>
      </c>
      <c r="F10" s="24" t="n">
        <v>35000</v>
      </c>
      <c r="G10" s="24" t="n">
        <v>39302</v>
      </c>
      <c r="H10" s="24">
        <f>G10-F10</f>
        <v/>
      </c>
      <c r="I10" s="8">
        <f>IF(F10=0,0,G10/F10-1)</f>
        <v/>
      </c>
    </row>
    <row r="11">
      <c r="A11" s="6" t="inlineStr">
        <is>
          <t>1000.0000.2310.55800.900</t>
        </is>
      </c>
      <c r="B11" s="6" t="inlineStr">
        <is>
          <t>Committee Travel</t>
        </is>
      </c>
      <c r="C11" s="24" t="n">
        <v>0</v>
      </c>
      <c r="D11" s="24" t="n">
        <v>0</v>
      </c>
      <c r="E11" s="24" t="n">
        <v>0</v>
      </c>
      <c r="F11" s="24" t="n">
        <v>300</v>
      </c>
      <c r="G11" s="24" t="n">
        <v>150</v>
      </c>
      <c r="H11" s="24">
        <f>G11-F11</f>
        <v/>
      </c>
      <c r="I11" s="8">
        <f>IF(F11=0,0,G11/F11-1)</f>
        <v/>
      </c>
    </row>
    <row r="12">
      <c r="A12" s="6" t="inlineStr">
        <is>
          <t>1000.0000.2310.56000.900</t>
        </is>
      </c>
      <c r="B12" s="6" t="inlineStr">
        <is>
          <t>Supplies</t>
        </is>
      </c>
      <c r="C12" s="24" t="n">
        <v>478.11</v>
      </c>
      <c r="D12" s="24" t="n">
        <v>360</v>
      </c>
      <c r="E12" s="24" t="n">
        <v>571.98</v>
      </c>
      <c r="F12" s="24" t="n">
        <v>300</v>
      </c>
      <c r="G12" s="24" t="n">
        <v>1085</v>
      </c>
      <c r="H12" s="24">
        <f>G12-F12</f>
        <v/>
      </c>
      <c r="I12" s="8">
        <f>IF(F12=0,0,G12/F12-1)</f>
        <v/>
      </c>
    </row>
    <row r="13">
      <c r="A13" s="6" t="inlineStr">
        <is>
          <t>1000.0000.2310.58100.900</t>
        </is>
      </c>
      <c r="B13" s="6" t="inlineStr">
        <is>
          <t>Dues &amp; Fees</t>
        </is>
      </c>
      <c r="C13" s="24" t="n">
        <v>5443</v>
      </c>
      <c r="D13" s="24" t="n">
        <v>5186</v>
      </c>
      <c r="E13" s="24" t="n">
        <v>1650</v>
      </c>
      <c r="F13" s="24" t="n">
        <v>6670</v>
      </c>
      <c r="G13" s="24" t="n">
        <v>6860</v>
      </c>
      <c r="H13" s="24">
        <f>G13-F13</f>
        <v/>
      </c>
      <c r="I13" s="8">
        <f>IF(F13=0,0,G13/F13-1)</f>
        <v/>
      </c>
    </row>
    <row r="14">
      <c r="A14" s="14" t="n"/>
      <c r="B14" s="28" t="inlineStr">
        <is>
          <t>Program 0000 Total</t>
        </is>
      </c>
      <c r="C14" s="29">
        <f>SUM(C7:C13)</f>
        <v/>
      </c>
      <c r="D14" s="29">
        <f>SUM(D7:D13)</f>
        <v/>
      </c>
      <c r="E14" s="29">
        <f>SUM(E7:E13)</f>
        <v/>
      </c>
      <c r="F14" s="29">
        <f>SUM(F7:F13)</f>
        <v/>
      </c>
      <c r="G14" s="29">
        <f>SUM(G7:G13)</f>
        <v/>
      </c>
      <c r="H14" s="29">
        <f>SUM(H7:H13)</f>
        <v/>
      </c>
      <c r="I14" s="29">
        <f>SUM(I7:I13)</f>
        <v/>
      </c>
    </row>
    <row r="15">
      <c r="A15" s="6" t="inlineStr">
        <is>
          <t>1000.0000.2314.53100.900</t>
        </is>
      </c>
      <c r="B15" s="6" t="inlineStr">
        <is>
          <t>Election Costs</t>
        </is>
      </c>
      <c r="C15" s="24" t="n">
        <v>0</v>
      </c>
      <c r="D15" s="24" t="n">
        <v>0</v>
      </c>
      <c r="E15" s="24" t="n">
        <v>0</v>
      </c>
      <c r="F15" s="24" t="n">
        <v>0</v>
      </c>
      <c r="G15" s="24" t="n">
        <v>10955</v>
      </c>
      <c r="H15" s="24">
        <f>G15-F15</f>
        <v/>
      </c>
      <c r="I15" s="8">
        <f>IF(F15=0,0,G15/F15-1)</f>
        <v/>
      </c>
    </row>
    <row r="16">
      <c r="A16" s="6" t="inlineStr">
        <is>
          <t>1000.0000.2320.51040.900</t>
        </is>
      </c>
      <c r="B16" s="6" t="inlineStr">
        <is>
          <t>Superintendent's Salary</t>
        </is>
      </c>
      <c r="C16" s="24" t="n">
        <v>190725.34</v>
      </c>
      <c r="D16" s="24" t="n">
        <v>204344.16</v>
      </c>
      <c r="E16" s="24" t="n">
        <v>212580.25</v>
      </c>
      <c r="F16" s="24" t="n">
        <v>210950</v>
      </c>
      <c r="G16" s="24" t="n">
        <v>210101</v>
      </c>
      <c r="H16" s="24">
        <f>G16-F16</f>
        <v/>
      </c>
      <c r="I16" s="8">
        <f>IF(F16=0,0,G16/F16-1)</f>
        <v/>
      </c>
    </row>
    <row r="17">
      <c r="A17" s="6" t="inlineStr">
        <is>
          <t>1000.0000.2320.51180.900</t>
        </is>
      </c>
      <c r="B17" s="6" t="inlineStr">
        <is>
          <t>Support Wages</t>
        </is>
      </c>
      <c r="C17" s="24" t="n">
        <v>70363.02</v>
      </c>
      <c r="D17" s="24" t="n">
        <v>80375.83</v>
      </c>
      <c r="E17" s="24" t="n">
        <v>73564.52</v>
      </c>
      <c r="F17" s="24" t="n">
        <v>76506</v>
      </c>
      <c r="G17" s="24" t="n">
        <v>75772</v>
      </c>
      <c r="H17" s="24">
        <f>G17-F17</f>
        <v/>
      </c>
      <c r="I17" s="8">
        <f>IF(F17=0,0,G17/F17-1)</f>
        <v/>
      </c>
    </row>
    <row r="18">
      <c r="A18" s="6" t="inlineStr">
        <is>
          <t>1000.0000.2320.52000.900</t>
        </is>
      </c>
      <c r="B18" s="6" t="inlineStr">
        <is>
          <t>Benefits</t>
        </is>
      </c>
      <c r="C18" s="24" t="n">
        <v>1</v>
      </c>
      <c r="D18" s="24" t="n">
        <v>0</v>
      </c>
      <c r="E18" s="24" t="n">
        <v>0</v>
      </c>
      <c r="F18" s="24" t="n">
        <v>0</v>
      </c>
      <c r="G18" s="24" t="n">
        <v>0</v>
      </c>
      <c r="H18" s="24">
        <f>G18-F18</f>
        <v/>
      </c>
      <c r="I18" s="8">
        <f>IF(F18=0,0,G18/F18-1)</f>
        <v/>
      </c>
    </row>
    <row r="19">
      <c r="A19" s="6" t="inlineStr">
        <is>
          <t>1000.0000.2320.52040.900</t>
        </is>
      </c>
      <c r="B19" s="6" t="inlineStr">
        <is>
          <t>Superintendent Benefits</t>
        </is>
      </c>
      <c r="C19" s="24" t="n">
        <v>32224.81</v>
      </c>
      <c r="D19" s="24" t="n">
        <v>28768.22</v>
      </c>
      <c r="E19" s="24" t="n">
        <v>23166.38</v>
      </c>
      <c r="F19" s="24" t="n">
        <v>47228</v>
      </c>
      <c r="G19" s="24" t="n">
        <v>56421</v>
      </c>
      <c r="H19" s="24">
        <f>G19-F19</f>
        <v/>
      </c>
      <c r="I19" s="8">
        <f>IF(F19=0,0,G19/F19-1)</f>
        <v/>
      </c>
    </row>
    <row r="20">
      <c r="A20" s="6" t="inlineStr">
        <is>
          <t>1000.0000.2320.52080.900</t>
        </is>
      </c>
      <c r="B20" s="6" t="inlineStr">
        <is>
          <t>Support Benefits</t>
        </is>
      </c>
      <c r="C20" s="24" t="n">
        <v>21453.89</v>
      </c>
      <c r="D20" s="24" t="n">
        <v>13411.58</v>
      </c>
      <c r="E20" s="24" t="n">
        <v>14482.43</v>
      </c>
      <c r="F20" s="24" t="n">
        <v>22996</v>
      </c>
      <c r="G20" s="24" t="n">
        <v>29214</v>
      </c>
      <c r="H20" s="24">
        <f>G20-F20</f>
        <v/>
      </c>
      <c r="I20" s="8">
        <f>IF(F20=0,0,G20/F20-1)</f>
        <v/>
      </c>
    </row>
    <row r="21">
      <c r="A21" s="6" t="inlineStr">
        <is>
          <t>1000.0000.2320.52340.900</t>
        </is>
      </c>
      <c r="B21" s="6" t="inlineStr">
        <is>
          <t>Retirement</t>
        </is>
      </c>
      <c r="C21" s="24" t="n">
        <v>7952.88</v>
      </c>
      <c r="D21" s="24" t="n">
        <v>3145.04</v>
      </c>
      <c r="E21" s="24" t="n">
        <v>8165.36</v>
      </c>
      <c r="F21" s="24" t="n">
        <v>8775</v>
      </c>
      <c r="G21" s="24" t="n">
        <v>9767</v>
      </c>
      <c r="H21" s="24">
        <f>G21-F21</f>
        <v/>
      </c>
      <c r="I21" s="8">
        <f>IF(F21=0,0,G21/F21-1)</f>
        <v/>
      </c>
    </row>
    <row r="22">
      <c r="A22" s="6" t="inlineStr">
        <is>
          <t>1000.0000.2320.52380.900</t>
        </is>
      </c>
      <c r="B22" s="6" t="inlineStr">
        <is>
          <t>Retirement</t>
        </is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3940</v>
      </c>
      <c r="H22" s="24">
        <f>G22-F22</f>
        <v/>
      </c>
      <c r="I22" s="8">
        <f>IF(F22=0,0,G22/F22-1)</f>
        <v/>
      </c>
    </row>
    <row r="23">
      <c r="A23" s="6" t="inlineStr">
        <is>
          <t>1000.0000.2320.53300.900</t>
        </is>
      </c>
      <c r="B23" s="6" t="inlineStr">
        <is>
          <t>Employee Training &amp; Development $0.00</t>
        </is>
      </c>
      <c r="C23" s="24" t="n">
        <v>0</v>
      </c>
      <c r="D23" s="24" t="n">
        <v>0</v>
      </c>
      <c r="E23" s="24" t="n">
        <v>0</v>
      </c>
      <c r="F23" s="24" t="n">
        <v>3290</v>
      </c>
      <c r="G23" s="24" t="n">
        <v>3290</v>
      </c>
      <c r="H23" s="24">
        <f>G23-F23</f>
        <v/>
      </c>
      <c r="I23" s="8">
        <f>IF(F23=0,0,G23/F23-1)</f>
        <v/>
      </c>
    </row>
    <row r="24">
      <c r="A24" s="6" t="inlineStr">
        <is>
          <t>1000.0000.2320.53400.900</t>
        </is>
      </c>
      <c r="B24" s="6" t="inlineStr">
        <is>
          <t>Professional Services</t>
        </is>
      </c>
      <c r="C24" s="24" t="n">
        <v>111196.02</v>
      </c>
      <c r="D24" s="24" t="n">
        <v>100903.79</v>
      </c>
      <c r="E24" s="24" t="n">
        <v>95926.44</v>
      </c>
      <c r="F24" s="24" t="n">
        <v>125363</v>
      </c>
      <c r="G24" s="24" t="n">
        <v>112223</v>
      </c>
      <c r="H24" s="24">
        <f>G24-F24</f>
        <v/>
      </c>
      <c r="I24" s="8">
        <f>IF(F24=0,0,G24/F24-1)</f>
        <v/>
      </c>
    </row>
    <row r="25">
      <c r="A25" s="6" t="inlineStr">
        <is>
          <t>1000.0000.2320.54330.900</t>
        </is>
      </c>
      <c r="B25" s="6" t="inlineStr">
        <is>
          <t>Software Repairs &amp; Maintenance $21,535.05</t>
        </is>
      </c>
      <c r="C25" s="24" t="n">
        <v>79788.74000000001</v>
      </c>
      <c r="D25" s="24" t="n">
        <v>71648.05</v>
      </c>
      <c r="E25" s="24" t="n">
        <v>50710</v>
      </c>
      <c r="F25" s="24" t="n">
        <v>10000</v>
      </c>
      <c r="G25" s="24" t="n">
        <v>-40710</v>
      </c>
      <c r="H25" s="24">
        <f>G25-F25</f>
        <v/>
      </c>
      <c r="I25" s="8">
        <f>IF(F25=0,0,G25/F25-1)</f>
        <v/>
      </c>
    </row>
    <row r="26">
      <c r="A26" s="6" t="inlineStr">
        <is>
          <t>1000.0000.2320.54430.900</t>
        </is>
      </c>
      <c r="B26" s="6" t="inlineStr">
        <is>
          <t>Rental/Leases</t>
        </is>
      </c>
      <c r="C26" s="24" t="n">
        <v>3030.5</v>
      </c>
      <c r="D26" s="24" t="n">
        <v>-528</v>
      </c>
      <c r="E26" s="24" t="n">
        <v>0</v>
      </c>
      <c r="F26" s="24" t="n">
        <v>0</v>
      </c>
      <c r="G26" s="24" t="n">
        <v>0</v>
      </c>
      <c r="H26" s="24">
        <f>G26-F26</f>
        <v/>
      </c>
      <c r="I26" s="8">
        <f>IF(F26=0,0,G26/F26-1)</f>
        <v/>
      </c>
    </row>
    <row r="27">
      <c r="A27" s="6" t="inlineStr">
        <is>
          <t>1000.0000.2320.55310.900</t>
        </is>
      </c>
      <c r="B27" s="6" t="inlineStr">
        <is>
          <t>Postage</t>
        </is>
      </c>
      <c r="C27" s="24" t="n">
        <v>6951.53</v>
      </c>
      <c r="D27" s="24" t="n">
        <v>6331.86</v>
      </c>
      <c r="E27" s="24" t="n">
        <v>7342.79</v>
      </c>
      <c r="F27" s="24" t="n">
        <v>7370</v>
      </c>
      <c r="G27" s="24" t="n">
        <v>7200</v>
      </c>
      <c r="H27" s="24">
        <f>G27-F27</f>
        <v/>
      </c>
      <c r="I27" s="8">
        <f>IF(F27=0,0,G27/F27-1)</f>
        <v/>
      </c>
    </row>
    <row r="28">
      <c r="A28" s="6" t="inlineStr">
        <is>
          <t>1000.0000.2320.55320.900</t>
        </is>
      </c>
      <c r="B28" s="6" t="inlineStr">
        <is>
          <t>Telephone</t>
        </is>
      </c>
      <c r="C28" s="24" t="n">
        <v>350.8</v>
      </c>
      <c r="D28" s="24" t="n">
        <v>0</v>
      </c>
      <c r="E28" s="24" t="n">
        <v>0</v>
      </c>
      <c r="F28" s="24" t="n">
        <v>0</v>
      </c>
      <c r="G28" s="24" t="n">
        <v>0</v>
      </c>
      <c r="H28" s="24">
        <f>G28-F28</f>
        <v/>
      </c>
      <c r="I28" s="8">
        <f>IF(F28=0,0,G28/F28-1)</f>
        <v/>
      </c>
    </row>
    <row r="29">
      <c r="A29" s="6" t="inlineStr">
        <is>
          <t>1000.0000.2320.55400.900</t>
        </is>
      </c>
      <c r="B29" s="6" t="inlineStr">
        <is>
          <t>Advertising</t>
        </is>
      </c>
      <c r="C29" s="24" t="n">
        <v>198.27</v>
      </c>
      <c r="D29" s="24" t="n">
        <v>1938.77</v>
      </c>
      <c r="E29" s="24" t="n">
        <v>0</v>
      </c>
      <c r="F29" s="24" t="n">
        <v>6000</v>
      </c>
      <c r="G29" s="24" t="n">
        <v>1500</v>
      </c>
      <c r="H29" s="24">
        <f>G29-F29</f>
        <v/>
      </c>
      <c r="I29" s="8">
        <f>IF(F29=0,0,G29/F29-1)</f>
        <v/>
      </c>
    </row>
    <row r="30">
      <c r="A30" s="6" t="inlineStr">
        <is>
          <t>1000.0000.2320.55800.900</t>
        </is>
      </c>
      <c r="B30" s="6" t="inlineStr">
        <is>
          <t>Travel</t>
        </is>
      </c>
      <c r="C30" s="24" t="n">
        <v>2548.26</v>
      </c>
      <c r="D30" s="24" t="n">
        <v>125.64</v>
      </c>
      <c r="E30" s="24" t="n">
        <v>10893.18</v>
      </c>
      <c r="F30" s="24" t="n">
        <v>0</v>
      </c>
      <c r="G30" s="24" t="n">
        <v>2600</v>
      </c>
      <c r="H30" s="24">
        <f>G30-F30</f>
        <v/>
      </c>
      <c r="I30" s="8">
        <f>IF(F30=0,0,G30/F30-1)</f>
        <v/>
      </c>
    </row>
    <row r="31">
      <c r="A31" s="6" t="inlineStr">
        <is>
          <t>1000.0000.2320.56000.900</t>
        </is>
      </c>
      <c r="B31" s="6" t="inlineStr">
        <is>
          <t>Supplies</t>
        </is>
      </c>
      <c r="C31" s="24" t="n">
        <v>7829.53</v>
      </c>
      <c r="D31" s="24" t="n">
        <v>14041.76</v>
      </c>
      <c r="E31" s="24" t="n">
        <v>15523.69</v>
      </c>
      <c r="F31" s="24" t="n">
        <v>14000</v>
      </c>
      <c r="G31" s="24" t="n">
        <v>15400</v>
      </c>
      <c r="H31" s="24">
        <f>G31-F31</f>
        <v/>
      </c>
      <c r="I31" s="8">
        <f>IF(F31=0,0,G31/F31-1)</f>
        <v/>
      </c>
    </row>
    <row r="32">
      <c r="A32" s="6" t="inlineStr">
        <is>
          <t>1000.0000.2320.56400.900</t>
        </is>
      </c>
      <c r="B32" s="6" t="inlineStr">
        <is>
          <t>Books</t>
        </is>
      </c>
      <c r="C32" s="24" t="n">
        <v>40</v>
      </c>
      <c r="D32" s="24" t="n">
        <v>506.25</v>
      </c>
      <c r="E32" s="24" t="n">
        <v>23.96</v>
      </c>
      <c r="F32" s="24" t="n">
        <v>300</v>
      </c>
      <c r="G32" s="24" t="n">
        <v>100</v>
      </c>
      <c r="H32" s="24">
        <f>G32-F32</f>
        <v/>
      </c>
      <c r="I32" s="8">
        <f>IF(F32=0,0,G32/F32-1)</f>
        <v/>
      </c>
    </row>
    <row r="33">
      <c r="A33" s="6" t="inlineStr">
        <is>
          <t>1000.0000.2320.57340.900</t>
        </is>
      </c>
      <c r="B33" s="6" t="inlineStr">
        <is>
          <t>Technology Equipment</t>
        </is>
      </c>
      <c r="C33" s="24" t="n">
        <v>-8136.04</v>
      </c>
      <c r="D33" s="24" t="n">
        <v>557.9</v>
      </c>
      <c r="E33" s="24" t="n">
        <v>0</v>
      </c>
      <c r="F33" s="24" t="n">
        <v>2000</v>
      </c>
      <c r="G33" s="24" t="n">
        <v>1000</v>
      </c>
      <c r="H33" s="24">
        <f>G33-F33</f>
        <v/>
      </c>
      <c r="I33" s="8">
        <f>IF(F33=0,0,G33/F33-1)</f>
        <v/>
      </c>
    </row>
    <row r="34">
      <c r="A34" s="6" t="inlineStr">
        <is>
          <t>1000.0000.2320.58100.900</t>
        </is>
      </c>
      <c r="B34" s="6" t="inlineStr">
        <is>
          <t>Dues and Fees</t>
        </is>
      </c>
      <c r="C34" s="24" t="n">
        <v>9055.030000000001</v>
      </c>
      <c r="D34" s="24" t="n">
        <v>12387.8</v>
      </c>
      <c r="E34" s="24" t="n">
        <v>11579.74</v>
      </c>
      <c r="F34" s="24" t="n">
        <v>11000</v>
      </c>
      <c r="G34" s="24" t="n">
        <v>6406</v>
      </c>
      <c r="H34" s="24">
        <f>G34-F34</f>
        <v/>
      </c>
      <c r="I34" s="8">
        <f>IF(F34=0,0,G34/F34-1)</f>
        <v/>
      </c>
    </row>
    <row r="35">
      <c r="A35" s="6" t="inlineStr">
        <is>
          <t>1000.0000.2320.59000.900</t>
        </is>
      </c>
      <c r="B35" s="6" t="inlineStr">
        <is>
          <t>Aspirations / Miscellaneous</t>
        </is>
      </c>
      <c r="C35" s="24" t="n">
        <v>5000</v>
      </c>
      <c r="D35" s="24" t="n">
        <v>0</v>
      </c>
      <c r="E35" s="24" t="n">
        <v>11927.48</v>
      </c>
      <c r="F35" s="24" t="n">
        <v>12172</v>
      </c>
      <c r="G35" s="24" t="n">
        <v>8600</v>
      </c>
      <c r="H35" s="24">
        <f>G35-F35</f>
        <v/>
      </c>
      <c r="I35" s="8">
        <f>IF(F35=0,0,G35/F35-1)</f>
        <v/>
      </c>
    </row>
    <row r="36">
      <c r="A36" s="14" t="n"/>
      <c r="B36" s="28" t="inlineStr">
        <is>
          <t>Program 0000 Total</t>
        </is>
      </c>
      <c r="C36" s="29">
        <f>SUM(C16:C35)</f>
        <v/>
      </c>
      <c r="D36" s="29">
        <f>SUM(D16:D35)</f>
        <v/>
      </c>
      <c r="E36" s="29">
        <f>SUM(E16:E35)</f>
        <v/>
      </c>
      <c r="F36" s="29">
        <f>SUM(F16:F35)</f>
        <v/>
      </c>
      <c r="G36" s="29">
        <f>SUM(G16:G35)</f>
        <v/>
      </c>
      <c r="H36" s="29">
        <f>SUM(H16:H35)</f>
        <v/>
      </c>
      <c r="I36" s="29">
        <f>SUM(I16:I35)</f>
        <v/>
      </c>
    </row>
    <row r="37">
      <c r="A37" s="6" t="inlineStr">
        <is>
          <t>1000.0000.2500.51040.900</t>
        </is>
      </c>
      <c r="B37" s="6" t="inlineStr">
        <is>
          <t>Administrator Salary</t>
        </is>
      </c>
      <c r="C37" s="24" t="n">
        <v>99948.36</v>
      </c>
      <c r="D37" s="24" t="n">
        <v>116394.97</v>
      </c>
      <c r="E37" s="24" t="n">
        <v>169613.56</v>
      </c>
      <c r="F37" s="24" t="n">
        <v>107120</v>
      </c>
      <c r="G37" s="24" t="n">
        <v>109200</v>
      </c>
      <c r="H37" s="24">
        <f>G37-F37</f>
        <v/>
      </c>
      <c r="I37" s="8">
        <f>IF(F37=0,0,G37/F37-1)</f>
        <v/>
      </c>
    </row>
    <row r="38">
      <c r="A38" s="6" t="inlineStr">
        <is>
          <t>1000.0000.2500.51180.900</t>
        </is>
      </c>
      <c r="B38" s="6" t="inlineStr">
        <is>
          <t>Salaries</t>
        </is>
      </c>
      <c r="C38" s="24" t="n">
        <v>157762.3</v>
      </c>
      <c r="D38" s="24" t="n">
        <v>151962.36</v>
      </c>
      <c r="E38" s="24" t="n">
        <v>167949.65</v>
      </c>
      <c r="F38" s="24" t="n">
        <v>176005</v>
      </c>
      <c r="G38" s="24" t="n">
        <v>170726</v>
      </c>
      <c r="H38" s="24">
        <f>G38-F38</f>
        <v/>
      </c>
      <c r="I38" s="8">
        <f>IF(F38=0,0,G38/F38-1)</f>
        <v/>
      </c>
    </row>
    <row r="39">
      <c r="A39" s="6" t="inlineStr">
        <is>
          <t>1000.0000.2500.52040.900</t>
        </is>
      </c>
      <c r="B39" s="6" t="inlineStr">
        <is>
          <t>Admin Benefits</t>
        </is>
      </c>
      <c r="C39" s="24" t="n">
        <v>20441.32</v>
      </c>
      <c r="D39" s="24" t="n">
        <v>7460.21</v>
      </c>
      <c r="E39" s="24" t="n">
        <v>18841.7</v>
      </c>
      <c r="F39" s="24" t="n">
        <v>20506</v>
      </c>
      <c r="G39" s="24" t="n">
        <v>43094</v>
      </c>
      <c r="H39" s="24">
        <f>G39-F39</f>
        <v/>
      </c>
      <c r="I39" s="8">
        <f>IF(F39=0,0,G39/F39-1)</f>
        <v/>
      </c>
    </row>
    <row r="40">
      <c r="A40" s="6" t="inlineStr">
        <is>
          <t>1000.0000.2500.52080.900</t>
        </is>
      </c>
      <c r="B40" s="6" t="inlineStr">
        <is>
          <t>Benefits</t>
        </is>
      </c>
      <c r="C40" s="24" t="n">
        <v>43718.08</v>
      </c>
      <c r="D40" s="24" t="n">
        <v>34474.33</v>
      </c>
      <c r="E40" s="24" t="n">
        <v>44249.41</v>
      </c>
      <c r="F40" s="24" t="n">
        <v>56348</v>
      </c>
      <c r="G40" s="24" t="n">
        <v>56221</v>
      </c>
      <c r="H40" s="24">
        <f>G40-F40</f>
        <v/>
      </c>
      <c r="I40" s="8">
        <f>IF(F40=0,0,G40/F40-1)</f>
        <v/>
      </c>
    </row>
    <row r="41">
      <c r="A41" s="6" t="inlineStr">
        <is>
          <t>1000.0000.2500.52340.900</t>
        </is>
      </c>
      <c r="B41" s="6" t="inlineStr">
        <is>
          <t>Retirement</t>
        </is>
      </c>
      <c r="C41" s="24" t="n">
        <v>0</v>
      </c>
      <c r="D41" s="24" t="n">
        <v>0</v>
      </c>
      <c r="E41" s="24" t="n">
        <v>0</v>
      </c>
      <c r="F41" s="24" t="n">
        <v>10819</v>
      </c>
      <c r="G41" s="24" t="n">
        <v>5678</v>
      </c>
      <c r="H41" s="24">
        <f>G41-F41</f>
        <v/>
      </c>
      <c r="I41" s="8">
        <f>IF(F41=0,0,G41/F41-1)</f>
        <v/>
      </c>
    </row>
    <row r="42">
      <c r="A42" s="6" t="inlineStr">
        <is>
          <t>1000.0000.2500.52380.900</t>
        </is>
      </c>
      <c r="B42" s="6" t="inlineStr">
        <is>
          <t>Retirement</t>
        </is>
      </c>
      <c r="C42" s="24" t="n">
        <v>0</v>
      </c>
      <c r="D42" s="24" t="n">
        <v>0</v>
      </c>
      <c r="E42" s="24" t="n">
        <v>0</v>
      </c>
      <c r="F42" s="24" t="n">
        <v>0</v>
      </c>
      <c r="G42" s="24" t="n">
        <v>8877</v>
      </c>
      <c r="H42" s="24">
        <f>G42-F42</f>
        <v/>
      </c>
      <c r="I42" s="8">
        <f>IF(F42=0,0,G42/F42-1)</f>
        <v/>
      </c>
    </row>
    <row r="43">
      <c r="A43" s="6" t="inlineStr">
        <is>
          <t>1000.0000.2500.53300.900</t>
        </is>
      </c>
      <c r="B43" s="6" t="inlineStr">
        <is>
          <t>Training &amp; Development Services $0.00</t>
        </is>
      </c>
      <c r="C43" s="24" t="n">
        <v>0</v>
      </c>
      <c r="D43" s="24" t="n">
        <v>0</v>
      </c>
      <c r="E43" s="24" t="n">
        <v>2100</v>
      </c>
      <c r="F43" s="24" t="n">
        <v>2000</v>
      </c>
      <c r="G43" s="24" t="n">
        <v>-100</v>
      </c>
      <c r="H43" s="24">
        <f>G43-F43</f>
        <v/>
      </c>
      <c r="I43" s="8">
        <f>IF(F43=0,0,G43/F43-1)</f>
        <v/>
      </c>
    </row>
    <row r="44">
      <c r="A44" s="6" t="inlineStr">
        <is>
          <t>1000.0000.2500.55800.900</t>
        </is>
      </c>
      <c r="B44" s="6" t="inlineStr">
        <is>
          <t>Travel</t>
        </is>
      </c>
      <c r="C44" s="24" t="n">
        <v>0</v>
      </c>
      <c r="D44" s="24" t="n">
        <v>0</v>
      </c>
      <c r="E44" s="24" t="n">
        <v>52.65</v>
      </c>
      <c r="F44" s="24" t="n">
        <v>250</v>
      </c>
      <c r="G44" s="24" t="n">
        <v>250</v>
      </c>
      <c r="H44" s="24">
        <f>G44-F44</f>
        <v/>
      </c>
      <c r="I44" s="8">
        <f>IF(F44=0,0,G44/F44-1)</f>
        <v/>
      </c>
    </row>
    <row r="45">
      <c r="A45" s="6" t="inlineStr">
        <is>
          <t>1000.0000.2500.55810.900</t>
        </is>
      </c>
      <c r="B45" s="6" t="inlineStr">
        <is>
          <t>Travel</t>
        </is>
      </c>
      <c r="C45" s="24" t="n">
        <v>380.09</v>
      </c>
      <c r="D45" s="24" t="n">
        <v>0</v>
      </c>
      <c r="E45" s="24" t="n">
        <v>0</v>
      </c>
      <c r="F45" s="24" t="n">
        <v>0</v>
      </c>
      <c r="G45" s="24" t="n">
        <v>0</v>
      </c>
      <c r="H45" s="24">
        <f>G45-F45</f>
        <v/>
      </c>
      <c r="I45" s="8">
        <f>IF(F45=0,0,G45/F45-1)</f>
        <v/>
      </c>
    </row>
    <row r="46">
      <c r="A46" s="6" t="inlineStr">
        <is>
          <t>1000.0000.2500.56000.900</t>
        </is>
      </c>
      <c r="B46" s="6" t="inlineStr">
        <is>
          <t>Supplies</t>
        </is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2125</v>
      </c>
      <c r="H46" s="24">
        <f>G46-F46</f>
        <v/>
      </c>
      <c r="I46" s="8">
        <f>IF(F46=0,0,G46/F46-1)</f>
        <v/>
      </c>
    </row>
    <row r="47">
      <c r="A47" s="6" t="inlineStr">
        <is>
          <t>1000.0000.2500.58100.900</t>
        </is>
      </c>
      <c r="B47" s="6" t="inlineStr">
        <is>
          <t>Dues and Fees</t>
        </is>
      </c>
      <c r="C47" s="24" t="n">
        <v>4254.97</v>
      </c>
      <c r="D47" s="24" t="n">
        <v>0.2</v>
      </c>
      <c r="E47" s="24" t="n">
        <v>3479.89</v>
      </c>
      <c r="F47" s="24" t="n">
        <v>3500</v>
      </c>
      <c r="G47" s="24" t="n">
        <v>1529</v>
      </c>
      <c r="H47" s="24">
        <f>G47-F47</f>
        <v/>
      </c>
      <c r="I47" s="8">
        <f>IF(F47=0,0,G47/F47-1)</f>
        <v/>
      </c>
    </row>
    <row r="48">
      <c r="A48" s="14" t="n"/>
      <c r="B48" s="28" t="inlineStr">
        <is>
          <t>Program 0000 Total</t>
        </is>
      </c>
      <c r="C48" s="29">
        <f>SUM(C37:C47)</f>
        <v/>
      </c>
      <c r="D48" s="29">
        <f>SUM(D37:D47)</f>
        <v/>
      </c>
      <c r="E48" s="29">
        <f>SUM(E37:E47)</f>
        <v/>
      </c>
      <c r="F48" s="29">
        <f>SUM(F37:F47)</f>
        <v/>
      </c>
      <c r="G48" s="29">
        <f>SUM(G37:G47)</f>
        <v/>
      </c>
      <c r="H48" s="29">
        <f>SUM(H37:H47)</f>
        <v/>
      </c>
      <c r="I48" s="29">
        <f>SUM(I37:I47)</f>
        <v/>
      </c>
    </row>
    <row r="49">
      <c r="A49" s="14" t="n"/>
      <c r="B49" s="17" t="inlineStr">
        <is>
          <t>Cost Center ('900',) Total</t>
        </is>
      </c>
      <c r="C49" s="32">
        <f>C14+C36+C48</f>
        <v/>
      </c>
      <c r="D49" s="32">
        <f>D14+D36+D48</f>
        <v/>
      </c>
      <c r="E49" s="32">
        <f>E14+E36+E48</f>
        <v/>
      </c>
      <c r="F49" s="32">
        <f>F14+F36+F48</f>
        <v/>
      </c>
      <c r="G49" s="32">
        <f>G14+G36+G48</f>
        <v/>
      </c>
      <c r="H49" s="32">
        <f>H14+H36+H48</f>
        <v/>
      </c>
      <c r="I49" s="32">
        <f>I14+I36+I48</f>
        <v/>
      </c>
    </row>
    <row r="51">
      <c r="A51" s="14" t="n"/>
      <c r="B51" s="33" t="inlineStr">
        <is>
          <t>ARTICLE 6 TOTAL</t>
        </is>
      </c>
      <c r="C51" s="34">
        <f>C49</f>
        <v/>
      </c>
      <c r="D51" s="34">
        <f>D49</f>
        <v/>
      </c>
      <c r="E51" s="34">
        <f>E49</f>
        <v/>
      </c>
      <c r="F51" s="34">
        <f>F49</f>
        <v/>
      </c>
      <c r="G51" s="34">
        <f>G49</f>
        <v/>
      </c>
      <c r="H51" s="34">
        <f>H49</f>
        <v/>
      </c>
      <c r="I51" s="34">
        <f>I49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472C4"/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7 - School Administration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1000.0000.2400.51040.010</t>
        </is>
      </c>
      <c r="B7" s="6" t="inlineStr">
        <is>
          <t>Admin Salary</t>
        </is>
      </c>
      <c r="C7" s="24" t="n">
        <v>206448.92</v>
      </c>
      <c r="D7" s="24" t="n">
        <v>221072.09</v>
      </c>
      <c r="E7" s="24" t="n">
        <v>216412.08</v>
      </c>
      <c r="F7" s="24" t="n">
        <v>232372</v>
      </c>
      <c r="G7" s="24" t="n">
        <v>229606</v>
      </c>
      <c r="H7" s="24">
        <f>G7-F7</f>
        <v/>
      </c>
      <c r="I7" s="8">
        <f>IF(F7=0,0,G7/F7-1)</f>
        <v/>
      </c>
    </row>
    <row r="8">
      <c r="A8" s="6" t="inlineStr">
        <is>
          <t>1000.0000.2400.51180.010</t>
        </is>
      </c>
      <c r="B8" s="6" t="inlineStr">
        <is>
          <t>Support Wages</t>
        </is>
      </c>
      <c r="C8" s="24" t="n">
        <v>70847.07000000001</v>
      </c>
      <c r="D8" s="24" t="n">
        <v>79948.21000000001</v>
      </c>
      <c r="E8" s="24" t="n">
        <v>83712.52</v>
      </c>
      <c r="F8" s="24" t="n">
        <v>81013</v>
      </c>
      <c r="G8" s="24" t="n">
        <v>82032</v>
      </c>
      <c r="H8" s="24">
        <f>G8-F8</f>
        <v/>
      </c>
      <c r="I8" s="8">
        <f>IF(F8=0,0,G8/F8-1)</f>
        <v/>
      </c>
    </row>
    <row r="9">
      <c r="A9" s="6" t="inlineStr">
        <is>
          <t>1000.0000.2400.52040.010</t>
        </is>
      </c>
      <c r="B9" s="6" t="inlineStr">
        <is>
          <t>Admin Benefits</t>
        </is>
      </c>
      <c r="C9" s="24" t="n">
        <v>51003.43</v>
      </c>
      <c r="D9" s="24" t="n">
        <v>46526.14</v>
      </c>
      <c r="E9" s="24" t="n">
        <v>49286.08</v>
      </c>
      <c r="F9" s="24" t="n">
        <v>59256</v>
      </c>
      <c r="G9" s="24" t="n">
        <v>64477</v>
      </c>
      <c r="H9" s="24">
        <f>G9-F9</f>
        <v/>
      </c>
      <c r="I9" s="8">
        <f>IF(F9=0,0,G9/F9-1)</f>
        <v/>
      </c>
    </row>
    <row r="10">
      <c r="A10" s="6" t="inlineStr">
        <is>
          <t>1000.0000.2400.52080.010</t>
        </is>
      </c>
      <c r="B10" s="6" t="inlineStr">
        <is>
          <t>Support Benefits</t>
        </is>
      </c>
      <c r="C10" s="24" t="n">
        <v>16166.35</v>
      </c>
      <c r="D10" s="24" t="n">
        <v>16319.87</v>
      </c>
      <c r="E10" s="24" t="n">
        <v>22953.12</v>
      </c>
      <c r="F10" s="24" t="n">
        <v>38103</v>
      </c>
      <c r="G10" s="24" t="n">
        <v>37655</v>
      </c>
      <c r="H10" s="24">
        <f>G10-F10</f>
        <v/>
      </c>
      <c r="I10" s="8">
        <f>IF(F10=0,0,G10/F10-1)</f>
        <v/>
      </c>
    </row>
    <row r="11">
      <c r="A11" s="6" t="inlineStr">
        <is>
          <t>1000.0000.2400.52340.010</t>
        </is>
      </c>
      <c r="B11" s="6" t="inlineStr">
        <is>
          <t>Retirement</t>
        </is>
      </c>
      <c r="C11" s="24" t="n">
        <v>8559.200000000001</v>
      </c>
      <c r="D11" s="24" t="n">
        <v>3392.4</v>
      </c>
      <c r="E11" s="24" t="n">
        <v>8430.559999999999</v>
      </c>
      <c r="F11" s="24" t="n">
        <v>9666</v>
      </c>
      <c r="G11" s="24" t="n">
        <v>10674</v>
      </c>
      <c r="H11" s="24">
        <f>G11-F11</f>
        <v/>
      </c>
      <c r="I11" s="8">
        <f>IF(F11=0,0,G11/F11-1)</f>
        <v/>
      </c>
    </row>
    <row r="12">
      <c r="A12" s="6" t="inlineStr">
        <is>
          <t>1000.0000.2400.52380.010</t>
        </is>
      </c>
      <c r="B12" s="6" t="inlineStr">
        <is>
          <t>Retirement</t>
        </is>
      </c>
      <c r="C12" s="24" t="n">
        <v>1619.81</v>
      </c>
      <c r="D12" s="24" t="n">
        <v>339.2</v>
      </c>
      <c r="E12" s="24" t="n">
        <v>0</v>
      </c>
      <c r="F12" s="24" t="n">
        <v>0</v>
      </c>
      <c r="G12" s="24" t="n">
        <v>2053</v>
      </c>
      <c r="H12" s="24">
        <f>G12-F12</f>
        <v/>
      </c>
      <c r="I12" s="8">
        <f>IF(F12=0,0,G12/F12-1)</f>
        <v/>
      </c>
    </row>
    <row r="13">
      <c r="A13" s="6" t="inlineStr">
        <is>
          <t>1000.0000.2400.55310.010</t>
        </is>
      </c>
      <c r="B13" s="6" t="inlineStr">
        <is>
          <t>Postage</t>
        </is>
      </c>
      <c r="C13" s="24" t="n">
        <v>2180</v>
      </c>
      <c r="D13" s="24" t="n">
        <v>1738.7</v>
      </c>
      <c r="E13" s="24" t="n">
        <v>2684.49</v>
      </c>
      <c r="F13" s="24" t="n">
        <v>3040</v>
      </c>
      <c r="G13" s="24" t="n">
        <v>2250</v>
      </c>
      <c r="H13" s="24">
        <f>G13-F13</f>
        <v/>
      </c>
      <c r="I13" s="8">
        <f>IF(F13=0,0,G13/F13-1)</f>
        <v/>
      </c>
    </row>
    <row r="14">
      <c r="A14" s="6" t="inlineStr">
        <is>
          <t>1000.0000.2400.55800.010</t>
        </is>
      </c>
      <c r="B14" s="6" t="inlineStr">
        <is>
          <t>Travel</t>
        </is>
      </c>
      <c r="C14" s="24" t="n">
        <v>624.1900000000001</v>
      </c>
      <c r="D14" s="24" t="n">
        <v>16.24</v>
      </c>
      <c r="E14" s="24" t="n">
        <v>0</v>
      </c>
      <c r="F14" s="24" t="n">
        <v>520</v>
      </c>
      <c r="G14" s="24" t="n">
        <v>520</v>
      </c>
      <c r="H14" s="24">
        <f>G14-F14</f>
        <v/>
      </c>
      <c r="I14" s="8">
        <f>IF(F14=0,0,G14/F14-1)</f>
        <v/>
      </c>
    </row>
    <row r="15">
      <c r="A15" s="6" t="inlineStr">
        <is>
          <t>1000.0000.2400.56000.010</t>
        </is>
      </c>
      <c r="B15" s="6" t="inlineStr">
        <is>
          <t>Supplies</t>
        </is>
      </c>
      <c r="C15" s="24" t="n">
        <v>0</v>
      </c>
      <c r="D15" s="24" t="n">
        <v>1150.22</v>
      </c>
      <c r="E15" s="24" t="n">
        <v>800.52</v>
      </c>
      <c r="F15" s="24" t="n">
        <v>1030</v>
      </c>
      <c r="G15" s="24" t="n">
        <v>1200</v>
      </c>
      <c r="H15" s="24">
        <f>G15-F15</f>
        <v/>
      </c>
      <c r="I15" s="8">
        <f>IF(F15=0,0,G15/F15-1)</f>
        <v/>
      </c>
    </row>
    <row r="16">
      <c r="A16" s="6" t="inlineStr">
        <is>
          <t>1000.0000.2400.56100.010</t>
        </is>
      </c>
      <c r="B16" s="6" t="inlineStr">
        <is>
          <t>Supplies</t>
        </is>
      </c>
      <c r="C16" s="24" t="n">
        <v>835.9</v>
      </c>
      <c r="D16" s="24" t="n">
        <v>75.65000000000001</v>
      </c>
      <c r="E16" s="24" t="n">
        <v>0</v>
      </c>
      <c r="F16" s="24" t="n">
        <v>0</v>
      </c>
      <c r="G16" s="24" t="n">
        <v>0</v>
      </c>
      <c r="H16" s="24">
        <f>G16-F16</f>
        <v/>
      </c>
      <c r="I16" s="8">
        <f>IF(F16=0,0,G16/F16-1)</f>
        <v/>
      </c>
    </row>
    <row r="17">
      <c r="A17" s="6" t="inlineStr">
        <is>
          <t>1000.0000.2400.56400.010</t>
        </is>
      </c>
      <c r="B17" s="6" t="inlineStr">
        <is>
          <t>Books</t>
        </is>
      </c>
      <c r="C17" s="24" t="n">
        <v>63.44</v>
      </c>
      <c r="D17" s="24" t="n">
        <v>160.76</v>
      </c>
      <c r="E17" s="24" t="n">
        <v>81.72</v>
      </c>
      <c r="F17" s="24" t="n">
        <v>150</v>
      </c>
      <c r="G17" s="24" t="n">
        <v>150</v>
      </c>
      <c r="H17" s="24">
        <f>G17-F17</f>
        <v/>
      </c>
      <c r="I17" s="8">
        <f>IF(F17=0,0,G17/F17-1)</f>
        <v/>
      </c>
    </row>
    <row r="18">
      <c r="A18" s="6" t="inlineStr">
        <is>
          <t>1000.0000.2400.58100.010</t>
        </is>
      </c>
      <c r="B18" s="6" t="inlineStr">
        <is>
          <t>Dues &amp; Fees</t>
        </is>
      </c>
      <c r="C18" s="24" t="n">
        <v>630</v>
      </c>
      <c r="D18" s="24" t="n">
        <v>730</v>
      </c>
      <c r="E18" s="24" t="n">
        <v>878</v>
      </c>
      <c r="F18" s="24" t="n">
        <v>1150</v>
      </c>
      <c r="G18" s="24" t="n">
        <v>1150</v>
      </c>
      <c r="H18" s="24">
        <f>G18-F18</f>
        <v/>
      </c>
      <c r="I18" s="8">
        <f>IF(F18=0,0,G18/F18-1)</f>
        <v/>
      </c>
    </row>
    <row r="19">
      <c r="A19" s="6" t="inlineStr">
        <is>
          <t>1000.0000.2400.58150.010</t>
        </is>
      </c>
      <c r="B19" s="6" t="inlineStr">
        <is>
          <t>Fingerprinting Fees - DCS</t>
        </is>
      </c>
      <c r="C19" s="24" t="n">
        <v>0</v>
      </c>
      <c r="D19" s="24" t="n">
        <v>0</v>
      </c>
      <c r="E19" s="24" t="n">
        <v>70</v>
      </c>
      <c r="F19" s="24" t="n">
        <v>0</v>
      </c>
      <c r="G19" s="24" t="n">
        <v>0</v>
      </c>
      <c r="H19" s="24">
        <f>G19-F19</f>
        <v/>
      </c>
      <c r="I19" s="8">
        <f>IF(F19=0,0,G19/F19-1)</f>
        <v/>
      </c>
    </row>
    <row r="20">
      <c r="A20" s="14" t="n"/>
      <c r="B20" s="28" t="inlineStr">
        <is>
          <t>Program 0000 Total</t>
        </is>
      </c>
      <c r="C20" s="29">
        <f>SUM(C7:C19)</f>
        <v/>
      </c>
      <c r="D20" s="29">
        <f>SUM(D7:D19)</f>
        <v/>
      </c>
      <c r="E20" s="29">
        <f>SUM(E7:E19)</f>
        <v/>
      </c>
      <c r="F20" s="29">
        <f>SUM(F7:F19)</f>
        <v/>
      </c>
      <c r="G20" s="29">
        <f>SUM(G7:G19)</f>
        <v/>
      </c>
      <c r="H20" s="29">
        <f>SUM(H7:H19)</f>
        <v/>
      </c>
      <c r="I20" s="29">
        <f>SUM(I7:I19)</f>
        <v/>
      </c>
    </row>
    <row r="21">
      <c r="A21" s="14" t="n"/>
      <c r="B21" s="17" t="inlineStr">
        <is>
          <t>Cost Center ('010',) Total</t>
        </is>
      </c>
      <c r="C21" s="32">
        <f>C20</f>
        <v/>
      </c>
      <c r="D21" s="32">
        <f>D20</f>
        <v/>
      </c>
      <c r="E21" s="32">
        <f>E20</f>
        <v/>
      </c>
      <c r="F21" s="32">
        <f>F20</f>
        <v/>
      </c>
      <c r="G21" s="32">
        <f>G20</f>
        <v/>
      </c>
      <c r="H21" s="32">
        <f>H20</f>
        <v/>
      </c>
      <c r="I21" s="32">
        <f>I20</f>
        <v/>
      </c>
    </row>
    <row r="23">
      <c r="A23" s="3" t="inlineStr">
        <is>
          <t>Cost Center: ('020',)</t>
        </is>
      </c>
    </row>
    <row r="24">
      <c r="A24" s="6" t="inlineStr">
        <is>
          <t>1000.0000.2400.51040.020</t>
        </is>
      </c>
      <c r="B24" s="6" t="inlineStr">
        <is>
          <t>Admin Salary</t>
        </is>
      </c>
      <c r="C24" s="24" t="n">
        <v>103443.9</v>
      </c>
      <c r="D24" s="24" t="n">
        <v>111372.4</v>
      </c>
      <c r="E24" s="24" t="n">
        <v>108562.31</v>
      </c>
      <c r="F24" s="24" t="n">
        <v>115408</v>
      </c>
      <c r="G24" s="24" t="n">
        <v>193651</v>
      </c>
      <c r="H24" s="24">
        <f>G24-F24</f>
        <v/>
      </c>
      <c r="I24" s="8">
        <f>IF(F24=0,0,G24/F24-1)</f>
        <v/>
      </c>
    </row>
    <row r="25">
      <c r="A25" s="6" t="inlineStr">
        <is>
          <t>1000.0000.2400.51180.020</t>
        </is>
      </c>
      <c r="B25" s="6" t="inlineStr">
        <is>
          <t>Support Wages</t>
        </is>
      </c>
      <c r="C25" s="24" t="n">
        <v>42914.92</v>
      </c>
      <c r="D25" s="24" t="n">
        <v>56965.58</v>
      </c>
      <c r="E25" s="24" t="n">
        <v>51070.34</v>
      </c>
      <c r="F25" s="24" t="n">
        <v>57783</v>
      </c>
      <c r="G25" s="24" t="n">
        <v>51961</v>
      </c>
      <c r="H25" s="24">
        <f>G25-F25</f>
        <v/>
      </c>
      <c r="I25" s="8">
        <f>IF(F25=0,0,G25/F25-1)</f>
        <v/>
      </c>
    </row>
    <row r="26">
      <c r="A26" s="6" t="inlineStr">
        <is>
          <t>1000.0000.2400.52040.020</t>
        </is>
      </c>
      <c r="B26" s="6" t="inlineStr">
        <is>
          <t>Admin Benefits</t>
        </is>
      </c>
      <c r="C26" s="24" t="n">
        <v>8420.610000000001</v>
      </c>
      <c r="D26" s="24" t="n">
        <v>5725</v>
      </c>
      <c r="E26" s="24" t="n">
        <v>7065.47</v>
      </c>
      <c r="F26" s="24" t="n">
        <v>12266</v>
      </c>
      <c r="G26" s="24" t="n">
        <v>42363</v>
      </c>
      <c r="H26" s="24">
        <f>G26-F26</f>
        <v/>
      </c>
      <c r="I26" s="8">
        <f>IF(F26=0,0,G26/F26-1)</f>
        <v/>
      </c>
    </row>
    <row r="27">
      <c r="A27" s="6" t="inlineStr">
        <is>
          <t>1000.0000.2400.52080.020</t>
        </is>
      </c>
      <c r="B27" s="6" t="inlineStr">
        <is>
          <t>Support Benefits</t>
        </is>
      </c>
      <c r="C27" s="24" t="n">
        <v>9504.110000000001</v>
      </c>
      <c r="D27" s="24" t="n">
        <v>5520.61</v>
      </c>
      <c r="E27" s="24" t="n">
        <v>12081.62</v>
      </c>
      <c r="F27" s="24" t="n">
        <v>18827</v>
      </c>
      <c r="G27" s="24" t="n">
        <v>17564</v>
      </c>
      <c r="H27" s="24">
        <f>G27-F27</f>
        <v/>
      </c>
      <c r="I27" s="8">
        <f>IF(F27=0,0,G27/F27-1)</f>
        <v/>
      </c>
    </row>
    <row r="28">
      <c r="A28" s="6" t="inlineStr">
        <is>
          <t>1000.0000.2400.52340.020</t>
        </is>
      </c>
      <c r="B28" s="6" t="inlineStr">
        <is>
          <t>Retirement</t>
        </is>
      </c>
      <c r="C28" s="24" t="n">
        <v>4288.7</v>
      </c>
      <c r="D28" s="24" t="n">
        <v>1708.9</v>
      </c>
      <c r="E28" s="24" t="n">
        <v>4381.16</v>
      </c>
      <c r="F28" s="24" t="n">
        <v>4801</v>
      </c>
      <c r="G28" s="24" t="n">
        <v>9002</v>
      </c>
      <c r="H28" s="24">
        <f>G28-F28</f>
        <v/>
      </c>
      <c r="I28" s="8">
        <f>IF(F28=0,0,G28/F28-1)</f>
        <v/>
      </c>
    </row>
    <row r="29">
      <c r="A29" s="6" t="inlineStr">
        <is>
          <t>1000.0000.2400.52380.020</t>
        </is>
      </c>
      <c r="B29" s="6" t="inlineStr">
        <is>
          <t>Retirement</t>
        </is>
      </c>
      <c r="C29" s="24" t="n">
        <v>0</v>
      </c>
      <c r="D29" s="24" t="n">
        <v>0</v>
      </c>
      <c r="E29" s="24" t="n">
        <v>131.43</v>
      </c>
      <c r="F29" s="24" t="n">
        <v>0</v>
      </c>
      <c r="G29" s="24" t="n">
        <v>2175</v>
      </c>
      <c r="H29" s="24">
        <f>G29-F29</f>
        <v/>
      </c>
      <c r="I29" s="8">
        <f>IF(F29=0,0,G29/F29-1)</f>
        <v/>
      </c>
    </row>
    <row r="30">
      <c r="A30" s="6" t="inlineStr">
        <is>
          <t>1000.0000.2400.55310.020</t>
        </is>
      </c>
      <c r="B30" s="6" t="inlineStr">
        <is>
          <t>Postage</t>
        </is>
      </c>
      <c r="C30" s="24" t="n">
        <v>544.66</v>
      </c>
      <c r="D30" s="24" t="n">
        <v>569.92</v>
      </c>
      <c r="E30" s="24" t="n">
        <v>918.5700000000001</v>
      </c>
      <c r="F30" s="24" t="n">
        <v>1770</v>
      </c>
      <c r="G30" s="24" t="n">
        <v>1000</v>
      </c>
      <c r="H30" s="24">
        <f>G30-F30</f>
        <v/>
      </c>
      <c r="I30" s="8">
        <f>IF(F30=0,0,G30/F30-1)</f>
        <v/>
      </c>
    </row>
    <row r="31">
      <c r="A31" s="6" t="inlineStr">
        <is>
          <t>1000.0000.2400.55800.020</t>
        </is>
      </c>
      <c r="B31" s="6" t="inlineStr">
        <is>
          <t>Travel</t>
        </is>
      </c>
      <c r="C31" s="24" t="n">
        <v>52.26</v>
      </c>
      <c r="D31" s="24" t="n">
        <v>16.24</v>
      </c>
      <c r="E31" s="24" t="n">
        <v>0</v>
      </c>
      <c r="F31" s="24" t="n">
        <v>300</v>
      </c>
      <c r="G31" s="24" t="n">
        <v>300</v>
      </c>
      <c r="H31" s="24">
        <f>G31-F31</f>
        <v/>
      </c>
      <c r="I31" s="8">
        <f>IF(F31=0,0,G31/F31-1)</f>
        <v/>
      </c>
    </row>
    <row r="32">
      <c r="A32" s="6" t="inlineStr">
        <is>
          <t>1000.0000.2400.56000.020</t>
        </is>
      </c>
      <c r="B32" s="6" t="inlineStr">
        <is>
          <t>Supplies</t>
        </is>
      </c>
      <c r="C32" s="24" t="n">
        <v>736.6</v>
      </c>
      <c r="D32" s="24" t="n">
        <v>140.64</v>
      </c>
      <c r="E32" s="24" t="n">
        <v>339.12</v>
      </c>
      <c r="F32" s="24" t="n">
        <v>500</v>
      </c>
      <c r="G32" s="24" t="n">
        <v>500</v>
      </c>
      <c r="H32" s="24">
        <f>G32-F32</f>
        <v/>
      </c>
      <c r="I32" s="8">
        <f>IF(F32=0,0,G32/F32-1)</f>
        <v/>
      </c>
    </row>
    <row r="33">
      <c r="A33" s="6" t="inlineStr">
        <is>
          <t>1000.0000.2400.58100.020</t>
        </is>
      </c>
      <c r="B33" s="6" t="inlineStr">
        <is>
          <t>Dues &amp; Fees</t>
        </is>
      </c>
      <c r="C33" s="24" t="n">
        <v>290</v>
      </c>
      <c r="D33" s="24" t="n">
        <v>340</v>
      </c>
      <c r="E33" s="24" t="n">
        <v>340</v>
      </c>
      <c r="F33" s="24" t="n">
        <v>575</v>
      </c>
      <c r="G33" s="24" t="n">
        <v>575</v>
      </c>
      <c r="H33" s="24">
        <f>G33-F33</f>
        <v/>
      </c>
      <c r="I33" s="8">
        <f>IF(F33=0,0,G33/F33-1)</f>
        <v/>
      </c>
    </row>
    <row r="34">
      <c r="A34" s="14" t="n"/>
      <c r="B34" s="28" t="inlineStr">
        <is>
          <t>Program 0000 Total</t>
        </is>
      </c>
      <c r="C34" s="29">
        <f>SUM(C24:C33)</f>
        <v/>
      </c>
      <c r="D34" s="29">
        <f>SUM(D24:D33)</f>
        <v/>
      </c>
      <c r="E34" s="29">
        <f>SUM(E24:E33)</f>
        <v/>
      </c>
      <c r="F34" s="29">
        <f>SUM(F24:F33)</f>
        <v/>
      </c>
      <c r="G34" s="29">
        <f>SUM(G24:G33)</f>
        <v/>
      </c>
      <c r="H34" s="29">
        <f>SUM(H24:H33)</f>
        <v/>
      </c>
      <c r="I34" s="29">
        <f>SUM(I24:I33)</f>
        <v/>
      </c>
    </row>
    <row r="35">
      <c r="A35" s="14" t="n"/>
      <c r="B35" s="17" t="inlineStr">
        <is>
          <t>Cost Center ('020',) Total</t>
        </is>
      </c>
      <c r="C35" s="32">
        <f>C34</f>
        <v/>
      </c>
      <c r="D35" s="32">
        <f>D34</f>
        <v/>
      </c>
      <c r="E35" s="32">
        <f>E34</f>
        <v/>
      </c>
      <c r="F35" s="32">
        <f>F34</f>
        <v/>
      </c>
      <c r="G35" s="32">
        <f>G34</f>
        <v/>
      </c>
      <c r="H35" s="32">
        <f>H34</f>
        <v/>
      </c>
      <c r="I35" s="32">
        <f>I34</f>
        <v/>
      </c>
    </row>
    <row r="37">
      <c r="A37" s="3" t="inlineStr">
        <is>
          <t>Cost Center: ('030',)</t>
        </is>
      </c>
    </row>
    <row r="38">
      <c r="A38" s="6" t="inlineStr">
        <is>
          <t>1000.0000.2400.51040.030</t>
        </is>
      </c>
      <c r="B38" s="6" t="inlineStr">
        <is>
          <t>Admin Salary</t>
        </is>
      </c>
      <c r="C38" s="24" t="n">
        <v>103383.9</v>
      </c>
      <c r="D38" s="24" t="n">
        <v>111353.31</v>
      </c>
      <c r="E38" s="24" t="n">
        <v>108629.62</v>
      </c>
      <c r="F38" s="24" t="n">
        <v>115408</v>
      </c>
      <c r="G38" s="24" t="n">
        <v>117628</v>
      </c>
      <c r="H38" s="24">
        <f>G38-F38</f>
        <v/>
      </c>
      <c r="I38" s="8">
        <f>IF(F38=0,0,G38/F38-1)</f>
        <v/>
      </c>
    </row>
    <row r="39">
      <c r="A39" s="6" t="inlineStr">
        <is>
          <t>1000.0000.2400.51180.030</t>
        </is>
      </c>
      <c r="B39" s="6" t="inlineStr">
        <is>
          <t>Support Wages</t>
        </is>
      </c>
      <c r="C39" s="24" t="n">
        <v>34566.08</v>
      </c>
      <c r="D39" s="24" t="n">
        <v>37425.53</v>
      </c>
      <c r="E39" s="24" t="n">
        <v>42917.55</v>
      </c>
      <c r="F39" s="24" t="n">
        <v>37149</v>
      </c>
      <c r="G39" s="24" t="n">
        <v>35686</v>
      </c>
      <c r="H39" s="24">
        <f>G39-F39</f>
        <v/>
      </c>
      <c r="I39" s="8">
        <f>IF(F39=0,0,G39/F39-1)</f>
        <v/>
      </c>
    </row>
    <row r="40">
      <c r="A40" s="6" t="inlineStr">
        <is>
          <t>1000.0000.2400.52040.030</t>
        </is>
      </c>
      <c r="B40" s="6" t="inlineStr">
        <is>
          <t>Admin Benefits</t>
        </is>
      </c>
      <c r="C40" s="24" t="n">
        <v>14045.69</v>
      </c>
      <c r="D40" s="24" t="n">
        <v>9921.639999999999</v>
      </c>
      <c r="E40" s="24" t="n">
        <v>11289.8</v>
      </c>
      <c r="F40" s="24" t="n">
        <v>29524</v>
      </c>
      <c r="G40" s="24" t="n">
        <v>28251</v>
      </c>
      <c r="H40" s="24">
        <f>G40-F40</f>
        <v/>
      </c>
      <c r="I40" s="8">
        <f>IF(F40=0,0,G40/F40-1)</f>
        <v/>
      </c>
    </row>
    <row r="41">
      <c r="A41" s="6" t="inlineStr">
        <is>
          <t>1000.0000.2400.52080.030</t>
        </is>
      </c>
      <c r="B41" s="6" t="inlineStr">
        <is>
          <t>Support Benefits</t>
        </is>
      </c>
      <c r="C41" s="24" t="n">
        <v>6685.53</v>
      </c>
      <c r="D41" s="24" t="n">
        <v>4967.33</v>
      </c>
      <c r="E41" s="24" t="n">
        <v>3914.33</v>
      </c>
      <c r="F41" s="24" t="n">
        <v>6938</v>
      </c>
      <c r="G41" s="24" t="n">
        <v>9039</v>
      </c>
      <c r="H41" s="24">
        <f>G41-F41</f>
        <v/>
      </c>
      <c r="I41" s="8">
        <f>IF(F41=0,0,G41/F41-1)</f>
        <v/>
      </c>
    </row>
    <row r="42">
      <c r="A42" s="6" t="inlineStr">
        <is>
          <t>1000.0000.2400.52340.030</t>
        </is>
      </c>
      <c r="B42" s="6" t="inlineStr">
        <is>
          <t>Retirement</t>
        </is>
      </c>
      <c r="C42" s="24" t="n">
        <v>4288.7</v>
      </c>
      <c r="D42" s="24" t="n">
        <v>1708.9</v>
      </c>
      <c r="E42" s="24" t="n">
        <v>4237.42</v>
      </c>
      <c r="F42" s="24" t="n">
        <v>4801</v>
      </c>
      <c r="G42" s="24" t="n">
        <v>5468</v>
      </c>
      <c r="H42" s="24">
        <f>G42-F42</f>
        <v/>
      </c>
      <c r="I42" s="8">
        <f>IF(F42=0,0,G42/F42-1)</f>
        <v/>
      </c>
    </row>
    <row r="43">
      <c r="A43" s="6" t="inlineStr">
        <is>
          <t>1000.0000.2400.52380.030</t>
        </is>
      </c>
      <c r="B43" s="6" t="inlineStr">
        <is>
          <t>Retirement</t>
        </is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1909</v>
      </c>
      <c r="H43" s="24">
        <f>G43-F43</f>
        <v/>
      </c>
      <c r="I43" s="8">
        <f>IF(F43=0,0,G43/F43-1)</f>
        <v/>
      </c>
    </row>
    <row r="44">
      <c r="A44" s="6" t="inlineStr">
        <is>
          <t>1000.0000.2400.55310.030</t>
        </is>
      </c>
      <c r="B44" s="6" t="inlineStr">
        <is>
          <t>Postage</t>
        </is>
      </c>
      <c r="C44" s="24" t="n">
        <v>500.89</v>
      </c>
      <c r="D44" s="24" t="n">
        <v>280.43</v>
      </c>
      <c r="E44" s="24" t="n">
        <v>233.7</v>
      </c>
      <c r="F44" s="24" t="n">
        <v>550</v>
      </c>
      <c r="G44" s="24" t="n">
        <v>400</v>
      </c>
      <c r="H44" s="24">
        <f>G44-F44</f>
        <v/>
      </c>
      <c r="I44" s="8">
        <f>IF(F44=0,0,G44/F44-1)</f>
        <v/>
      </c>
    </row>
    <row r="45">
      <c r="A45" s="6" t="inlineStr">
        <is>
          <t>1000.0000.2400.55800.030</t>
        </is>
      </c>
      <c r="B45" s="6" t="inlineStr">
        <is>
          <t>Travel</t>
        </is>
      </c>
      <c r="C45" s="24" t="n">
        <v>24.15</v>
      </c>
      <c r="D45" s="24" t="n">
        <v>16.24</v>
      </c>
      <c r="E45" s="24" t="n">
        <v>235.46</v>
      </c>
      <c r="F45" s="24" t="n">
        <v>470</v>
      </c>
      <c r="G45" s="24" t="n">
        <v>470</v>
      </c>
      <c r="H45" s="24">
        <f>G45-F45</f>
        <v/>
      </c>
      <c r="I45" s="8">
        <f>IF(F45=0,0,G45/F45-1)</f>
        <v/>
      </c>
    </row>
    <row r="46">
      <c r="A46" s="6" t="inlineStr">
        <is>
          <t>1000.0000.2400.56000.030</t>
        </is>
      </c>
      <c r="B46" s="6" t="inlineStr">
        <is>
          <t>Supplies</t>
        </is>
      </c>
      <c r="C46" s="24" t="n">
        <v>504.19</v>
      </c>
      <c r="D46" s="24" t="n">
        <v>184.6</v>
      </c>
      <c r="E46" s="24" t="n">
        <v>294.54</v>
      </c>
      <c r="F46" s="24" t="n">
        <v>300</v>
      </c>
      <c r="G46" s="24" t="n">
        <v>300</v>
      </c>
      <c r="H46" s="24">
        <f>G46-F46</f>
        <v/>
      </c>
      <c r="I46" s="8">
        <f>IF(F46=0,0,G46/F46-1)</f>
        <v/>
      </c>
    </row>
    <row r="47">
      <c r="A47" s="6" t="inlineStr">
        <is>
          <t>1000.0000.2400.56400.030</t>
        </is>
      </c>
      <c r="B47" s="6" t="inlineStr">
        <is>
          <t>Admin Books</t>
        </is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300</v>
      </c>
      <c r="H47" s="24">
        <f>G47-F47</f>
        <v/>
      </c>
      <c r="I47" s="8">
        <f>IF(F47=0,0,G47/F47-1)</f>
        <v/>
      </c>
    </row>
    <row r="48">
      <c r="A48" s="6" t="inlineStr">
        <is>
          <t>1000.0000.2400.58100.030</t>
        </is>
      </c>
      <c r="B48" s="6" t="inlineStr">
        <is>
          <t>Dues &amp; Fees</t>
        </is>
      </c>
      <c r="C48" s="24" t="n">
        <v>290</v>
      </c>
      <c r="D48" s="24" t="n">
        <v>429</v>
      </c>
      <c r="E48" s="24" t="n">
        <v>234</v>
      </c>
      <c r="F48" s="24" t="n">
        <v>575</v>
      </c>
      <c r="G48" s="24" t="n">
        <v>400</v>
      </c>
      <c r="H48" s="24">
        <f>G48-F48</f>
        <v/>
      </c>
      <c r="I48" s="8">
        <f>IF(F48=0,0,G48/F48-1)</f>
        <v/>
      </c>
    </row>
    <row r="49">
      <c r="A49" s="14" t="n"/>
      <c r="B49" s="28" t="inlineStr">
        <is>
          <t>Program 0000 Total</t>
        </is>
      </c>
      <c r="C49" s="29">
        <f>SUM(C38:C48)</f>
        <v/>
      </c>
      <c r="D49" s="29">
        <f>SUM(D38:D48)</f>
        <v/>
      </c>
      <c r="E49" s="29">
        <f>SUM(E38:E48)</f>
        <v/>
      </c>
      <c r="F49" s="29">
        <f>SUM(F38:F48)</f>
        <v/>
      </c>
      <c r="G49" s="29">
        <f>SUM(G38:G48)</f>
        <v/>
      </c>
      <c r="H49" s="29">
        <f>SUM(H38:H48)</f>
        <v/>
      </c>
      <c r="I49" s="29">
        <f>SUM(I38:I48)</f>
        <v/>
      </c>
    </row>
    <row r="50">
      <c r="A50" s="14" t="n"/>
      <c r="B50" s="17" t="inlineStr">
        <is>
          <t>Cost Center ('030',) Total</t>
        </is>
      </c>
      <c r="C50" s="32">
        <f>C49</f>
        <v/>
      </c>
      <c r="D50" s="32">
        <f>D49</f>
        <v/>
      </c>
      <c r="E50" s="32">
        <f>E49</f>
        <v/>
      </c>
      <c r="F50" s="32">
        <f>F49</f>
        <v/>
      </c>
      <c r="G50" s="32">
        <f>G49</f>
        <v/>
      </c>
      <c r="H50" s="32">
        <f>H49</f>
        <v/>
      </c>
      <c r="I50" s="32">
        <f>I49</f>
        <v/>
      </c>
    </row>
    <row r="52">
      <c r="A52" s="3" t="inlineStr">
        <is>
          <t>Cost Center: ('040',)</t>
        </is>
      </c>
    </row>
    <row r="53">
      <c r="A53" s="6" t="inlineStr">
        <is>
          <t>1000.0000.2400.51040.040</t>
        </is>
      </c>
      <c r="B53" s="6" t="inlineStr">
        <is>
          <t>Admin Salaries</t>
        </is>
      </c>
      <c r="C53" s="24" t="n">
        <v>103443.9</v>
      </c>
      <c r="D53" s="24" t="n">
        <v>110948.89</v>
      </c>
      <c r="E53" s="24" t="n">
        <v>108332.18</v>
      </c>
      <c r="F53" s="24" t="n">
        <v>115408</v>
      </c>
      <c r="G53" s="24" t="n">
        <v>117628</v>
      </c>
      <c r="H53" s="24">
        <f>G53-F53</f>
        <v/>
      </c>
      <c r="I53" s="8">
        <f>IF(F53=0,0,G53/F53-1)</f>
        <v/>
      </c>
    </row>
    <row r="54">
      <c r="A54" s="6" t="inlineStr">
        <is>
          <t>1000.0000.2400.51180.040</t>
        </is>
      </c>
      <c r="B54" s="6" t="inlineStr">
        <is>
          <t>Support Wages</t>
        </is>
      </c>
      <c r="C54" s="24" t="n">
        <v>44824.24</v>
      </c>
      <c r="D54" s="24" t="n">
        <v>49988.67</v>
      </c>
      <c r="E54" s="24" t="n">
        <v>47047.36</v>
      </c>
      <c r="F54" s="24" t="n">
        <v>46634</v>
      </c>
      <c r="G54" s="24" t="n">
        <v>47563</v>
      </c>
      <c r="H54" s="24">
        <f>G54-F54</f>
        <v/>
      </c>
      <c r="I54" s="8">
        <f>IF(F54=0,0,G54/F54-1)</f>
        <v/>
      </c>
    </row>
    <row r="55">
      <c r="A55" s="6" t="inlineStr">
        <is>
          <t>1000.0000.2400.52040.040</t>
        </is>
      </c>
      <c r="B55" s="6" t="inlineStr">
        <is>
          <t>Admin Benefits</t>
        </is>
      </c>
      <c r="C55" s="24" t="n">
        <v>24953.59</v>
      </c>
      <c r="D55" s="24" t="n">
        <v>22775.77</v>
      </c>
      <c r="E55" s="24" t="n">
        <v>24797.81</v>
      </c>
      <c r="F55" s="24" t="n">
        <v>28039</v>
      </c>
      <c r="G55" s="24" t="n">
        <v>32414</v>
      </c>
      <c r="H55" s="24">
        <f>G55-F55</f>
        <v/>
      </c>
      <c r="I55" s="8">
        <f>IF(F55=0,0,G55/F55-1)</f>
        <v/>
      </c>
    </row>
    <row r="56">
      <c r="A56" s="6" t="inlineStr">
        <is>
          <t>1000.0000.2400.52080.040</t>
        </is>
      </c>
      <c r="B56" s="6" t="inlineStr">
        <is>
          <t>Support Benefits</t>
        </is>
      </c>
      <c r="C56" s="24" t="n">
        <v>14975.81</v>
      </c>
      <c r="D56" s="24" t="n">
        <v>9607.65</v>
      </c>
      <c r="E56" s="24" t="n">
        <v>15101.72</v>
      </c>
      <c r="F56" s="24" t="n">
        <v>24065</v>
      </c>
      <c r="G56" s="24" t="n">
        <v>16880</v>
      </c>
      <c r="H56" s="24">
        <f>G56-F56</f>
        <v/>
      </c>
      <c r="I56" s="8">
        <f>IF(F56=0,0,G56/F56-1)</f>
        <v/>
      </c>
    </row>
    <row r="57">
      <c r="A57" s="6" t="inlineStr">
        <is>
          <t>1000.0000.2400.52340.040</t>
        </is>
      </c>
      <c r="B57" s="6" t="inlineStr">
        <is>
          <t>Retirement</t>
        </is>
      </c>
      <c r="C57" s="24" t="n">
        <v>4288.7</v>
      </c>
      <c r="D57" s="24" t="n">
        <v>1708.9</v>
      </c>
      <c r="E57" s="24" t="n">
        <v>4246.17</v>
      </c>
      <c r="F57" s="24" t="n">
        <v>4801</v>
      </c>
      <c r="G57" s="24" t="n">
        <v>5468</v>
      </c>
      <c r="H57" s="24">
        <f>G57-F57</f>
        <v/>
      </c>
      <c r="I57" s="8">
        <f>IF(F57=0,0,G57/F57-1)</f>
        <v/>
      </c>
    </row>
    <row r="58">
      <c r="A58" s="6" t="inlineStr">
        <is>
          <t>1000.0000.2400.52380.040</t>
        </is>
      </c>
      <c r="B58" s="6" t="inlineStr">
        <is>
          <t>Retirement</t>
        </is>
      </c>
      <c r="C58" s="24" t="n">
        <v>0</v>
      </c>
      <c r="D58" s="24" t="n">
        <v>0</v>
      </c>
      <c r="E58" s="24" t="n">
        <v>124.05</v>
      </c>
      <c r="F58" s="24" t="n">
        <v>0</v>
      </c>
      <c r="G58" s="24" t="n">
        <v>1956</v>
      </c>
      <c r="H58" s="24">
        <f>G58-F58</f>
        <v/>
      </c>
      <c r="I58" s="8">
        <f>IF(F58=0,0,G58/F58-1)</f>
        <v/>
      </c>
    </row>
    <row r="59">
      <c r="A59" s="6" t="inlineStr">
        <is>
          <t>1000.0000.2400.55310.040</t>
        </is>
      </c>
      <c r="B59" s="6" t="inlineStr">
        <is>
          <t>Postage</t>
        </is>
      </c>
      <c r="C59" s="24" t="n">
        <v>950.37</v>
      </c>
      <c r="D59" s="24" t="n">
        <v>528.67</v>
      </c>
      <c r="E59" s="24" t="n">
        <v>918.37</v>
      </c>
      <c r="F59" s="24" t="n">
        <v>2020</v>
      </c>
      <c r="G59" s="24" t="n">
        <v>1500</v>
      </c>
      <c r="H59" s="24">
        <f>G59-F59</f>
        <v/>
      </c>
      <c r="I59" s="8">
        <f>IF(F59=0,0,G59/F59-1)</f>
        <v/>
      </c>
    </row>
    <row r="60">
      <c r="A60" s="6" t="inlineStr">
        <is>
          <t>1000.0000.2400.55800.040</t>
        </is>
      </c>
      <c r="B60" s="6" t="inlineStr">
        <is>
          <t>Travel</t>
        </is>
      </c>
      <c r="C60" s="24" t="n">
        <v>66.58</v>
      </c>
      <c r="D60" s="24" t="n">
        <v>16.24</v>
      </c>
      <c r="E60" s="24" t="n">
        <v>31.59</v>
      </c>
      <c r="F60" s="24" t="n">
        <v>300</v>
      </c>
      <c r="G60" s="24" t="n">
        <v>300</v>
      </c>
      <c r="H60" s="24">
        <f>G60-F60</f>
        <v/>
      </c>
      <c r="I60" s="8">
        <f>IF(F60=0,0,G60/F60-1)</f>
        <v/>
      </c>
    </row>
    <row r="61">
      <c r="A61" s="6" t="inlineStr">
        <is>
          <t>1000.0000.2400.56000.040</t>
        </is>
      </c>
      <c r="B61" s="6" t="inlineStr">
        <is>
          <t>Supplies</t>
        </is>
      </c>
      <c r="C61" s="24" t="n">
        <v>968.42</v>
      </c>
      <c r="D61" s="24" t="n">
        <v>0</v>
      </c>
      <c r="E61" s="24" t="n">
        <v>51.69</v>
      </c>
      <c r="F61" s="24" t="n">
        <v>500</v>
      </c>
      <c r="G61" s="24" t="n">
        <v>250</v>
      </c>
      <c r="H61" s="24">
        <f>G61-F61</f>
        <v/>
      </c>
      <c r="I61" s="8">
        <f>IF(F61=0,0,G61/F61-1)</f>
        <v/>
      </c>
    </row>
    <row r="62">
      <c r="A62" s="6" t="inlineStr">
        <is>
          <t>1000.0000.2400.56400.040</t>
        </is>
      </c>
      <c r="B62" s="6" t="inlineStr">
        <is>
          <t>Admin Books</t>
        </is>
      </c>
      <c r="C62" s="24" t="n">
        <v>0</v>
      </c>
      <c r="D62" s="24" t="n">
        <v>0</v>
      </c>
      <c r="E62" s="24" t="n">
        <v>0</v>
      </c>
      <c r="F62" s="24" t="n">
        <v>0</v>
      </c>
      <c r="G62" s="24" t="n">
        <v>100</v>
      </c>
      <c r="H62" s="24">
        <f>G62-F62</f>
        <v/>
      </c>
      <c r="I62" s="8">
        <f>IF(F62=0,0,G62/F62-1)</f>
        <v/>
      </c>
    </row>
    <row r="63">
      <c r="A63" s="6" t="inlineStr">
        <is>
          <t>1000.0000.2400.58100.040</t>
        </is>
      </c>
      <c r="B63" s="6" t="inlineStr">
        <is>
          <t>Dues &amp; Fees</t>
        </is>
      </c>
      <c r="C63" s="24" t="n">
        <v>290</v>
      </c>
      <c r="D63" s="24" t="n">
        <v>0</v>
      </c>
      <c r="E63" s="24" t="n">
        <v>399</v>
      </c>
      <c r="F63" s="24" t="n">
        <v>450</v>
      </c>
      <c r="G63" s="24" t="n">
        <v>399</v>
      </c>
      <c r="H63" s="24">
        <f>G63-F63</f>
        <v/>
      </c>
      <c r="I63" s="8">
        <f>IF(F63=0,0,G63/F63-1)</f>
        <v/>
      </c>
    </row>
    <row r="64">
      <c r="A64" s="6" t="inlineStr">
        <is>
          <t>1000.0000.2400.58150.040</t>
        </is>
      </c>
      <c r="B64" s="6" t="inlineStr">
        <is>
          <t>Fingerprinting Fees</t>
        </is>
      </c>
      <c r="C64" s="24" t="n">
        <v>0</v>
      </c>
      <c r="D64" s="24" t="n">
        <v>0</v>
      </c>
      <c r="E64" s="24" t="n">
        <v>125</v>
      </c>
      <c r="F64" s="24" t="n">
        <v>0</v>
      </c>
      <c r="G64" s="24" t="n">
        <v>0</v>
      </c>
      <c r="H64" s="24">
        <f>G64-F64</f>
        <v/>
      </c>
      <c r="I64" s="8">
        <f>IF(F64=0,0,G64/F64-1)</f>
        <v/>
      </c>
    </row>
    <row r="65">
      <c r="A65" s="14" t="n"/>
      <c r="B65" s="28" t="inlineStr">
        <is>
          <t>Program 0000 Total</t>
        </is>
      </c>
      <c r="C65" s="29">
        <f>SUM(C53:C64)</f>
        <v/>
      </c>
      <c r="D65" s="29">
        <f>SUM(D53:D64)</f>
        <v/>
      </c>
      <c r="E65" s="29">
        <f>SUM(E53:E64)</f>
        <v/>
      </c>
      <c r="F65" s="29">
        <f>SUM(F53:F64)</f>
        <v/>
      </c>
      <c r="G65" s="29">
        <f>SUM(G53:G64)</f>
        <v/>
      </c>
      <c r="H65" s="29">
        <f>SUM(H53:H64)</f>
        <v/>
      </c>
      <c r="I65" s="29">
        <f>SUM(I53:I64)</f>
        <v/>
      </c>
    </row>
    <row r="66">
      <c r="A66" s="14" t="n"/>
      <c r="B66" s="17" t="inlineStr">
        <is>
          <t>Cost Center ('040',) Total</t>
        </is>
      </c>
      <c r="C66" s="32">
        <f>C65</f>
        <v/>
      </c>
      <c r="D66" s="32">
        <f>D65</f>
        <v/>
      </c>
      <c r="E66" s="32">
        <f>E65</f>
        <v/>
      </c>
      <c r="F66" s="32">
        <f>F65</f>
        <v/>
      </c>
      <c r="G66" s="32">
        <f>G65</f>
        <v/>
      </c>
      <c r="H66" s="32">
        <f>H65</f>
        <v/>
      </c>
      <c r="I66" s="32">
        <f>I65</f>
        <v/>
      </c>
    </row>
    <row r="68">
      <c r="A68" s="3" t="inlineStr">
        <is>
          <t>Cost Center: ('050',)</t>
        </is>
      </c>
    </row>
    <row r="69">
      <c r="A69" s="6" t="inlineStr">
        <is>
          <t>1000.0000.2400.51040.050</t>
        </is>
      </c>
      <c r="B69" s="6" t="inlineStr">
        <is>
          <t>Admin Salaries</t>
        </is>
      </c>
      <c r="C69" s="24" t="n">
        <v>187602</v>
      </c>
      <c r="D69" s="24" t="n">
        <v>201025.11</v>
      </c>
      <c r="E69" s="24" t="n">
        <v>196822.52</v>
      </c>
      <c r="F69" s="24" t="n">
        <v>208416</v>
      </c>
      <c r="G69" s="24" t="n">
        <v>208800</v>
      </c>
      <c r="H69" s="24">
        <f>G69-F69</f>
        <v/>
      </c>
      <c r="I69" s="8">
        <f>IF(F69=0,0,G69/F69-1)</f>
        <v/>
      </c>
    </row>
    <row r="70">
      <c r="A70" s="6" t="inlineStr">
        <is>
          <t>1000.0000.2400.51180.050</t>
        </is>
      </c>
      <c r="B70" s="6" t="inlineStr">
        <is>
          <t>Support Wages</t>
        </is>
      </c>
      <c r="C70" s="24" t="n">
        <v>63820.5</v>
      </c>
      <c r="D70" s="24" t="n">
        <v>85005.23</v>
      </c>
      <c r="E70" s="24" t="n">
        <v>76805.11</v>
      </c>
      <c r="F70" s="24" t="n">
        <v>87841</v>
      </c>
      <c r="G70" s="24" t="n">
        <v>73487</v>
      </c>
      <c r="H70" s="24">
        <f>G70-F70</f>
        <v/>
      </c>
      <c r="I70" s="8">
        <f>IF(F70=0,0,G70/F70-1)</f>
        <v/>
      </c>
    </row>
    <row r="71">
      <c r="A71" s="6" t="inlineStr">
        <is>
          <t>1000.0000.2400.52040.050</t>
        </is>
      </c>
      <c r="B71" s="6" t="inlineStr">
        <is>
          <t>Admin Benefits</t>
        </is>
      </c>
      <c r="C71" s="24" t="n">
        <v>29709.84</v>
      </c>
      <c r="D71" s="24" t="n">
        <v>33758.93</v>
      </c>
      <c r="E71" s="24" t="n">
        <v>40722.68</v>
      </c>
      <c r="F71" s="24" t="n">
        <v>51997</v>
      </c>
      <c r="G71" s="24" t="n">
        <v>54875</v>
      </c>
      <c r="H71" s="24">
        <f>G71-F71</f>
        <v/>
      </c>
      <c r="I71" s="8">
        <f>IF(F71=0,0,G71/F71-1)</f>
        <v/>
      </c>
    </row>
    <row r="72">
      <c r="A72" s="6" t="inlineStr">
        <is>
          <t>1000.0000.2400.52080.050</t>
        </is>
      </c>
      <c r="B72" s="6" t="inlineStr">
        <is>
          <t>Support Benefits</t>
        </is>
      </c>
      <c r="C72" s="24" t="n">
        <v>34235.24</v>
      </c>
      <c r="D72" s="24" t="n">
        <v>13186.95</v>
      </c>
      <c r="E72" s="24" t="n">
        <v>23337.59</v>
      </c>
      <c r="F72" s="24" t="n">
        <v>61418</v>
      </c>
      <c r="G72" s="24" t="n">
        <v>39280</v>
      </c>
      <c r="H72" s="24">
        <f>G72-F72</f>
        <v/>
      </c>
      <c r="I72" s="8">
        <f>IF(F72=0,0,G72/F72-1)</f>
        <v/>
      </c>
    </row>
    <row r="73">
      <c r="A73" s="6" t="inlineStr">
        <is>
          <t>1000.0000.2400.52340.050</t>
        </is>
      </c>
      <c r="B73" s="6" t="inlineStr">
        <is>
          <t>Retirement</t>
        </is>
      </c>
      <c r="C73" s="24" t="n">
        <v>7789.6</v>
      </c>
      <c r="D73" s="24" t="n">
        <v>3083.7</v>
      </c>
      <c r="E73" s="24" t="n">
        <v>7694.7</v>
      </c>
      <c r="F73" s="24" t="n">
        <v>8670</v>
      </c>
      <c r="G73" s="24" t="n">
        <v>9707</v>
      </c>
      <c r="H73" s="24">
        <f>G73-F73</f>
        <v/>
      </c>
      <c r="I73" s="8">
        <f>IF(F73=0,0,G73/F73-1)</f>
        <v/>
      </c>
    </row>
    <row r="74">
      <c r="A74" s="6" t="inlineStr">
        <is>
          <t>1000.0000.2400.52380.050</t>
        </is>
      </c>
      <c r="B74" s="6" t="inlineStr">
        <is>
          <t>Retirement</t>
        </is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3932</v>
      </c>
      <c r="H74" s="24">
        <f>G74-F74</f>
        <v/>
      </c>
      <c r="I74" s="8">
        <f>IF(F74=0,0,G74/F74-1)</f>
        <v/>
      </c>
    </row>
    <row r="75">
      <c r="A75" s="6" t="inlineStr">
        <is>
          <t>1000.0000.2400.55310.050</t>
        </is>
      </c>
      <c r="B75" s="6" t="inlineStr">
        <is>
          <t>Postage</t>
        </is>
      </c>
      <c r="C75" s="24" t="n">
        <v>1187.49</v>
      </c>
      <c r="D75" s="24" t="n">
        <v>706.5700000000001</v>
      </c>
      <c r="E75" s="24" t="n">
        <v>922.4400000000001</v>
      </c>
      <c r="F75" s="24" t="n">
        <v>2020</v>
      </c>
      <c r="G75" s="24" t="n">
        <v>2020</v>
      </c>
      <c r="H75" s="24">
        <f>G75-F75</f>
        <v/>
      </c>
      <c r="I75" s="8">
        <f>IF(F75=0,0,G75/F75-1)</f>
        <v/>
      </c>
    </row>
    <row r="76">
      <c r="A76" s="6" t="inlineStr">
        <is>
          <t>1000.0000.2400.55800.050</t>
        </is>
      </c>
      <c r="B76" s="6" t="inlineStr">
        <is>
          <t>Travel</t>
        </is>
      </c>
      <c r="C76" s="24" t="n">
        <v>593.9400000000001</v>
      </c>
      <c r="D76" s="24" t="n">
        <v>189.1</v>
      </c>
      <c r="E76" s="24" t="n">
        <v>333.87</v>
      </c>
      <c r="F76" s="24" t="n">
        <v>810</v>
      </c>
      <c r="G76" s="24" t="n">
        <v>810</v>
      </c>
      <c r="H76" s="24">
        <f>G76-F76</f>
        <v/>
      </c>
      <c r="I76" s="8">
        <f>IF(F76=0,0,G76/F76-1)</f>
        <v/>
      </c>
    </row>
    <row r="77">
      <c r="A77" s="6" t="inlineStr">
        <is>
          <t>1000.0000.2400.56000.050</t>
        </is>
      </c>
      <c r="B77" s="6" t="inlineStr">
        <is>
          <t>Supplies</t>
        </is>
      </c>
      <c r="C77" s="24" t="n">
        <v>567.29</v>
      </c>
      <c r="D77" s="24" t="n">
        <v>502.37</v>
      </c>
      <c r="E77" s="24" t="n">
        <v>469.58</v>
      </c>
      <c r="F77" s="24" t="n">
        <v>500</v>
      </c>
      <c r="G77" s="24" t="n">
        <v>500</v>
      </c>
      <c r="H77" s="24">
        <f>G77-F77</f>
        <v/>
      </c>
      <c r="I77" s="8">
        <f>IF(F77=0,0,G77/F77-1)</f>
        <v/>
      </c>
    </row>
    <row r="78">
      <c r="A78" s="6" t="inlineStr">
        <is>
          <t>1000.0000.2400.58100.050</t>
        </is>
      </c>
      <c r="B78" s="6" t="inlineStr">
        <is>
          <t>Dues &amp; Fees</t>
        </is>
      </c>
      <c r="C78" s="24" t="n">
        <v>565</v>
      </c>
      <c r="D78" s="24" t="n">
        <v>0</v>
      </c>
      <c r="E78" s="24" t="n">
        <v>736</v>
      </c>
      <c r="F78" s="24" t="n">
        <v>900</v>
      </c>
      <c r="G78" s="24" t="n">
        <v>900</v>
      </c>
      <c r="H78" s="24">
        <f>G78-F78</f>
        <v/>
      </c>
      <c r="I78" s="8">
        <f>IF(F78=0,0,G78/F78-1)</f>
        <v/>
      </c>
    </row>
    <row r="79">
      <c r="A79" s="6" t="inlineStr">
        <is>
          <t>1000.0000.2400.58150.050</t>
        </is>
      </c>
      <c r="B79" s="6" t="inlineStr">
        <is>
          <t>Fingerprinting Fees - FMS</t>
        </is>
      </c>
      <c r="C79" s="24" t="n">
        <v>0</v>
      </c>
      <c r="D79" s="24" t="n">
        <v>0</v>
      </c>
      <c r="E79" s="24" t="n">
        <v>70</v>
      </c>
      <c r="F79" s="24" t="n">
        <v>0</v>
      </c>
      <c r="G79" s="24" t="n">
        <v>0</v>
      </c>
      <c r="H79" s="24">
        <f>G79-F79</f>
        <v/>
      </c>
      <c r="I79" s="8">
        <f>IF(F79=0,0,G79/F79-1)</f>
        <v/>
      </c>
    </row>
    <row r="80">
      <c r="A80" s="14" t="n"/>
      <c r="B80" s="28" t="inlineStr">
        <is>
          <t>Program 0000 Total</t>
        </is>
      </c>
      <c r="C80" s="29">
        <f>SUM(C69:C79)</f>
        <v/>
      </c>
      <c r="D80" s="29">
        <f>SUM(D69:D79)</f>
        <v/>
      </c>
      <c r="E80" s="29">
        <f>SUM(E69:E79)</f>
        <v/>
      </c>
      <c r="F80" s="29">
        <f>SUM(F69:F79)</f>
        <v/>
      </c>
      <c r="G80" s="29">
        <f>SUM(G69:G79)</f>
        <v/>
      </c>
      <c r="H80" s="29">
        <f>SUM(H69:H79)</f>
        <v/>
      </c>
      <c r="I80" s="29">
        <f>SUM(I69:I79)</f>
        <v/>
      </c>
    </row>
    <row r="81">
      <c r="A81" s="14" t="n"/>
      <c r="B81" s="17" t="inlineStr">
        <is>
          <t>Cost Center ('050',) Total</t>
        </is>
      </c>
      <c r="C81" s="32">
        <f>C80</f>
        <v/>
      </c>
      <c r="D81" s="32">
        <f>D80</f>
        <v/>
      </c>
      <c r="E81" s="32">
        <f>E80</f>
        <v/>
      </c>
      <c r="F81" s="32">
        <f>F80</f>
        <v/>
      </c>
      <c r="G81" s="32">
        <f>G80</f>
        <v/>
      </c>
      <c r="H81" s="32">
        <f>H80</f>
        <v/>
      </c>
      <c r="I81" s="32">
        <f>I80</f>
        <v/>
      </c>
    </row>
    <row r="83">
      <c r="A83" s="3" t="inlineStr">
        <is>
          <t>Cost Center: ('300',)</t>
        </is>
      </c>
    </row>
    <row r="84">
      <c r="A84" s="6" t="inlineStr">
        <is>
          <t>1000.0000.2400.51040.300</t>
        </is>
      </c>
      <c r="B84" s="6" t="inlineStr">
        <is>
          <t>Admin Salaries</t>
        </is>
      </c>
      <c r="C84" s="24" t="n">
        <v>212137.98</v>
      </c>
      <c r="D84" s="24" t="n">
        <v>229411.83</v>
      </c>
      <c r="E84" s="24" t="n">
        <v>225067.52</v>
      </c>
      <c r="F84" s="24" t="n">
        <v>238347</v>
      </c>
      <c r="G84" s="24" t="n">
        <v>239136</v>
      </c>
      <c r="H84" s="24">
        <f>G84-F84</f>
        <v/>
      </c>
      <c r="I84" s="8">
        <f>IF(F84=0,0,G84/F84-1)</f>
        <v/>
      </c>
    </row>
    <row r="85">
      <c r="A85" s="6" t="inlineStr">
        <is>
          <t>1000.0000.2400.51180.300</t>
        </is>
      </c>
      <c r="B85" s="6" t="inlineStr">
        <is>
          <t>Support Wages</t>
        </is>
      </c>
      <c r="C85" s="24" t="n">
        <v>98815.16</v>
      </c>
      <c r="D85" s="24" t="n">
        <v>113072.35</v>
      </c>
      <c r="E85" s="24" t="n">
        <v>115475.39</v>
      </c>
      <c r="F85" s="24" t="n">
        <v>93747</v>
      </c>
      <c r="G85" s="24" t="n">
        <v>105399</v>
      </c>
      <c r="H85" s="24">
        <f>G85-F85</f>
        <v/>
      </c>
      <c r="I85" s="8">
        <f>IF(F85=0,0,G85/F85-1)</f>
        <v/>
      </c>
    </row>
    <row r="86">
      <c r="A86" s="6" t="inlineStr">
        <is>
          <t>1000.0000.2400.52040.300</t>
        </is>
      </c>
      <c r="B86" s="6" t="inlineStr">
        <is>
          <t>Admin Benefits</t>
        </is>
      </c>
      <c r="C86" s="24" t="n">
        <v>48868.89</v>
      </c>
      <c r="D86" s="24" t="n">
        <v>46547.83</v>
      </c>
      <c r="E86" s="24" t="n">
        <v>48897.96</v>
      </c>
      <c r="F86" s="24" t="n">
        <v>56798</v>
      </c>
      <c r="G86" s="24" t="n">
        <v>65073</v>
      </c>
      <c r="H86" s="24">
        <f>G86-F86</f>
        <v/>
      </c>
      <c r="I86" s="8">
        <f>IF(F86=0,0,G86/F86-1)</f>
        <v/>
      </c>
    </row>
    <row r="87">
      <c r="A87" s="6" t="inlineStr">
        <is>
          <t>1000.0000.2400.52080.300</t>
        </is>
      </c>
      <c r="B87" s="6" t="inlineStr">
        <is>
          <t>Support Benefits</t>
        </is>
      </c>
      <c r="C87" s="24" t="n">
        <v>42942.81</v>
      </c>
      <c r="D87" s="24" t="n">
        <v>15000.75</v>
      </c>
      <c r="E87" s="24" t="n">
        <v>45522.8</v>
      </c>
      <c r="F87" s="24" t="n">
        <v>50398</v>
      </c>
      <c r="G87" s="24" t="n">
        <v>58195</v>
      </c>
      <c r="H87" s="24">
        <f>G87-F87</f>
        <v/>
      </c>
      <c r="I87" s="8">
        <f>IF(F87=0,0,G87/F87-1)</f>
        <v/>
      </c>
    </row>
    <row r="88">
      <c r="A88" s="6" t="inlineStr">
        <is>
          <t>1000.0000.2400.52340.300</t>
        </is>
      </c>
      <c r="B88" s="6" t="inlineStr">
        <is>
          <t>Retirement</t>
        </is>
      </c>
      <c r="C88" s="24" t="n">
        <v>8795.799999999999</v>
      </c>
      <c r="D88" s="24" t="n">
        <v>3521.7</v>
      </c>
      <c r="E88" s="24" t="n">
        <v>8800.73</v>
      </c>
      <c r="F88" s="24" t="n">
        <v>9915</v>
      </c>
      <c r="G88" s="24" t="n">
        <v>11117</v>
      </c>
      <c r="H88" s="24">
        <f>G88-F88</f>
        <v/>
      </c>
      <c r="I88" s="8">
        <f>IF(F88=0,0,G88/F88-1)</f>
        <v/>
      </c>
    </row>
    <row r="89">
      <c r="A89" s="6" t="inlineStr">
        <is>
          <t>1000.0000.2400.52380.300</t>
        </is>
      </c>
      <c r="B89" s="6" t="inlineStr">
        <is>
          <t>Retirement</t>
        </is>
      </c>
      <c r="C89" s="24" t="n">
        <v>0</v>
      </c>
      <c r="D89" s="24" t="n">
        <v>0</v>
      </c>
      <c r="E89" s="24" t="n">
        <v>5.6</v>
      </c>
      <c r="F89" s="24" t="n">
        <v>0</v>
      </c>
      <c r="G89" s="24" t="n">
        <v>2619</v>
      </c>
      <c r="H89" s="24">
        <f>G89-F89</f>
        <v/>
      </c>
      <c r="I89" s="8">
        <f>IF(F89=0,0,G89/F89-1)</f>
        <v/>
      </c>
    </row>
    <row r="90">
      <c r="A90" s="6" t="inlineStr">
        <is>
          <t>1000.0000.2400.53400.300</t>
        </is>
      </c>
      <c r="B90" s="6" t="inlineStr">
        <is>
          <t>Admin Purchased Professional</t>
        </is>
      </c>
      <c r="C90" s="24" t="n">
        <v>0</v>
      </c>
      <c r="D90" s="24" t="n">
        <v>0</v>
      </c>
      <c r="E90" s="24" t="n">
        <v>0</v>
      </c>
      <c r="F90" s="24" t="n">
        <v>0</v>
      </c>
      <c r="G90" s="24" t="n">
        <v>569</v>
      </c>
      <c r="H90" s="24">
        <f>G90-F90</f>
        <v/>
      </c>
      <c r="I90" s="8">
        <f>IF(F90=0,0,G90/F90-1)</f>
        <v/>
      </c>
    </row>
    <row r="91">
      <c r="A91" s="6" t="inlineStr">
        <is>
          <t>1000.0000.2400.55310.300</t>
        </is>
      </c>
      <c r="B91" s="6" t="inlineStr">
        <is>
          <t>Postage</t>
        </is>
      </c>
      <c r="C91" s="24" t="n">
        <v>2493.7</v>
      </c>
      <c r="D91" s="24" t="n">
        <v>2346.9</v>
      </c>
      <c r="E91" s="24" t="n">
        <v>5829.48</v>
      </c>
      <c r="F91" s="24" t="n">
        <v>4304</v>
      </c>
      <c r="G91" s="24" t="n">
        <v>4804</v>
      </c>
      <c r="H91" s="24">
        <f>G91-F91</f>
        <v/>
      </c>
      <c r="I91" s="8">
        <f>IF(F91=0,0,G91/F91-1)</f>
        <v/>
      </c>
    </row>
    <row r="92">
      <c r="A92" s="6" t="inlineStr">
        <is>
          <t>1000.0000.2400.55800.300</t>
        </is>
      </c>
      <c r="B92" s="6" t="inlineStr">
        <is>
          <t>Travel</t>
        </is>
      </c>
      <c r="C92" s="24" t="n">
        <v>693.05</v>
      </c>
      <c r="D92" s="24" t="n">
        <v>0</v>
      </c>
      <c r="E92" s="24" t="n">
        <v>0</v>
      </c>
      <c r="F92" s="24" t="n">
        <v>1250</v>
      </c>
      <c r="G92" s="24" t="n">
        <v>1250</v>
      </c>
      <c r="H92" s="24">
        <f>G92-F92</f>
        <v/>
      </c>
      <c r="I92" s="8">
        <f>IF(F92=0,0,G92/F92-1)</f>
        <v/>
      </c>
    </row>
    <row r="93">
      <c r="A93" s="6" t="inlineStr">
        <is>
          <t>1000.0000.2400.56000.300</t>
        </is>
      </c>
      <c r="B93" s="6" t="inlineStr">
        <is>
          <t>Supplies</t>
        </is>
      </c>
      <c r="C93" s="24" t="n">
        <v>1307.38</v>
      </c>
      <c r="D93" s="24" t="n">
        <v>2000</v>
      </c>
      <c r="E93" s="24" t="n">
        <v>2344</v>
      </c>
      <c r="F93" s="24" t="n">
        <v>2000</v>
      </c>
      <c r="G93" s="24" t="n">
        <v>1400</v>
      </c>
      <c r="H93" s="24">
        <f>G93-F93</f>
        <v/>
      </c>
      <c r="I93" s="8">
        <f>IF(F93=0,0,G93/F93-1)</f>
        <v/>
      </c>
    </row>
    <row r="94">
      <c r="A94" s="6" t="inlineStr">
        <is>
          <t>1000.0000.2400.56400.300</t>
        </is>
      </c>
      <c r="B94" s="6" t="inlineStr">
        <is>
          <t>Admin Books</t>
        </is>
      </c>
      <c r="C94" s="24" t="n">
        <v>0</v>
      </c>
      <c r="D94" s="24" t="n">
        <v>0</v>
      </c>
      <c r="E94" s="24" t="n">
        <v>0</v>
      </c>
      <c r="F94" s="24" t="n">
        <v>0</v>
      </c>
      <c r="G94" s="24" t="n">
        <v>780</v>
      </c>
      <c r="H94" s="24">
        <f>G94-F94</f>
        <v/>
      </c>
      <c r="I94" s="8">
        <f>IF(F94=0,0,G94/F94-1)</f>
        <v/>
      </c>
    </row>
    <row r="95">
      <c r="A95" s="6" t="inlineStr">
        <is>
          <t>1000.0000.2400.58100.300</t>
        </is>
      </c>
      <c r="B95" s="6" t="inlineStr">
        <is>
          <t>Dues and Fees</t>
        </is>
      </c>
      <c r="C95" s="24" t="n">
        <v>5751</v>
      </c>
      <c r="D95" s="24" t="n">
        <v>5278</v>
      </c>
      <c r="E95" s="24" t="n">
        <v>5314.59</v>
      </c>
      <c r="F95" s="24" t="n">
        <v>6823</v>
      </c>
      <c r="G95" s="24" t="n">
        <v>7209</v>
      </c>
      <c r="H95" s="24">
        <f>G95-F95</f>
        <v/>
      </c>
      <c r="I95" s="8">
        <f>IF(F95=0,0,G95/F95-1)</f>
        <v/>
      </c>
    </row>
    <row r="96">
      <c r="A96" s="6" t="inlineStr">
        <is>
          <t>1000.0000.2400.58150.300</t>
        </is>
      </c>
      <c r="B96" s="6" t="inlineStr">
        <is>
          <t>Fingerprinting Fees - FHS</t>
        </is>
      </c>
      <c r="C96" s="24" t="n">
        <v>0</v>
      </c>
      <c r="D96" s="24" t="n">
        <v>0</v>
      </c>
      <c r="E96" s="24" t="n">
        <v>55</v>
      </c>
      <c r="F96" s="24" t="n">
        <v>0</v>
      </c>
      <c r="G96" s="24" t="n">
        <v>0</v>
      </c>
      <c r="H96" s="24">
        <f>G96-F96</f>
        <v/>
      </c>
      <c r="I96" s="8">
        <f>IF(F96=0,0,G96/F96-1)</f>
        <v/>
      </c>
    </row>
    <row r="97">
      <c r="A97" s="14" t="n"/>
      <c r="B97" s="28" t="inlineStr">
        <is>
          <t>Program 0000 Total</t>
        </is>
      </c>
      <c r="C97" s="29">
        <f>SUM(C84:C96)</f>
        <v/>
      </c>
      <c r="D97" s="29">
        <f>SUM(D84:D96)</f>
        <v/>
      </c>
      <c r="E97" s="29">
        <f>SUM(E84:E96)</f>
        <v/>
      </c>
      <c r="F97" s="29">
        <f>SUM(F84:F96)</f>
        <v/>
      </c>
      <c r="G97" s="29">
        <f>SUM(G84:G96)</f>
        <v/>
      </c>
      <c r="H97" s="29">
        <f>SUM(H84:H96)</f>
        <v/>
      </c>
      <c r="I97" s="29">
        <f>SUM(I84:I96)</f>
        <v/>
      </c>
    </row>
    <row r="98">
      <c r="A98" s="14" t="n"/>
      <c r="B98" s="17" t="inlineStr">
        <is>
          <t>Cost Center ('300',) Total</t>
        </is>
      </c>
      <c r="C98" s="32">
        <f>C97</f>
        <v/>
      </c>
      <c r="D98" s="32">
        <f>D97</f>
        <v/>
      </c>
      <c r="E98" s="32">
        <f>E97</f>
        <v/>
      </c>
      <c r="F98" s="32">
        <f>F97</f>
        <v/>
      </c>
      <c r="G98" s="32">
        <f>G97</f>
        <v/>
      </c>
      <c r="H98" s="32">
        <f>H97</f>
        <v/>
      </c>
      <c r="I98" s="32">
        <f>I97</f>
        <v/>
      </c>
    </row>
    <row r="100">
      <c r="A100" s="14" t="n"/>
      <c r="B100" s="33" t="inlineStr">
        <is>
          <t>ARTICLE 7 TOTAL</t>
        </is>
      </c>
      <c r="C100" s="34">
        <f>C21+C35+C50+C66+C81+C98</f>
        <v/>
      </c>
      <c r="D100" s="34">
        <f>D21+D35+D50+D66+D81+D98</f>
        <v/>
      </c>
      <c r="E100" s="34">
        <f>E21+E35+E50+E66+E81+E98</f>
        <v/>
      </c>
      <c r="F100" s="34">
        <f>F21+F35+F50+F66+F81+F98</f>
        <v/>
      </c>
      <c r="G100" s="34">
        <f>G21+G35+G50+G66+G81+G98</f>
        <v/>
      </c>
      <c r="H100" s="34">
        <f>H21+H35+H50+H66+H81+H98</f>
        <v/>
      </c>
      <c r="I100" s="34">
        <f>I21+I35+I50+I66+I81+I98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72C4"/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8 - Transportation &amp; Buses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1000.0000.2700.51020.900</t>
        </is>
      </c>
      <c r="B7" s="6" t="inlineStr">
        <is>
          <t>Ed Tech Salaries</t>
        </is>
      </c>
      <c r="C7" s="24" t="n">
        <v>5883.03</v>
      </c>
      <c r="D7" s="24" t="n">
        <v>0</v>
      </c>
      <c r="E7" s="24" t="n">
        <v>1662.36</v>
      </c>
      <c r="F7" s="24" t="n">
        <v>10377</v>
      </c>
      <c r="G7" s="24" t="n">
        <v>10377</v>
      </c>
      <c r="H7" s="24">
        <f>G7-F7</f>
        <v/>
      </c>
      <c r="I7" s="8">
        <f>IF(F7=0,0,G7/F7-1)</f>
        <v/>
      </c>
    </row>
    <row r="8">
      <c r="A8" s="6" t="inlineStr">
        <is>
          <t>1000.0000.2700.51040.900</t>
        </is>
      </c>
      <c r="B8" s="6" t="inlineStr">
        <is>
          <t>Administrator Salary</t>
        </is>
      </c>
      <c r="C8" s="24" t="n">
        <v>101153.14</v>
      </c>
      <c r="D8" s="24" t="n">
        <v>85714.44</v>
      </c>
      <c r="E8" s="24" t="n">
        <v>93934</v>
      </c>
      <c r="F8" s="24" t="n">
        <v>97691</v>
      </c>
      <c r="G8" s="24" t="n">
        <v>40000</v>
      </c>
      <c r="H8" s="24">
        <f>G8-F8</f>
        <v/>
      </c>
      <c r="I8" s="8">
        <f>IF(F8=0,0,G8/F8-1)</f>
        <v/>
      </c>
    </row>
    <row r="9">
      <c r="A9" s="6" t="inlineStr">
        <is>
          <t>1000.0000.2700.51060.900</t>
        </is>
      </c>
      <c r="B9" s="6" t="inlineStr">
        <is>
          <t>Transportation Office Clerical Support Salary$0.00</t>
        </is>
      </c>
      <c r="C9" s="24" t="n">
        <v>0</v>
      </c>
      <c r="D9" s="24" t="n">
        <v>0</v>
      </c>
      <c r="E9" s="24" t="n">
        <v>0</v>
      </c>
      <c r="F9" s="24" t="n">
        <v>31262</v>
      </c>
      <c r="G9" s="24" t="n">
        <v>31262</v>
      </c>
      <c r="H9" s="24">
        <f>G9-F9</f>
        <v/>
      </c>
      <c r="I9" s="8">
        <f>IF(F9=0,0,G9/F9-1)</f>
        <v/>
      </c>
    </row>
    <row r="10">
      <c r="A10" s="6" t="inlineStr">
        <is>
          <t>1000.0000.2700.51180.900</t>
        </is>
      </c>
      <c r="B10" s="6" t="inlineStr">
        <is>
          <t>Bus Drivers Salaries</t>
        </is>
      </c>
      <c r="C10" s="24" t="n">
        <v>365568.35</v>
      </c>
      <c r="D10" s="24" t="n">
        <v>570066.78</v>
      </c>
      <c r="E10" s="24" t="n">
        <v>569004.3</v>
      </c>
      <c r="F10" s="24" t="n">
        <v>584250</v>
      </c>
      <c r="G10" s="24" t="n">
        <v>509236</v>
      </c>
      <c r="H10" s="24">
        <f>G10-F10</f>
        <v/>
      </c>
      <c r="I10" s="8">
        <f>IF(F10=0,0,G10/F10-1)</f>
        <v/>
      </c>
    </row>
    <row r="11">
      <c r="A11" s="6" t="inlineStr">
        <is>
          <t>1000.0000.2700.51200.900</t>
        </is>
      </c>
      <c r="B11" s="6" t="inlineStr">
        <is>
          <t>Substitute Salaries</t>
        </is>
      </c>
      <c r="C11" s="24" t="n">
        <v>31217.68</v>
      </c>
      <c r="D11" s="24" t="n">
        <v>34104.45</v>
      </c>
      <c r="E11" s="24" t="n">
        <v>72676.09</v>
      </c>
      <c r="F11" s="24" t="n">
        <v>33000</v>
      </c>
      <c r="G11" s="24" t="n">
        <v>33000</v>
      </c>
      <c r="H11" s="24">
        <f>G11-F11</f>
        <v/>
      </c>
      <c r="I11" s="8">
        <f>IF(F11=0,0,G11/F11-1)</f>
        <v/>
      </c>
    </row>
    <row r="12">
      <c r="A12" s="6" t="inlineStr">
        <is>
          <t>1000.0000.2700.52000.900</t>
        </is>
      </c>
      <c r="B12" s="6" t="inlineStr">
        <is>
          <t>Sub Bus Driver Benefits</t>
        </is>
      </c>
      <c r="C12" s="24" t="n">
        <v>6666.31</v>
      </c>
      <c r="D12" s="24" t="n">
        <v>3827.71</v>
      </c>
      <c r="E12" s="24" t="n">
        <v>16747.04</v>
      </c>
      <c r="F12" s="24" t="n">
        <v>1650</v>
      </c>
      <c r="G12" s="24" t="n">
        <v>1650</v>
      </c>
      <c r="H12" s="24">
        <f>G12-F12</f>
        <v/>
      </c>
      <c r="I12" s="8">
        <f>IF(F12=0,0,G12/F12-1)</f>
        <v/>
      </c>
    </row>
    <row r="13">
      <c r="A13" s="6" t="inlineStr">
        <is>
          <t>1000.0000.2700.52020.900</t>
        </is>
      </c>
      <c r="B13" s="6" t="inlineStr">
        <is>
          <t>Ed Tech Benefits</t>
        </is>
      </c>
      <c r="C13" s="24" t="n">
        <v>1860.61</v>
      </c>
      <c r="D13" s="24" t="n">
        <v>0</v>
      </c>
      <c r="E13" s="24" t="n">
        <v>322.53</v>
      </c>
      <c r="F13" s="24" t="n">
        <v>17002</v>
      </c>
      <c r="G13" s="24" t="n">
        <v>1623</v>
      </c>
      <c r="H13" s="24">
        <f>G13-F13</f>
        <v/>
      </c>
      <c r="I13" s="8">
        <f>IF(F13=0,0,G13/F13-1)</f>
        <v/>
      </c>
    </row>
    <row r="14">
      <c r="A14" s="6" t="inlineStr">
        <is>
          <t>1000.0000.2700.52040.900</t>
        </is>
      </c>
      <c r="B14" s="6" t="inlineStr">
        <is>
          <t>Administrator Benefits</t>
        </is>
      </c>
      <c r="C14" s="24" t="n">
        <v>34164.14</v>
      </c>
      <c r="D14" s="24" t="n">
        <v>17766.66</v>
      </c>
      <c r="E14" s="24" t="n">
        <v>25691.2</v>
      </c>
      <c r="F14" s="24" t="n">
        <v>32679</v>
      </c>
      <c r="G14" s="24" t="n">
        <v>16779</v>
      </c>
      <c r="H14" s="24">
        <f>G14-F14</f>
        <v/>
      </c>
      <c r="I14" s="8">
        <f>IF(F14=0,0,G14/F14-1)</f>
        <v/>
      </c>
    </row>
    <row r="15">
      <c r="A15" s="6" t="inlineStr">
        <is>
          <t>1000.0000.2700.52060.900</t>
        </is>
      </c>
      <c r="B15" s="6" t="inlineStr">
        <is>
          <t>Transportation Office Clerical Support Benefits$0.00</t>
        </is>
      </c>
      <c r="C15" s="24" t="n">
        <v>0</v>
      </c>
      <c r="D15" s="24" t="n">
        <v>0</v>
      </c>
      <c r="E15" s="24" t="n">
        <v>0</v>
      </c>
      <c r="F15" s="24" t="n">
        <v>13351</v>
      </c>
      <c r="G15" s="24" t="n">
        <v>13351</v>
      </c>
      <c r="H15" s="24">
        <f>G15-F15</f>
        <v/>
      </c>
      <c r="I15" s="8">
        <f>IF(F15=0,0,G15/F15-1)</f>
        <v/>
      </c>
    </row>
    <row r="16">
      <c r="A16" s="6" t="inlineStr">
        <is>
          <t>1000.0000.2700.52080.900</t>
        </is>
      </c>
      <c r="B16" s="6" t="inlineStr">
        <is>
          <t>Bus Driver Benefits</t>
        </is>
      </c>
      <c r="C16" s="24" t="n">
        <v>163247.36</v>
      </c>
      <c r="D16" s="24" t="n">
        <v>99780.8</v>
      </c>
      <c r="E16" s="24" t="n">
        <v>178010</v>
      </c>
      <c r="F16" s="24" t="n">
        <v>266747</v>
      </c>
      <c r="G16" s="24" t="n">
        <v>251592</v>
      </c>
      <c r="H16" s="24">
        <f>G16-F16</f>
        <v/>
      </c>
      <c r="I16" s="8">
        <f>IF(F16=0,0,G16/F16-1)</f>
        <v/>
      </c>
    </row>
    <row r="17">
      <c r="A17" s="6" t="inlineStr">
        <is>
          <t>1000.0000.2700.52180.900</t>
        </is>
      </c>
      <c r="B17" s="6" t="inlineStr">
        <is>
          <t>Retirement</t>
        </is>
      </c>
      <c r="C17" s="24" t="n">
        <v>8.130000000000001</v>
      </c>
      <c r="D17" s="24" t="n">
        <v>0</v>
      </c>
      <c r="E17" s="24" t="n">
        <v>0</v>
      </c>
      <c r="F17" s="24" t="n">
        <v>0</v>
      </c>
      <c r="G17" s="24" t="n">
        <v>0</v>
      </c>
      <c r="H17" s="24">
        <f>G17-F17</f>
        <v/>
      </c>
      <c r="I17" s="8">
        <f>IF(F17=0,0,G17/F17-1)</f>
        <v/>
      </c>
    </row>
    <row r="18">
      <c r="A18" s="6" t="inlineStr">
        <is>
          <t>1000.0000.2700.52300.900</t>
        </is>
      </c>
      <c r="B18" s="6" t="inlineStr">
        <is>
          <t>Retirement</t>
        </is>
      </c>
      <c r="C18" s="24" t="n">
        <v>0</v>
      </c>
      <c r="D18" s="24" t="n">
        <v>0</v>
      </c>
      <c r="E18" s="24" t="n">
        <v>371.49</v>
      </c>
      <c r="F18" s="24" t="n">
        <v>0</v>
      </c>
      <c r="G18" s="24" t="n">
        <v>0</v>
      </c>
      <c r="H18" s="24">
        <f>G18-F18</f>
        <v/>
      </c>
      <c r="I18" s="8">
        <f>IF(F18=0,0,G18/F18-1)</f>
        <v/>
      </c>
    </row>
    <row r="19">
      <c r="A19" s="6" t="inlineStr">
        <is>
          <t>1000.0000.2700.52320.900</t>
        </is>
      </c>
      <c r="B19" s="6" t="inlineStr">
        <is>
          <t>Retirement</t>
        </is>
      </c>
      <c r="C19" s="24" t="n">
        <v>126.4</v>
      </c>
      <c r="D19" s="24" t="n">
        <v>0</v>
      </c>
      <c r="E19" s="24" t="n">
        <v>65.89</v>
      </c>
      <c r="F19" s="24" t="n">
        <v>1679</v>
      </c>
      <c r="G19" s="24" t="n">
        <v>1679</v>
      </c>
      <c r="H19" s="24">
        <f>G19-F19</f>
        <v/>
      </c>
      <c r="I19" s="8">
        <f>IF(F19=0,0,G19/F19-1)</f>
        <v/>
      </c>
    </row>
    <row r="20">
      <c r="A20" s="6" t="inlineStr">
        <is>
          <t>1000.0000.2700.52340.900</t>
        </is>
      </c>
      <c r="B20" s="6" t="inlineStr">
        <is>
          <t>Retirement</t>
        </is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2080</v>
      </c>
      <c r="H20" s="24">
        <f>G20-F20</f>
        <v/>
      </c>
      <c r="I20" s="8">
        <f>IF(F20=0,0,G20/F20-1)</f>
        <v/>
      </c>
    </row>
    <row r="21">
      <c r="A21" s="6" t="inlineStr">
        <is>
          <t>1000.0000.2700.52380.900</t>
        </is>
      </c>
      <c r="B21" s="6" t="inlineStr">
        <is>
          <t>Retirement</t>
        </is>
      </c>
      <c r="C21" s="24" t="n">
        <v>36.52</v>
      </c>
      <c r="D21" s="24" t="n">
        <v>0</v>
      </c>
      <c r="E21" s="24" t="n">
        <v>4243.15</v>
      </c>
      <c r="F21" s="24" t="n">
        <v>0</v>
      </c>
      <c r="G21" s="24" t="n">
        <v>6528</v>
      </c>
      <c r="H21" s="24">
        <f>G21-F21</f>
        <v/>
      </c>
      <c r="I21" s="8">
        <f>IF(F21=0,0,G21/F21-1)</f>
        <v/>
      </c>
    </row>
    <row r="22">
      <c r="A22" s="6" t="inlineStr">
        <is>
          <t>1000.0000.2700.53000.900</t>
        </is>
      </c>
      <c r="B22" s="6" t="inlineStr">
        <is>
          <t>Purchased Professional</t>
        </is>
      </c>
      <c r="C22" s="24" t="n">
        <v>43138.51</v>
      </c>
      <c r="D22" s="24" t="n">
        <v>3438.03</v>
      </c>
      <c r="E22" s="24" t="n">
        <v>4993.44</v>
      </c>
      <c r="F22" s="24" t="n">
        <v>11605</v>
      </c>
      <c r="G22" s="24" t="n">
        <v>11605</v>
      </c>
      <c r="H22" s="24">
        <f>G22-F22</f>
        <v/>
      </c>
      <c r="I22" s="8">
        <f>IF(F22=0,0,G22/F22-1)</f>
        <v/>
      </c>
    </row>
    <row r="23">
      <c r="A23" s="6" t="inlineStr">
        <is>
          <t>1000.0000.2700.53300.900</t>
        </is>
      </c>
      <c r="B23" s="6" t="inlineStr">
        <is>
          <t>Employee Training</t>
        </is>
      </c>
      <c r="C23" s="24" t="n">
        <v>630</v>
      </c>
      <c r="D23" s="24" t="n">
        <v>0</v>
      </c>
      <c r="E23" s="24" t="n">
        <v>2886.22</v>
      </c>
      <c r="F23" s="24" t="n">
        <v>1359</v>
      </c>
      <c r="G23" s="24" t="n">
        <v>2500</v>
      </c>
      <c r="H23" s="24">
        <f>G23-F23</f>
        <v/>
      </c>
      <c r="I23" s="8">
        <f>IF(F23=0,0,G23/F23-1)</f>
        <v/>
      </c>
    </row>
    <row r="24">
      <c r="A24" s="6" t="inlineStr">
        <is>
          <t>1000.0000.2700.53400.900</t>
        </is>
      </c>
      <c r="B24" s="6" t="inlineStr">
        <is>
          <t>Contracted Services</t>
        </is>
      </c>
      <c r="C24" s="24" t="n">
        <v>660</v>
      </c>
      <c r="D24" s="24" t="n">
        <v>463</v>
      </c>
      <c r="E24" s="24" t="n">
        <v>0</v>
      </c>
      <c r="F24" s="24" t="n">
        <v>4000</v>
      </c>
      <c r="G24" s="24" t="n">
        <v>71400</v>
      </c>
      <c r="H24" s="24">
        <f>G24-F24</f>
        <v/>
      </c>
      <c r="I24" s="8">
        <f>IF(F24=0,0,G24/F24-1)</f>
        <v/>
      </c>
    </row>
    <row r="25">
      <c r="A25" s="6" t="inlineStr">
        <is>
          <t>1000.0000.2700.54300.900</t>
        </is>
      </c>
      <c r="B25" s="6" t="inlineStr">
        <is>
          <t>Purchased Repair/Maint</t>
        </is>
      </c>
      <c r="C25" s="24" t="n">
        <v>35184.22</v>
      </c>
      <c r="D25" s="24" t="n">
        <v>44103.37</v>
      </c>
      <c r="E25" s="24" t="n">
        <v>31902.28</v>
      </c>
      <c r="F25" s="24" t="n">
        <v>60000</v>
      </c>
      <c r="G25" s="24" t="n">
        <v>70000</v>
      </c>
      <c r="H25" s="24">
        <f>G25-F25</f>
        <v/>
      </c>
      <c r="I25" s="8">
        <f>IF(F25=0,0,G25/F25-1)</f>
        <v/>
      </c>
    </row>
    <row r="26">
      <c r="A26" s="6" t="inlineStr">
        <is>
          <t>1000.0000.2700.54450.900</t>
        </is>
      </c>
      <c r="B26" s="6" t="inlineStr">
        <is>
          <t>Bus Garage Lease</t>
        </is>
      </c>
      <c r="C26" s="24" t="n">
        <v>12500</v>
      </c>
      <c r="D26" s="24" t="n">
        <v>12500</v>
      </c>
      <c r="E26" s="24" t="n">
        <v>12500</v>
      </c>
      <c r="F26" s="24" t="n">
        <v>12875</v>
      </c>
      <c r="G26" s="24" t="n">
        <v>12875</v>
      </c>
      <c r="H26" s="24">
        <f>G26-F26</f>
        <v/>
      </c>
      <c r="I26" s="8">
        <f>IF(F26=0,0,G26/F26-1)</f>
        <v/>
      </c>
    </row>
    <row r="27">
      <c r="A27" s="6" t="inlineStr">
        <is>
          <t>1000.0000.2700.55100.900</t>
        </is>
      </c>
      <c r="B27" s="6" t="inlineStr">
        <is>
          <t>Student Transportation Contracted Servic$4,962.50</t>
        </is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>
        <f>G27-F27</f>
        <v/>
      </c>
      <c r="I27" s="8">
        <f>IF(F27=0,0,G27/F27-1)</f>
        <v/>
      </c>
    </row>
    <row r="28">
      <c r="A28" s="6" t="inlineStr">
        <is>
          <t>1000.0000.2700.55200.900</t>
        </is>
      </c>
      <c r="B28" s="6" t="inlineStr">
        <is>
          <t>Insurance</t>
        </is>
      </c>
      <c r="C28" s="24" t="n">
        <v>11125.1</v>
      </c>
      <c r="D28" s="24" t="n">
        <v>13912</v>
      </c>
      <c r="E28" s="24" t="n">
        <v>19527</v>
      </c>
      <c r="F28" s="24" t="n">
        <v>16694</v>
      </c>
      <c r="G28" s="24" t="n">
        <v>30420</v>
      </c>
      <c r="H28" s="24">
        <f>G28-F28</f>
        <v/>
      </c>
      <c r="I28" s="8">
        <f>IF(F28=0,0,G28/F28-1)</f>
        <v/>
      </c>
    </row>
    <row r="29">
      <c r="A29" s="6" t="inlineStr">
        <is>
          <t>1000.0000.2700.56260.900</t>
        </is>
      </c>
      <c r="B29" s="6" t="inlineStr">
        <is>
          <t>Fleet Fuel</t>
        </is>
      </c>
      <c r="C29" s="24" t="n">
        <v>85180.39</v>
      </c>
      <c r="D29" s="24" t="n">
        <v>102063.7</v>
      </c>
      <c r="E29" s="24" t="n">
        <v>111572.95</v>
      </c>
      <c r="F29" s="24" t="n">
        <v>150405</v>
      </c>
      <c r="G29" s="24" t="n">
        <v>229500</v>
      </c>
      <c r="H29" s="24">
        <f>G29-F29</f>
        <v/>
      </c>
      <c r="I29" s="8">
        <f>IF(F29=0,0,G29/F29-1)</f>
        <v/>
      </c>
    </row>
    <row r="30">
      <c r="A30" s="6" t="inlineStr">
        <is>
          <t>1000.0000.2700.56700.900</t>
        </is>
      </c>
      <c r="B30" s="6" t="inlineStr">
        <is>
          <t>Supplies</t>
        </is>
      </c>
      <c r="C30" s="24" t="n">
        <v>41768.56</v>
      </c>
      <c r="D30" s="24" t="n">
        <v>64190.68</v>
      </c>
      <c r="E30" s="24" t="n">
        <v>86717.99000000001</v>
      </c>
      <c r="F30" s="24" t="n">
        <v>65000</v>
      </c>
      <c r="G30" s="24" t="n">
        <v>68400</v>
      </c>
      <c r="H30" s="24">
        <f>G30-F30</f>
        <v/>
      </c>
      <c r="I30" s="8">
        <f>IF(F30=0,0,G30/F30-1)</f>
        <v/>
      </c>
    </row>
    <row r="31">
      <c r="A31" s="6" t="inlineStr">
        <is>
          <t>1000.0000.2700.58100.900</t>
        </is>
      </c>
      <c r="B31" s="6" t="inlineStr">
        <is>
          <t>Dues and Fees</t>
        </is>
      </c>
      <c r="C31" s="24" t="n">
        <v>1736.25</v>
      </c>
      <c r="D31" s="24" t="n">
        <v>4581</v>
      </c>
      <c r="E31" s="24" t="n">
        <v>4266.86</v>
      </c>
      <c r="F31" s="24" t="n">
        <v>5700</v>
      </c>
      <c r="G31" s="24" t="n">
        <v>5700</v>
      </c>
      <c r="H31" s="24">
        <f>G31-F31</f>
        <v/>
      </c>
      <c r="I31" s="8">
        <f>IF(F31=0,0,G31/F31-1)</f>
        <v/>
      </c>
    </row>
    <row r="32">
      <c r="A32" s="6" t="inlineStr">
        <is>
          <t>1000.0000.2700.58310.900</t>
        </is>
      </c>
      <c r="B32" s="6" t="inlineStr">
        <is>
          <t>Principal-Bus Lease Purchase</t>
        </is>
      </c>
      <c r="C32" s="24" t="n">
        <v>358799.82</v>
      </c>
      <c r="D32" s="24" t="n">
        <v>95588.94</v>
      </c>
      <c r="E32" s="24" t="n">
        <v>64488.4</v>
      </c>
      <c r="F32" s="24" t="n">
        <v>65310</v>
      </c>
      <c r="G32" s="24" t="n">
        <v>84000</v>
      </c>
      <c r="H32" s="24">
        <f>G32-F32</f>
        <v/>
      </c>
      <c r="I32" s="8">
        <f>IF(F32=0,0,G32/F32-1)</f>
        <v/>
      </c>
    </row>
    <row r="33">
      <c r="A33" s="14" t="n"/>
      <c r="B33" s="28" t="inlineStr">
        <is>
          <t>Program 0000 Total</t>
        </is>
      </c>
      <c r="C33" s="29">
        <f>SUM(C7:C32)</f>
        <v/>
      </c>
      <c r="D33" s="29">
        <f>SUM(D7:D32)</f>
        <v/>
      </c>
      <c r="E33" s="29">
        <f>SUM(E7:E32)</f>
        <v/>
      </c>
      <c r="F33" s="29">
        <f>SUM(F7:F32)</f>
        <v/>
      </c>
      <c r="G33" s="29">
        <f>SUM(G7:G32)</f>
        <v/>
      </c>
      <c r="H33" s="29">
        <f>SUM(H7:H32)</f>
        <v/>
      </c>
      <c r="I33" s="29">
        <f>SUM(I7:I32)</f>
        <v/>
      </c>
    </row>
    <row r="34">
      <c r="A34" s="6" t="inlineStr">
        <is>
          <t>1000.0000.2750.51020.900</t>
        </is>
      </c>
      <c r="B34" s="6" t="inlineStr">
        <is>
          <t>Ed Tech Salaries</t>
        </is>
      </c>
      <c r="C34" s="24" t="n">
        <v>3637.15</v>
      </c>
      <c r="D34" s="24" t="n">
        <v>9324.35</v>
      </c>
      <c r="E34" s="24" t="n">
        <v>5491.36</v>
      </c>
      <c r="F34" s="24" t="n">
        <v>0</v>
      </c>
      <c r="G34" s="24" t="n">
        <v>0</v>
      </c>
      <c r="H34" s="24">
        <f>G34-F34</f>
        <v/>
      </c>
      <c r="I34" s="8">
        <f>IF(F34=0,0,G34/F34-1)</f>
        <v/>
      </c>
    </row>
    <row r="35">
      <c r="A35" s="6" t="inlineStr">
        <is>
          <t>1000.0000.2750.51180.900</t>
        </is>
      </c>
      <c r="B35" s="6" t="inlineStr">
        <is>
          <t>Support Wages</t>
        </is>
      </c>
      <c r="C35" s="24" t="n">
        <v>41573.78</v>
      </c>
      <c r="D35" s="24" t="n">
        <v>35618.62</v>
      </c>
      <c r="E35" s="24" t="n">
        <v>31758.47</v>
      </c>
      <c r="F35" s="24" t="n">
        <v>0</v>
      </c>
      <c r="G35" s="24" t="n">
        <v>32513</v>
      </c>
      <c r="H35" s="24">
        <f>G35-F35</f>
        <v/>
      </c>
      <c r="I35" s="8">
        <f>IF(F35=0,0,G35/F35-1)</f>
        <v/>
      </c>
    </row>
    <row r="36">
      <c r="A36" s="6" t="inlineStr">
        <is>
          <t>1000.0000.2750.52020.900</t>
        </is>
      </c>
      <c r="B36" s="6" t="inlineStr">
        <is>
          <t>Ed Tech Benefits</t>
        </is>
      </c>
      <c r="C36" s="24" t="n">
        <v>1111.17</v>
      </c>
      <c r="D36" s="24" t="n">
        <v>133.49</v>
      </c>
      <c r="E36" s="24" t="n">
        <v>1221.83</v>
      </c>
      <c r="F36" s="24" t="n">
        <v>0</v>
      </c>
      <c r="G36" s="24" t="n">
        <v>0</v>
      </c>
      <c r="H36" s="24">
        <f>G36-F36</f>
        <v/>
      </c>
      <c r="I36" s="8">
        <f>IF(F36=0,0,G36/F36-1)</f>
        <v/>
      </c>
    </row>
    <row r="37">
      <c r="A37" s="6" t="inlineStr">
        <is>
          <t>1000.0000.2750.52080.900</t>
        </is>
      </c>
      <c r="B37" s="6" t="inlineStr">
        <is>
          <t>Support Benefits</t>
        </is>
      </c>
      <c r="C37" s="24" t="n">
        <v>8644.5</v>
      </c>
      <c r="D37" s="24" t="n">
        <v>4104.16</v>
      </c>
      <c r="E37" s="24" t="n">
        <v>8743.35</v>
      </c>
      <c r="F37" s="24" t="n">
        <v>0</v>
      </c>
      <c r="G37" s="24" t="n">
        <v>11912</v>
      </c>
      <c r="H37" s="24">
        <f>G37-F37</f>
        <v/>
      </c>
      <c r="I37" s="8">
        <f>IF(F37=0,0,G37/F37-1)</f>
        <v/>
      </c>
    </row>
    <row r="38">
      <c r="A38" s="6" t="inlineStr">
        <is>
          <t>1000.0000.2750.52320.900</t>
        </is>
      </c>
      <c r="B38" s="6" t="inlineStr">
        <is>
          <t>Retirement</t>
        </is>
      </c>
      <c r="C38" s="24" t="n">
        <v>147.97</v>
      </c>
      <c r="D38" s="24" t="n">
        <v>59.16</v>
      </c>
      <c r="E38" s="24" t="n">
        <v>666.52</v>
      </c>
      <c r="F38" s="24" t="n">
        <v>0</v>
      </c>
      <c r="G38" s="24" t="n">
        <v>0</v>
      </c>
      <c r="H38" s="24">
        <f>G38-F38</f>
        <v/>
      </c>
      <c r="I38" s="8">
        <f>IF(F38=0,0,G38/F38-1)</f>
        <v/>
      </c>
    </row>
    <row r="39">
      <c r="A39" s="6" t="inlineStr">
        <is>
          <t>1000.0000.2750.52380.900</t>
        </is>
      </c>
      <c r="B39" s="6" t="inlineStr">
        <is>
          <t>Retirement</t>
        </is>
      </c>
      <c r="C39" s="24" t="n">
        <v>0</v>
      </c>
      <c r="D39" s="24" t="n">
        <v>0</v>
      </c>
      <c r="E39" s="24" t="n">
        <v>309.3</v>
      </c>
      <c r="F39" s="24" t="n">
        <v>0</v>
      </c>
      <c r="G39" s="24" t="n">
        <v>1626</v>
      </c>
      <c r="H39" s="24">
        <f>G39-F39</f>
        <v/>
      </c>
      <c r="I39" s="8">
        <f>IF(F39=0,0,G39/F39-1)</f>
        <v/>
      </c>
    </row>
    <row r="40">
      <c r="A40" s="6" t="inlineStr">
        <is>
          <t>1000.0000.2750.55190.900</t>
        </is>
      </c>
      <c r="B40" s="6" t="inlineStr">
        <is>
          <t>Purchased Services</t>
        </is>
      </c>
      <c r="C40" s="24" t="n">
        <v>244.16</v>
      </c>
      <c r="D40" s="24" t="n">
        <v>0</v>
      </c>
      <c r="E40" s="24" t="n">
        <v>2339.22</v>
      </c>
      <c r="F40" s="24" t="n">
        <v>0</v>
      </c>
      <c r="G40" s="24" t="n">
        <v>0</v>
      </c>
      <c r="H40" s="24">
        <f>G40-F40</f>
        <v/>
      </c>
      <c r="I40" s="8">
        <f>IF(F40=0,0,G40/F40-1)</f>
        <v/>
      </c>
    </row>
    <row r="41">
      <c r="A41" s="14" t="n"/>
      <c r="B41" s="28" t="inlineStr">
        <is>
          <t>Program 0000 Total</t>
        </is>
      </c>
      <c r="C41" s="29">
        <f>SUM(C34:C40)</f>
        <v/>
      </c>
      <c r="D41" s="29">
        <f>SUM(D34:D40)</f>
        <v/>
      </c>
      <c r="E41" s="29">
        <f>SUM(E34:E40)</f>
        <v/>
      </c>
      <c r="F41" s="29">
        <f>SUM(F34:F40)</f>
        <v/>
      </c>
      <c r="G41" s="29">
        <f>SUM(G34:G40)</f>
        <v/>
      </c>
      <c r="H41" s="29">
        <f>SUM(H34:H40)</f>
        <v/>
      </c>
      <c r="I41" s="29">
        <f>SUM(I34:I40)</f>
        <v/>
      </c>
    </row>
    <row r="42">
      <c r="A42" s="14" t="n"/>
      <c r="B42" s="17" t="inlineStr">
        <is>
          <t>Cost Center ('900',) Total</t>
        </is>
      </c>
      <c r="C42" s="32">
        <f>C33+C41</f>
        <v/>
      </c>
      <c r="D42" s="32">
        <f>D33+D41</f>
        <v/>
      </c>
      <c r="E42" s="32">
        <f>E33+E41</f>
        <v/>
      </c>
      <c r="F42" s="32">
        <f>F33+F41</f>
        <v/>
      </c>
      <c r="G42" s="32">
        <f>G33+G41</f>
        <v/>
      </c>
      <c r="H42" s="32">
        <f>H33+H41</f>
        <v/>
      </c>
      <c r="I42" s="32">
        <f>I33+I41</f>
        <v/>
      </c>
    </row>
    <row r="44">
      <c r="A44" s="14" t="n"/>
      <c r="B44" s="33" t="inlineStr">
        <is>
          <t>ARTICLE 8 TOTAL</t>
        </is>
      </c>
      <c r="C44" s="34">
        <f>C42</f>
        <v/>
      </c>
      <c r="D44" s="34">
        <f>D42</f>
        <v/>
      </c>
      <c r="E44" s="34">
        <f>E42</f>
        <v/>
      </c>
      <c r="F44" s="34">
        <f>F42</f>
        <v/>
      </c>
      <c r="G44" s="34">
        <f>G42</f>
        <v/>
      </c>
      <c r="H44" s="34">
        <f>H42</f>
        <v/>
      </c>
      <c r="I44" s="34">
        <f>I42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72C4"/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9 - Facilities &amp; Maintenance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('010',)</t>
        </is>
      </c>
    </row>
    <row r="7">
      <c r="A7" s="6" t="inlineStr">
        <is>
          <t>1000.0000.2600.51180.010</t>
        </is>
      </c>
      <c r="B7" s="6" t="inlineStr">
        <is>
          <t>Salaries</t>
        </is>
      </c>
      <c r="C7" s="24" t="n">
        <v>128605.85</v>
      </c>
      <c r="D7" s="24" t="n">
        <v>135530.83</v>
      </c>
      <c r="E7" s="24" t="n">
        <v>167216.45</v>
      </c>
      <c r="F7" s="24" t="n">
        <v>173964</v>
      </c>
      <c r="G7" s="24" t="n">
        <v>176779</v>
      </c>
      <c r="H7" s="24">
        <f>G7-F7</f>
        <v/>
      </c>
      <c r="I7" s="8">
        <f>IF(F7=0,0,G7/F7-1)</f>
        <v/>
      </c>
    </row>
    <row r="8">
      <c r="A8" s="6" t="inlineStr">
        <is>
          <t>1000.0000.2600.52080.010</t>
        </is>
      </c>
      <c r="B8" s="6" t="inlineStr">
        <is>
          <t>Custodian Benefits</t>
        </is>
      </c>
      <c r="C8" s="24" t="n">
        <v>41476.13</v>
      </c>
      <c r="D8" s="24" t="n">
        <v>26080.71</v>
      </c>
      <c r="E8" s="24" t="n">
        <v>46898.86</v>
      </c>
      <c r="F8" s="24" t="n">
        <v>63947</v>
      </c>
      <c r="G8" s="24" t="n">
        <v>68362</v>
      </c>
      <c r="H8" s="24">
        <f>G8-F8</f>
        <v/>
      </c>
      <c r="I8" s="8">
        <f>IF(F8=0,0,G8/F8-1)</f>
        <v/>
      </c>
    </row>
    <row r="9">
      <c r="A9" s="6" t="inlineStr">
        <is>
          <t>1000.0000.2600.52380.010</t>
        </is>
      </c>
      <c r="B9" s="6" t="inlineStr">
        <is>
          <t>Retirement</t>
        </is>
      </c>
      <c r="C9" s="24" t="n">
        <v>0</v>
      </c>
      <c r="D9" s="24" t="n">
        <v>0</v>
      </c>
      <c r="E9" s="24" t="n">
        <v>0</v>
      </c>
      <c r="F9" s="24" t="n">
        <v>0</v>
      </c>
      <c r="G9" s="24" t="n">
        <v>2371</v>
      </c>
      <c r="H9" s="24">
        <f>G9-F9</f>
        <v/>
      </c>
      <c r="I9" s="8">
        <f>IF(F9=0,0,G9/F9-1)</f>
        <v/>
      </c>
    </row>
    <row r="10">
      <c r="A10" s="6" t="inlineStr">
        <is>
          <t>1000.0000.2600.54300.010</t>
        </is>
      </c>
      <c r="B10" s="6" t="inlineStr">
        <is>
          <t>Purchased Repairs/Maint</t>
        </is>
      </c>
      <c r="C10" s="24" t="n">
        <v>81626.78</v>
      </c>
      <c r="D10" s="24" t="n">
        <v>81654.57000000001</v>
      </c>
      <c r="E10" s="24" t="n">
        <v>85022.55</v>
      </c>
      <c r="F10" s="24" t="n">
        <v>84125</v>
      </c>
      <c r="G10" s="24" t="n">
        <v>90000</v>
      </c>
      <c r="H10" s="24">
        <f>G10-F10</f>
        <v/>
      </c>
      <c r="I10" s="8">
        <f>IF(F10=0,0,G10/F10-1)</f>
        <v/>
      </c>
    </row>
    <row r="11">
      <c r="A11" s="6" t="inlineStr">
        <is>
          <t>1000.0000.2600.55200.010</t>
        </is>
      </c>
      <c r="B11" s="6" t="inlineStr">
        <is>
          <t>Insurance</t>
        </is>
      </c>
      <c r="C11" s="24" t="n">
        <v>26700.24</v>
      </c>
      <c r="D11" s="24" t="n">
        <v>28095.44</v>
      </c>
      <c r="E11" s="24" t="n">
        <v>32411.2</v>
      </c>
      <c r="F11" s="24" t="n">
        <v>37760.8</v>
      </c>
      <c r="G11" s="24" t="n">
        <v>22746</v>
      </c>
      <c r="H11" s="24">
        <f>G11-F11</f>
        <v/>
      </c>
      <c r="I11" s="8">
        <f>IF(F11=0,0,G11/F11-1)</f>
        <v/>
      </c>
    </row>
    <row r="12">
      <c r="A12" s="6" t="inlineStr">
        <is>
          <t>1000.0000.2600.55320.010</t>
        </is>
      </c>
      <c r="B12" s="6" t="inlineStr">
        <is>
          <t>Telephone</t>
        </is>
      </c>
      <c r="C12" s="24" t="n">
        <v>3851.04</v>
      </c>
      <c r="D12" s="24" t="n">
        <v>4102.28</v>
      </c>
      <c r="E12" s="24" t="n">
        <v>4552.16</v>
      </c>
      <c r="F12" s="24" t="n">
        <v>4400</v>
      </c>
      <c r="G12" s="24" t="n">
        <v>4800</v>
      </c>
      <c r="H12" s="24">
        <f>G12-F12</f>
        <v/>
      </c>
      <c r="I12" s="8">
        <f>IF(F12=0,0,G12/F12-1)</f>
        <v/>
      </c>
    </row>
    <row r="13">
      <c r="A13" s="6" t="inlineStr">
        <is>
          <t>1000.0000.2600.55800.010</t>
        </is>
      </c>
      <c r="B13" s="6" t="inlineStr">
        <is>
          <t>Travel</t>
        </is>
      </c>
      <c r="C13" s="24" t="n">
        <v>0</v>
      </c>
      <c r="D13" s="24" t="n">
        <v>54.75</v>
      </c>
      <c r="E13" s="24" t="n">
        <v>0</v>
      </c>
      <c r="F13" s="24" t="n">
        <v>0</v>
      </c>
      <c r="G13" s="24" t="n">
        <v>0</v>
      </c>
      <c r="H13" s="24">
        <f>G13-F13</f>
        <v/>
      </c>
      <c r="I13" s="8">
        <f>IF(F13=0,0,G13/F13-1)</f>
        <v/>
      </c>
    </row>
    <row r="14">
      <c r="A14" s="6" t="inlineStr">
        <is>
          <t>1000.0000.2600.56000.010</t>
        </is>
      </c>
      <c r="B14" s="6" t="inlineStr">
        <is>
          <t>Supplies</t>
        </is>
      </c>
      <c r="C14" s="24" t="n">
        <v>24023.86</v>
      </c>
      <c r="D14" s="24" t="n">
        <v>30802.4</v>
      </c>
      <c r="E14" s="24" t="n">
        <v>23862.09</v>
      </c>
      <c r="F14" s="24" t="n">
        <v>26000</v>
      </c>
      <c r="G14" s="24" t="n">
        <v>28500</v>
      </c>
      <c r="H14" s="24">
        <f>G14-F14</f>
        <v/>
      </c>
      <c r="I14" s="8">
        <f>IF(F14=0,0,G14/F14-1)</f>
        <v/>
      </c>
    </row>
    <row r="15">
      <c r="A15" s="6" t="inlineStr">
        <is>
          <t>1000.0000.2600.56011.010</t>
        </is>
      </c>
      <c r="B15" s="6" t="inlineStr">
        <is>
          <t>Materials for Repair</t>
        </is>
      </c>
      <c r="C15" s="24" t="n">
        <v>9163.68</v>
      </c>
      <c r="D15" s="24" t="n">
        <v>5728.92</v>
      </c>
      <c r="E15" s="24" t="n">
        <v>2554.61</v>
      </c>
      <c r="F15" s="24" t="n">
        <v>9000</v>
      </c>
      <c r="G15" s="24" t="n">
        <v>10000</v>
      </c>
      <c r="H15" s="24">
        <f>G15-F15</f>
        <v/>
      </c>
      <c r="I15" s="8">
        <f>IF(F15=0,0,G15/F15-1)</f>
        <v/>
      </c>
    </row>
    <row r="16">
      <c r="A16" s="6" t="inlineStr">
        <is>
          <t>1000.0000.2600.56013.010</t>
        </is>
      </c>
      <c r="B16" s="6" t="inlineStr">
        <is>
          <t>Major Maintenance</t>
        </is>
      </c>
      <c r="C16" s="24" t="n">
        <v>1625</v>
      </c>
      <c r="D16" s="24" t="n">
        <v>5093.72</v>
      </c>
      <c r="E16" s="24" t="n">
        <v>10610</v>
      </c>
      <c r="F16" s="24" t="n">
        <v>6400</v>
      </c>
      <c r="G16" s="24" t="n">
        <v>8600</v>
      </c>
      <c r="H16" s="24">
        <f>G16-F16</f>
        <v/>
      </c>
      <c r="I16" s="8">
        <f>IF(F16=0,0,G16/F16-1)</f>
        <v/>
      </c>
    </row>
    <row r="17">
      <c r="A17" s="6" t="inlineStr">
        <is>
          <t>1000.0000.2600.56050.010</t>
        </is>
      </c>
      <c r="B17" s="6" t="inlineStr">
        <is>
          <t>Furniture &amp; Equipment - Non Instructional DCS$0.00</t>
        </is>
      </c>
      <c r="C17" s="24" t="n">
        <v>0</v>
      </c>
      <c r="D17" s="24" t="n">
        <v>244.07</v>
      </c>
      <c r="E17" s="24" t="n">
        <v>0</v>
      </c>
      <c r="F17" s="24" t="n">
        <v>0</v>
      </c>
      <c r="G17" s="24" t="n">
        <v>0</v>
      </c>
      <c r="H17" s="24">
        <f>G17-F17</f>
        <v/>
      </c>
      <c r="I17" s="8">
        <f>IF(F17=0,0,G17/F17-1)</f>
        <v/>
      </c>
    </row>
    <row r="18">
      <c r="A18" s="6" t="inlineStr">
        <is>
          <t>1000.0000.2600.56220.010</t>
        </is>
      </c>
      <c r="B18" s="6" t="inlineStr">
        <is>
          <t>Electricity - Durham</t>
        </is>
      </c>
      <c r="C18" s="24" t="n">
        <v>113655.9</v>
      </c>
      <c r="D18" s="24" t="n">
        <v>90686.87</v>
      </c>
      <c r="E18" s="24" t="n">
        <v>123515.62</v>
      </c>
      <c r="F18" s="24" t="n">
        <v>131400</v>
      </c>
      <c r="G18" s="24" t="n">
        <v>154000</v>
      </c>
      <c r="H18" s="24">
        <f>G18-F18</f>
        <v/>
      </c>
      <c r="I18" s="8">
        <f>IF(F18=0,0,G18/F18-1)</f>
        <v/>
      </c>
    </row>
    <row r="19">
      <c r="A19" s="6" t="inlineStr">
        <is>
          <t>1000.0000.2600.56240.010</t>
        </is>
      </c>
      <c r="B19" s="6" t="inlineStr">
        <is>
          <t>Heating Fuel</t>
        </is>
      </c>
      <c r="C19" s="24" t="n">
        <v>22150.95</v>
      </c>
      <c r="D19" s="24" t="n">
        <v>11824.5</v>
      </c>
      <c r="E19" s="24" t="n">
        <v>11645.53</v>
      </c>
      <c r="F19" s="24" t="n">
        <v>13000</v>
      </c>
      <c r="G19" s="24" t="n">
        <v>18000</v>
      </c>
      <c r="H19" s="24">
        <f>G19-F19</f>
        <v/>
      </c>
      <c r="I19" s="8">
        <f>IF(F19=0,0,G19/F19-1)</f>
        <v/>
      </c>
    </row>
    <row r="20">
      <c r="A20" s="14" t="n"/>
      <c r="B20" s="28" t="inlineStr">
        <is>
          <t>Program 0000 Total</t>
        </is>
      </c>
      <c r="C20" s="29">
        <f>SUM(C7:C19)</f>
        <v/>
      </c>
      <c r="D20" s="29">
        <f>SUM(D7:D19)</f>
        <v/>
      </c>
      <c r="E20" s="29">
        <f>SUM(E7:E19)</f>
        <v/>
      </c>
      <c r="F20" s="29">
        <f>SUM(F7:F19)</f>
        <v/>
      </c>
      <c r="G20" s="29">
        <f>SUM(G7:G19)</f>
        <v/>
      </c>
      <c r="H20" s="29">
        <f>SUM(H7:H19)</f>
        <v/>
      </c>
      <c r="I20" s="29">
        <f>SUM(I7:I19)</f>
        <v/>
      </c>
    </row>
    <row r="21">
      <c r="A21" s="14" t="n"/>
      <c r="B21" s="17" t="inlineStr">
        <is>
          <t>Cost Center ('010',) Total</t>
        </is>
      </c>
      <c r="C21" s="32">
        <f>C20</f>
        <v/>
      </c>
      <c r="D21" s="32">
        <f>D20</f>
        <v/>
      </c>
      <c r="E21" s="32">
        <f>E20</f>
        <v/>
      </c>
      <c r="F21" s="32">
        <f>F20</f>
        <v/>
      </c>
      <c r="G21" s="32">
        <f>G20</f>
        <v/>
      </c>
      <c r="H21" s="32">
        <f>H20</f>
        <v/>
      </c>
      <c r="I21" s="32">
        <f>I20</f>
        <v/>
      </c>
    </row>
    <row r="23">
      <c r="A23" s="3" t="inlineStr">
        <is>
          <t>Cost Center: ('020',)</t>
        </is>
      </c>
    </row>
    <row r="24">
      <c r="A24" s="6" t="inlineStr">
        <is>
          <t>1000.0000.2600.51180.020</t>
        </is>
      </c>
      <c r="B24" s="6" t="inlineStr">
        <is>
          <t>Custodial Salaries</t>
        </is>
      </c>
      <c r="C24" s="24" t="n">
        <v>158467.97</v>
      </c>
      <c r="D24" s="24" t="n">
        <v>145408.76</v>
      </c>
      <c r="E24" s="24" t="n">
        <v>130654.96</v>
      </c>
      <c r="F24" s="24" t="n">
        <v>162137</v>
      </c>
      <c r="G24" s="24" t="n">
        <v>181527</v>
      </c>
      <c r="H24" s="24">
        <f>G24-F24</f>
        <v/>
      </c>
      <c r="I24" s="8">
        <f>IF(F24=0,0,G24/F24-1)</f>
        <v/>
      </c>
    </row>
    <row r="25">
      <c r="A25" s="6" t="inlineStr">
        <is>
          <t>1000.0000.2600.52080.020</t>
        </is>
      </c>
      <c r="B25" s="6" t="inlineStr">
        <is>
          <t>Custodian Benefits</t>
        </is>
      </c>
      <c r="C25" s="24" t="n">
        <v>53942.94</v>
      </c>
      <c r="D25" s="24" t="n">
        <v>41594.42</v>
      </c>
      <c r="E25" s="24" t="n">
        <v>46388.13</v>
      </c>
      <c r="F25" s="24" t="n">
        <v>76536</v>
      </c>
      <c r="G25" s="24" t="n">
        <v>111684</v>
      </c>
      <c r="H25" s="24">
        <f>G25-F25</f>
        <v/>
      </c>
      <c r="I25" s="8">
        <f>IF(F25=0,0,G25/F25-1)</f>
        <v/>
      </c>
    </row>
    <row r="26">
      <c r="A26" s="6" t="inlineStr">
        <is>
          <t>1000.0000.2600.52380.020</t>
        </is>
      </c>
      <c r="B26" s="6" t="inlineStr">
        <is>
          <t>Retirement</t>
        </is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5835</v>
      </c>
      <c r="H26" s="24">
        <f>G26-F26</f>
        <v/>
      </c>
      <c r="I26" s="8">
        <f>IF(F26=0,0,G26/F26-1)</f>
        <v/>
      </c>
    </row>
    <row r="27">
      <c r="A27" s="6" t="inlineStr">
        <is>
          <t>1000.0000.2600.53300.020</t>
        </is>
      </c>
      <c r="B27" s="6" t="inlineStr">
        <is>
          <t>Employee Training</t>
        </is>
      </c>
      <c r="C27" s="24" t="n">
        <v>0</v>
      </c>
      <c r="D27" s="24" t="n">
        <v>0</v>
      </c>
      <c r="E27" s="24" t="n">
        <v>0</v>
      </c>
      <c r="F27" s="24" t="n">
        <v>125</v>
      </c>
      <c r="G27" s="24" t="n">
        <v>125</v>
      </c>
      <c r="H27" s="24">
        <f>G27-F27</f>
        <v/>
      </c>
      <c r="I27" s="8">
        <f>IF(F27=0,0,G27/F27-1)</f>
        <v/>
      </c>
    </row>
    <row r="28">
      <c r="A28" s="6" t="inlineStr">
        <is>
          <t>1000.0000.2600.54100.020</t>
        </is>
      </c>
      <c r="B28" s="6" t="inlineStr">
        <is>
          <t>Water/Sewage</t>
        </is>
      </c>
      <c r="C28" s="24" t="n">
        <v>19010.94</v>
      </c>
      <c r="D28" s="24" t="n">
        <v>19305</v>
      </c>
      <c r="E28" s="24" t="n">
        <v>27400.03</v>
      </c>
      <c r="F28" s="24" t="n">
        <v>19760</v>
      </c>
      <c r="G28" s="24" t="n">
        <v>28000</v>
      </c>
      <c r="H28" s="24">
        <f>G28-F28</f>
        <v/>
      </c>
      <c r="I28" s="8">
        <f>IF(F28=0,0,G28/F28-1)</f>
        <v/>
      </c>
    </row>
    <row r="29">
      <c r="A29" s="6" t="inlineStr">
        <is>
          <t>1000.0000.2600.54300.020</t>
        </is>
      </c>
      <c r="B29" s="6" t="inlineStr">
        <is>
          <t>Purchased Repairs/Maint</t>
        </is>
      </c>
      <c r="C29" s="24" t="n">
        <v>32206.31</v>
      </c>
      <c r="D29" s="24" t="n">
        <v>41172.79</v>
      </c>
      <c r="E29" s="24" t="n">
        <v>24125.6</v>
      </c>
      <c r="F29" s="24" t="n">
        <v>45040.32</v>
      </c>
      <c r="G29" s="24" t="n">
        <v>47000</v>
      </c>
      <c r="H29" s="24">
        <f>G29-F29</f>
        <v/>
      </c>
      <c r="I29" s="8">
        <f>IF(F29=0,0,G29/F29-1)</f>
        <v/>
      </c>
    </row>
    <row r="30">
      <c r="A30" s="6" t="inlineStr">
        <is>
          <t>1000.0000.2600.55200.020</t>
        </is>
      </c>
      <c r="B30" s="6" t="inlineStr">
        <is>
          <t>Insurance</t>
        </is>
      </c>
      <c r="C30" s="24" t="n">
        <v>12237.61</v>
      </c>
      <c r="D30" s="24" t="n">
        <v>12877.54</v>
      </c>
      <c r="E30" s="24" t="n">
        <v>15192.75</v>
      </c>
      <c r="F30" s="24" t="n">
        <v>17307.42</v>
      </c>
      <c r="G30" s="24" t="n">
        <v>22746</v>
      </c>
      <c r="H30" s="24">
        <f>G30-F30</f>
        <v/>
      </c>
      <c r="I30" s="8">
        <f>IF(F30=0,0,G30/F30-1)</f>
        <v/>
      </c>
    </row>
    <row r="31">
      <c r="A31" s="6" t="inlineStr">
        <is>
          <t>1000.0000.2600.55320.020</t>
        </is>
      </c>
      <c r="B31" s="6" t="inlineStr">
        <is>
          <t>Telephone</t>
        </is>
      </c>
      <c r="C31" s="24" t="n">
        <v>2490.97</v>
      </c>
      <c r="D31" s="24" t="n">
        <v>2542.91</v>
      </c>
      <c r="E31" s="24" t="n">
        <v>2895.16</v>
      </c>
      <c r="F31" s="24" t="n">
        <v>3400</v>
      </c>
      <c r="G31" s="24" t="n">
        <v>3400</v>
      </c>
      <c r="H31" s="24">
        <f>G31-F31</f>
        <v/>
      </c>
      <c r="I31" s="8">
        <f>IF(F31=0,0,G31/F31-1)</f>
        <v/>
      </c>
    </row>
    <row r="32">
      <c r="A32" s="6" t="inlineStr">
        <is>
          <t>1000.0000.2600.55800.020</t>
        </is>
      </c>
      <c r="B32" s="6" t="inlineStr">
        <is>
          <t>Travel</t>
        </is>
      </c>
      <c r="C32" s="24" t="n">
        <v>0</v>
      </c>
      <c r="D32" s="24" t="n">
        <v>23.39</v>
      </c>
      <c r="E32" s="24" t="n">
        <v>0</v>
      </c>
      <c r="F32" s="24" t="n">
        <v>0</v>
      </c>
      <c r="G32" s="24" t="n">
        <v>0</v>
      </c>
      <c r="H32" s="24">
        <f>G32-F32</f>
        <v/>
      </c>
      <c r="I32" s="8">
        <f>IF(F32=0,0,G32/F32-1)</f>
        <v/>
      </c>
    </row>
    <row r="33">
      <c r="A33" s="6" t="inlineStr">
        <is>
          <t>1000.0000.2600.56000.020</t>
        </is>
      </c>
      <c r="B33" s="6" t="inlineStr">
        <is>
          <t>Supplies</t>
        </is>
      </c>
      <c r="C33" s="24" t="n">
        <v>13067.22</v>
      </c>
      <c r="D33" s="24" t="n">
        <v>14382.35</v>
      </c>
      <c r="E33" s="24" t="n">
        <v>18568.32</v>
      </c>
      <c r="F33" s="24" t="n">
        <v>20000</v>
      </c>
      <c r="G33" s="24" t="n">
        <v>20000</v>
      </c>
      <c r="H33" s="24">
        <f>G33-F33</f>
        <v/>
      </c>
      <c r="I33" s="8">
        <f>IF(F33=0,0,G33/F33-1)</f>
        <v/>
      </c>
    </row>
    <row r="34">
      <c r="A34" s="6" t="inlineStr">
        <is>
          <t>1000.0000.2600.56011.020</t>
        </is>
      </c>
      <c r="B34" s="6" t="inlineStr">
        <is>
          <t>Materials for Repair</t>
        </is>
      </c>
      <c r="C34" s="24" t="n">
        <v>2673.73</v>
      </c>
      <c r="D34" s="24" t="n">
        <v>4016.92</v>
      </c>
      <c r="E34" s="24" t="n">
        <v>2547.97</v>
      </c>
      <c r="F34" s="24" t="n">
        <v>4050</v>
      </c>
      <c r="G34" s="24" t="n">
        <v>4050</v>
      </c>
      <c r="H34" s="24">
        <f>G34-F34</f>
        <v/>
      </c>
      <c r="I34" s="8">
        <f>IF(F34=0,0,G34/F34-1)</f>
        <v/>
      </c>
    </row>
    <row r="35">
      <c r="A35" s="6" t="inlineStr">
        <is>
          <t>1000.0000.2600.56013.020</t>
        </is>
      </c>
      <c r="B35" s="6" t="inlineStr">
        <is>
          <t>Major Maintenance</t>
        </is>
      </c>
      <c r="C35" s="24" t="n">
        <v>15704.74</v>
      </c>
      <c r="D35" s="24" t="n">
        <v>3641.41</v>
      </c>
      <c r="E35" s="24" t="n">
        <v>11307.06</v>
      </c>
      <c r="F35" s="24" t="n">
        <v>6000</v>
      </c>
      <c r="G35" s="24" t="n">
        <v>6000</v>
      </c>
      <c r="H35" s="24">
        <f>G35-F35</f>
        <v/>
      </c>
      <c r="I35" s="8">
        <f>IF(F35=0,0,G35/F35-1)</f>
        <v/>
      </c>
    </row>
    <row r="36">
      <c r="A36" s="6" t="inlineStr">
        <is>
          <t>1000.0000.2600.56050.020</t>
        </is>
      </c>
      <c r="B36" s="6" t="inlineStr">
        <is>
          <t>Furniture &amp; Equipment - Non Instructional MSS$0.00</t>
        </is>
      </c>
      <c r="C36" s="24" t="n">
        <v>0</v>
      </c>
      <c r="D36" s="24" t="n">
        <v>4899.25</v>
      </c>
      <c r="E36" s="24" t="n">
        <v>0</v>
      </c>
      <c r="F36" s="24" t="n">
        <v>0</v>
      </c>
      <c r="G36" s="24" t="n">
        <v>0</v>
      </c>
      <c r="H36" s="24">
        <f>G36-F36</f>
        <v/>
      </c>
      <c r="I36" s="8">
        <f>IF(F36=0,0,G36/F36-1)</f>
        <v/>
      </c>
    </row>
    <row r="37">
      <c r="A37" s="6" t="inlineStr">
        <is>
          <t>1000.0000.2600.56220.020</t>
        </is>
      </c>
      <c r="B37" s="6" t="inlineStr">
        <is>
          <t>Electricity</t>
        </is>
      </c>
      <c r="C37" s="24" t="n">
        <v>24508.45</v>
      </c>
      <c r="D37" s="24" t="n">
        <v>24334.59</v>
      </c>
      <c r="E37" s="24" t="n">
        <v>32540.4</v>
      </c>
      <c r="F37" s="24" t="n">
        <v>25973</v>
      </c>
      <c r="G37" s="24" t="n">
        <v>18000</v>
      </c>
      <c r="H37" s="24">
        <f>G37-F37</f>
        <v/>
      </c>
      <c r="I37" s="8">
        <f>IF(F37=0,0,G37/F37-1)</f>
        <v/>
      </c>
    </row>
    <row r="38">
      <c r="A38" s="6" t="inlineStr">
        <is>
          <t>1000.0000.2600.56240.020</t>
        </is>
      </c>
      <c r="B38" s="6" t="inlineStr">
        <is>
          <t>Heating Fuel</t>
        </is>
      </c>
      <c r="C38" s="24" t="n">
        <v>25911.84</v>
      </c>
      <c r="D38" s="24" t="n">
        <v>40436.17</v>
      </c>
      <c r="E38" s="24" t="n">
        <v>38548.67</v>
      </c>
      <c r="F38" s="24" t="n">
        <v>41000</v>
      </c>
      <c r="G38" s="24" t="n">
        <v>41053</v>
      </c>
      <c r="H38" s="24">
        <f>G38-F38</f>
        <v/>
      </c>
      <c r="I38" s="8">
        <f>IF(F38=0,0,G38/F38-1)</f>
        <v/>
      </c>
    </row>
    <row r="39">
      <c r="A39" s="14" t="n"/>
      <c r="B39" s="28" t="inlineStr">
        <is>
          <t>Program 0000 Total</t>
        </is>
      </c>
      <c r="C39" s="29">
        <f>SUM(C24:C38)</f>
        <v/>
      </c>
      <c r="D39" s="29">
        <f>SUM(D24:D38)</f>
        <v/>
      </c>
      <c r="E39" s="29">
        <f>SUM(E24:E38)</f>
        <v/>
      </c>
      <c r="F39" s="29">
        <f>SUM(F24:F38)</f>
        <v/>
      </c>
      <c r="G39" s="29">
        <f>SUM(G24:G38)</f>
        <v/>
      </c>
      <c r="H39" s="29">
        <f>SUM(H24:H38)</f>
        <v/>
      </c>
      <c r="I39" s="29">
        <f>SUM(I24:I38)</f>
        <v/>
      </c>
    </row>
    <row r="40">
      <c r="A40" s="14" t="n"/>
      <c r="B40" s="17" t="inlineStr">
        <is>
          <t>Cost Center ('020',) Total</t>
        </is>
      </c>
      <c r="C40" s="32">
        <f>C39</f>
        <v/>
      </c>
      <c r="D40" s="32">
        <f>D39</f>
        <v/>
      </c>
      <c r="E40" s="32">
        <f>E39</f>
        <v/>
      </c>
      <c r="F40" s="32">
        <f>F39</f>
        <v/>
      </c>
      <c r="G40" s="32">
        <f>G39</f>
        <v/>
      </c>
      <c r="H40" s="32">
        <f>H39</f>
        <v/>
      </c>
      <c r="I40" s="32">
        <f>I39</f>
        <v/>
      </c>
    </row>
    <row r="42">
      <c r="A42" s="3" t="inlineStr">
        <is>
          <t>Cost Center: ('030',)</t>
        </is>
      </c>
    </row>
    <row r="43">
      <c r="A43" s="6" t="inlineStr">
        <is>
          <t>1000.0000.2600.51180.030</t>
        </is>
      </c>
      <c r="B43" s="6" t="inlineStr">
        <is>
          <t>Custodial Salaries</t>
        </is>
      </c>
      <c r="C43" s="24" t="n">
        <v>84510.07000000001</v>
      </c>
      <c r="D43" s="24" t="n">
        <v>80213.38</v>
      </c>
      <c r="E43" s="24" t="n">
        <v>51594.31</v>
      </c>
      <c r="F43" s="24" t="n">
        <v>79631</v>
      </c>
      <c r="G43" s="24" t="n">
        <v>83977</v>
      </c>
      <c r="H43" s="24">
        <f>G43-F43</f>
        <v/>
      </c>
      <c r="I43" s="8">
        <f>IF(F43=0,0,G43/F43-1)</f>
        <v/>
      </c>
    </row>
    <row r="44">
      <c r="A44" s="6" t="inlineStr">
        <is>
          <t>1000.0000.2600.52080.030</t>
        </is>
      </c>
      <c r="B44" s="6" t="inlineStr">
        <is>
          <t>Custodian Benefits</t>
        </is>
      </c>
      <c r="C44" s="24" t="n">
        <v>33107.12</v>
      </c>
      <c r="D44" s="24" t="n">
        <v>18011.55</v>
      </c>
      <c r="E44" s="24" t="n">
        <v>8327.25</v>
      </c>
      <c r="F44" s="24" t="n">
        <v>39522</v>
      </c>
      <c r="G44" s="24" t="n">
        <v>29653</v>
      </c>
      <c r="H44" s="24">
        <f>G44-F44</f>
        <v/>
      </c>
      <c r="I44" s="8">
        <f>IF(F44=0,0,G44/F44-1)</f>
        <v/>
      </c>
    </row>
    <row r="45">
      <c r="A45" s="6" t="inlineStr">
        <is>
          <t>1000.0000.2600.54300.030</t>
        </is>
      </c>
      <c r="B45" s="6" t="inlineStr">
        <is>
          <t>Purchased Repairs/Maint</t>
        </is>
      </c>
      <c r="C45" s="24" t="n">
        <v>32748.88</v>
      </c>
      <c r="D45" s="24" t="n">
        <v>29897.92</v>
      </c>
      <c r="E45" s="24" t="n">
        <v>32533.93</v>
      </c>
      <c r="F45" s="24" t="n">
        <v>35991</v>
      </c>
      <c r="G45" s="24" t="n">
        <v>37591</v>
      </c>
      <c r="H45" s="24">
        <f>G45-F45</f>
        <v/>
      </c>
      <c r="I45" s="8">
        <f>IF(F45=0,0,G45/F45-1)</f>
        <v/>
      </c>
    </row>
    <row r="46">
      <c r="A46" s="6" t="inlineStr">
        <is>
          <t>1000.0000.2600.55200.030</t>
        </is>
      </c>
      <c r="B46" s="6" t="inlineStr">
        <is>
          <t>Insurance</t>
        </is>
      </c>
      <c r="C46" s="24" t="n">
        <v>7787.57</v>
      </c>
      <c r="D46" s="24" t="n">
        <v>8194.959999999999</v>
      </c>
      <c r="E46" s="24" t="n">
        <v>9115.65</v>
      </c>
      <c r="F46" s="24" t="n">
        <v>11014.02</v>
      </c>
      <c r="G46" s="24" t="n">
        <v>22746</v>
      </c>
      <c r="H46" s="24">
        <f>G46-F46</f>
        <v/>
      </c>
      <c r="I46" s="8">
        <f>IF(F46=0,0,G46/F46-1)</f>
        <v/>
      </c>
    </row>
    <row r="47">
      <c r="A47" s="6" t="inlineStr">
        <is>
          <t>1000.0000.2600.55320.030</t>
        </is>
      </c>
      <c r="B47" s="6" t="inlineStr">
        <is>
          <t>Telephone</t>
        </is>
      </c>
      <c r="C47" s="24" t="n">
        <v>2733.13</v>
      </c>
      <c r="D47" s="24" t="n">
        <v>1796.47</v>
      </c>
      <c r="E47" s="24" t="n">
        <v>1910.92</v>
      </c>
      <c r="F47" s="24" t="n">
        <v>4988</v>
      </c>
      <c r="G47" s="24" t="n">
        <v>2200</v>
      </c>
      <c r="H47" s="24">
        <f>G47-F47</f>
        <v/>
      </c>
      <c r="I47" s="8">
        <f>IF(F47=0,0,G47/F47-1)</f>
        <v/>
      </c>
    </row>
    <row r="48">
      <c r="A48" s="6" t="inlineStr">
        <is>
          <t>1000.0000.2600.55800.030</t>
        </is>
      </c>
      <c r="B48" s="6" t="inlineStr">
        <is>
          <t>Travel</t>
        </is>
      </c>
      <c r="C48" s="24" t="n">
        <v>0</v>
      </c>
      <c r="D48" s="24" t="n">
        <v>86.95</v>
      </c>
      <c r="E48" s="24" t="n">
        <v>0</v>
      </c>
      <c r="F48" s="24" t="n">
        <v>0</v>
      </c>
      <c r="G48" s="24" t="n">
        <v>0</v>
      </c>
      <c r="H48" s="24">
        <f>G48-F48</f>
        <v/>
      </c>
      <c r="I48" s="8">
        <f>IF(F48=0,0,G48/F48-1)</f>
        <v/>
      </c>
    </row>
    <row r="49">
      <c r="A49" s="6" t="inlineStr">
        <is>
          <t>1000.0000.2600.56000.030</t>
        </is>
      </c>
      <c r="B49" s="6" t="inlineStr">
        <is>
          <t>Supplies</t>
        </is>
      </c>
      <c r="C49" s="24" t="n">
        <v>9494.540000000001</v>
      </c>
      <c r="D49" s="24" t="n">
        <v>13931.5</v>
      </c>
      <c r="E49" s="24" t="n">
        <v>11255.83</v>
      </c>
      <c r="F49" s="24" t="n">
        <v>12500</v>
      </c>
      <c r="G49" s="24" t="n">
        <v>12500</v>
      </c>
      <c r="H49" s="24">
        <f>G49-F49</f>
        <v/>
      </c>
      <c r="I49" s="8">
        <f>IF(F49=0,0,G49/F49-1)</f>
        <v/>
      </c>
    </row>
    <row r="50">
      <c r="A50" s="6" t="inlineStr">
        <is>
          <t>1000.0000.2600.56011.030</t>
        </is>
      </c>
      <c r="B50" s="6" t="inlineStr">
        <is>
          <t>Materials for Repair</t>
        </is>
      </c>
      <c r="C50" s="24" t="n">
        <v>2622.64</v>
      </c>
      <c r="D50" s="24" t="n">
        <v>2448.17</v>
      </c>
      <c r="E50" s="24" t="n">
        <v>2794.73</v>
      </c>
      <c r="F50" s="24" t="n">
        <v>4250</v>
      </c>
      <c r="G50" s="24" t="n">
        <v>5000</v>
      </c>
      <c r="H50" s="24">
        <f>G50-F50</f>
        <v/>
      </c>
      <c r="I50" s="8">
        <f>IF(F50=0,0,G50/F50-1)</f>
        <v/>
      </c>
    </row>
    <row r="51">
      <c r="A51" s="6" t="inlineStr">
        <is>
          <t>1000.0000.2600.56013.030</t>
        </is>
      </c>
      <c r="B51" s="6" t="inlineStr">
        <is>
          <t>Major Maintenance</t>
        </is>
      </c>
      <c r="C51" s="24" t="n">
        <v>6652.89</v>
      </c>
      <c r="D51" s="24" t="n">
        <v>2581.96</v>
      </c>
      <c r="E51" s="24" t="n">
        <v>6142.86</v>
      </c>
      <c r="F51" s="24" t="n">
        <v>9500</v>
      </c>
      <c r="G51" s="24" t="n">
        <v>10600</v>
      </c>
      <c r="H51" s="24">
        <f>G51-F51</f>
        <v/>
      </c>
      <c r="I51" s="8">
        <f>IF(F51=0,0,G51/F51-1)</f>
        <v/>
      </c>
    </row>
    <row r="52">
      <c r="A52" s="6" t="inlineStr">
        <is>
          <t>1000.0000.2600.56050.030</t>
        </is>
      </c>
      <c r="B52" s="6" t="inlineStr">
        <is>
          <t>Furniture &amp; Equipment - Non Instructional PES$0.00</t>
        </is>
      </c>
      <c r="C52" s="24" t="n">
        <v>0</v>
      </c>
      <c r="D52" s="24" t="n">
        <v>3603.35</v>
      </c>
      <c r="E52" s="24" t="n">
        <v>4865.29</v>
      </c>
      <c r="F52" s="24" t="n">
        <v>0</v>
      </c>
      <c r="G52" s="24" t="n">
        <v>-4865.29</v>
      </c>
      <c r="H52" s="24">
        <f>G52-F52</f>
        <v/>
      </c>
      <c r="I52" s="8">
        <f>IF(F52=0,0,G52/F52-1)</f>
        <v/>
      </c>
    </row>
    <row r="53">
      <c r="A53" s="6" t="inlineStr">
        <is>
          <t>1000.0000.2600.56220.030</t>
        </is>
      </c>
      <c r="B53" s="6" t="inlineStr">
        <is>
          <t>Electricity</t>
        </is>
      </c>
      <c r="C53" s="24" t="n">
        <v>14119.98</v>
      </c>
      <c r="D53" s="24" t="n">
        <v>14523.06</v>
      </c>
      <c r="E53" s="24" t="n">
        <v>18570.1</v>
      </c>
      <c r="F53" s="24" t="n">
        <v>13123</v>
      </c>
      <c r="G53" s="24" t="n">
        <v>10000</v>
      </c>
      <c r="H53" s="24">
        <f>G53-F53</f>
        <v/>
      </c>
      <c r="I53" s="8">
        <f>IF(F53=0,0,G53/F53-1)</f>
        <v/>
      </c>
    </row>
    <row r="54">
      <c r="A54" s="6" t="inlineStr">
        <is>
          <t>1000.0000.2600.56240.030</t>
        </is>
      </c>
      <c r="B54" s="6" t="inlineStr">
        <is>
          <t>Heating Fuel</t>
        </is>
      </c>
      <c r="C54" s="24" t="n">
        <v>16786.16</v>
      </c>
      <c r="D54" s="24" t="n">
        <v>19264.92</v>
      </c>
      <c r="E54" s="24" t="n">
        <v>22909.17</v>
      </c>
      <c r="F54" s="24" t="n">
        <v>28000</v>
      </c>
      <c r="G54" s="24" t="n">
        <v>28000</v>
      </c>
      <c r="H54" s="24">
        <f>G54-F54</f>
        <v/>
      </c>
      <c r="I54" s="8">
        <f>IF(F54=0,0,G54/F54-1)</f>
        <v/>
      </c>
    </row>
    <row r="55">
      <c r="A55" s="14" t="n"/>
      <c r="B55" s="28" t="inlineStr">
        <is>
          <t>Program 0000 Total</t>
        </is>
      </c>
      <c r="C55" s="29">
        <f>SUM(C43:C54)</f>
        <v/>
      </c>
      <c r="D55" s="29">
        <f>SUM(D43:D54)</f>
        <v/>
      </c>
      <c r="E55" s="29">
        <f>SUM(E43:E54)</f>
        <v/>
      </c>
      <c r="F55" s="29">
        <f>SUM(F43:F54)</f>
        <v/>
      </c>
      <c r="G55" s="29">
        <f>SUM(G43:G54)</f>
        <v/>
      </c>
      <c r="H55" s="29">
        <f>SUM(H43:H54)</f>
        <v/>
      </c>
      <c r="I55" s="29">
        <f>SUM(I43:I54)</f>
        <v/>
      </c>
    </row>
    <row r="56">
      <c r="A56" s="14" t="n"/>
      <c r="B56" s="17" t="inlineStr">
        <is>
          <t>Cost Center ('030',) Total</t>
        </is>
      </c>
      <c r="C56" s="32">
        <f>C55</f>
        <v/>
      </c>
      <c r="D56" s="32">
        <f>D55</f>
        <v/>
      </c>
      <c r="E56" s="32">
        <f>E55</f>
        <v/>
      </c>
      <c r="F56" s="32">
        <f>F55</f>
        <v/>
      </c>
      <c r="G56" s="32">
        <f>G55</f>
        <v/>
      </c>
      <c r="H56" s="32">
        <f>H55</f>
        <v/>
      </c>
      <c r="I56" s="32">
        <f>I55</f>
        <v/>
      </c>
    </row>
    <row r="58">
      <c r="A58" s="3" t="inlineStr">
        <is>
          <t>Cost Center: ('040',)</t>
        </is>
      </c>
    </row>
    <row r="59">
      <c r="A59" s="6" t="inlineStr">
        <is>
          <t>1000.0000.2600.51180.040</t>
        </is>
      </c>
      <c r="B59" s="6" t="inlineStr">
        <is>
          <t>Custodian Salaries</t>
        </is>
      </c>
      <c r="C59" s="24" t="n">
        <v>104823.5</v>
      </c>
      <c r="D59" s="24" t="n">
        <v>78562.84</v>
      </c>
      <c r="E59" s="24" t="n">
        <v>148104.21</v>
      </c>
      <c r="F59" s="24" t="n">
        <v>153326</v>
      </c>
      <c r="G59" s="24" t="n">
        <v>169946</v>
      </c>
      <c r="H59" s="24">
        <f>G59-F59</f>
        <v/>
      </c>
      <c r="I59" s="8">
        <f>IF(F59=0,0,G59/F59-1)</f>
        <v/>
      </c>
    </row>
    <row r="60">
      <c r="A60" s="6" t="inlineStr">
        <is>
          <t>1000.0000.2600.52080.040</t>
        </is>
      </c>
      <c r="B60" s="6" t="inlineStr">
        <is>
          <t>Custodian Benefits</t>
        </is>
      </c>
      <c r="C60" s="24" t="n">
        <v>60710.99</v>
      </c>
      <c r="D60" s="24" t="n">
        <v>39517.35</v>
      </c>
      <c r="E60" s="24" t="n">
        <v>64160.48</v>
      </c>
      <c r="F60" s="24" t="n">
        <v>77480</v>
      </c>
      <c r="G60" s="24" t="n">
        <v>112553</v>
      </c>
      <c r="H60" s="24">
        <f>G60-F60</f>
        <v/>
      </c>
      <c r="I60" s="8">
        <f>IF(F60=0,0,G60/F60-1)</f>
        <v/>
      </c>
    </row>
    <row r="61">
      <c r="A61" s="6" t="inlineStr">
        <is>
          <t>1000.0000.2600.52380.040</t>
        </is>
      </c>
      <c r="B61" s="6" t="inlineStr">
        <is>
          <t>Retirement</t>
        </is>
      </c>
      <c r="C61" s="24" t="n">
        <v>0</v>
      </c>
      <c r="D61" s="24" t="n">
        <v>0</v>
      </c>
      <c r="E61" s="24" t="n">
        <v>0</v>
      </c>
      <c r="F61" s="24" t="n">
        <v>0</v>
      </c>
      <c r="G61" s="24" t="n">
        <v>6385</v>
      </c>
      <c r="H61" s="24">
        <f>G61-F61</f>
        <v/>
      </c>
      <c r="I61" s="8">
        <f>IF(F61=0,0,G61/F61-1)</f>
        <v/>
      </c>
    </row>
    <row r="62">
      <c r="A62" s="6" t="inlineStr">
        <is>
          <t>1000.0000.2600.53300.040</t>
        </is>
      </c>
      <c r="B62" s="6" t="inlineStr">
        <is>
          <t>Employee Training</t>
        </is>
      </c>
      <c r="C62" s="24" t="n">
        <v>0</v>
      </c>
      <c r="D62" s="24" t="n">
        <v>0</v>
      </c>
      <c r="E62" s="24" t="n">
        <v>0</v>
      </c>
      <c r="F62" s="24" t="n">
        <v>125</v>
      </c>
      <c r="G62" s="24" t="n">
        <v>125</v>
      </c>
      <c r="H62" s="24">
        <f>G62-F62</f>
        <v/>
      </c>
      <c r="I62" s="8">
        <f>IF(F62=0,0,G62/F62-1)</f>
        <v/>
      </c>
    </row>
    <row r="63">
      <c r="A63" s="6" t="inlineStr">
        <is>
          <t>1000.0000.2600.54100.040</t>
        </is>
      </c>
      <c r="B63" s="6" t="inlineStr">
        <is>
          <t>Water/Sewage</t>
        </is>
      </c>
      <c r="C63" s="24" t="n">
        <v>7928.66</v>
      </c>
      <c r="D63" s="24" t="n">
        <v>6983.41</v>
      </c>
      <c r="E63" s="24" t="n">
        <v>8360.290000000001</v>
      </c>
      <c r="F63" s="24" t="n">
        <v>8000</v>
      </c>
      <c r="G63" s="24" t="n">
        <v>8500</v>
      </c>
      <c r="H63" s="24">
        <f>G63-F63</f>
        <v/>
      </c>
      <c r="I63" s="8">
        <f>IF(F63=0,0,G63/F63-1)</f>
        <v/>
      </c>
    </row>
    <row r="64">
      <c r="A64" s="6" t="inlineStr">
        <is>
          <t>1000.0000.2600.54300.040</t>
        </is>
      </c>
      <c r="B64" s="6" t="inlineStr">
        <is>
          <t>Purchased Repairs/Maint</t>
        </is>
      </c>
      <c r="C64" s="24" t="n">
        <v>37417.38</v>
      </c>
      <c r="D64" s="24" t="n">
        <v>40174.61</v>
      </c>
      <c r="E64" s="24" t="n">
        <v>36690.89</v>
      </c>
      <c r="F64" s="24" t="n">
        <v>46743.08</v>
      </c>
      <c r="G64" s="24" t="n">
        <v>48663</v>
      </c>
      <c r="H64" s="24">
        <f>G64-F64</f>
        <v/>
      </c>
      <c r="I64" s="8">
        <f>IF(F64=0,0,G64/F64-1)</f>
        <v/>
      </c>
    </row>
    <row r="65">
      <c r="A65" s="6" t="inlineStr">
        <is>
          <t>1000.0000.2600.55200.040</t>
        </is>
      </c>
      <c r="B65" s="6" t="inlineStr">
        <is>
          <t>Insurance</t>
        </is>
      </c>
      <c r="C65" s="24" t="n">
        <v>12237.61</v>
      </c>
      <c r="D65" s="24" t="n">
        <v>12877.54</v>
      </c>
      <c r="E65" s="24" t="n">
        <v>15192.75</v>
      </c>
      <c r="F65" s="24" t="n">
        <v>17307.42</v>
      </c>
      <c r="G65" s="24" t="n">
        <v>22746</v>
      </c>
      <c r="H65" s="24">
        <f>G65-F65</f>
        <v/>
      </c>
      <c r="I65" s="8">
        <f>IF(F65=0,0,G65/F65-1)</f>
        <v/>
      </c>
    </row>
    <row r="66">
      <c r="A66" s="6" t="inlineStr">
        <is>
          <t>1000.0000.2600.55320.040</t>
        </is>
      </c>
      <c r="B66" s="6" t="inlineStr">
        <is>
          <t>Telephone</t>
        </is>
      </c>
      <c r="C66" s="24" t="n">
        <v>1962.08</v>
      </c>
      <c r="D66" s="24" t="n">
        <v>2236.2</v>
      </c>
      <c r="E66" s="24" t="n">
        <v>2403.57</v>
      </c>
      <c r="F66" s="24" t="n">
        <v>2400</v>
      </c>
      <c r="G66" s="24" t="n">
        <v>2800</v>
      </c>
      <c r="H66" s="24">
        <f>G66-F66</f>
        <v/>
      </c>
      <c r="I66" s="8">
        <f>IF(F66=0,0,G66/F66-1)</f>
        <v/>
      </c>
    </row>
    <row r="67">
      <c r="A67" s="6" t="inlineStr">
        <is>
          <t>1000.0000.2600.55800.040</t>
        </is>
      </c>
      <c r="B67" s="6" t="inlineStr">
        <is>
          <t>Travel</t>
        </is>
      </c>
      <c r="C67" s="24" t="n">
        <v>0</v>
      </c>
      <c r="D67" s="24" t="n">
        <v>23.39</v>
      </c>
      <c r="E67" s="24" t="n">
        <v>0</v>
      </c>
      <c r="F67" s="24" t="n">
        <v>0</v>
      </c>
      <c r="G67" s="24" t="n">
        <v>0</v>
      </c>
      <c r="H67" s="24">
        <f>G67-F67</f>
        <v/>
      </c>
      <c r="I67" s="8">
        <f>IF(F67=0,0,G67/F67-1)</f>
        <v/>
      </c>
    </row>
    <row r="68">
      <c r="A68" s="6" t="inlineStr">
        <is>
          <t>1000.0000.2600.56000.040</t>
        </is>
      </c>
      <c r="B68" s="6" t="inlineStr">
        <is>
          <t>Supplies</t>
        </is>
      </c>
      <c r="C68" s="24" t="n">
        <v>12813.1</v>
      </c>
      <c r="D68" s="24" t="n">
        <v>8507.059999999999</v>
      </c>
      <c r="E68" s="24" t="n">
        <v>14900.9</v>
      </c>
      <c r="F68" s="24" t="n">
        <v>19500</v>
      </c>
      <c r="G68" s="24" t="n">
        <v>20600</v>
      </c>
      <c r="H68" s="24">
        <f>G68-F68</f>
        <v/>
      </c>
      <c r="I68" s="8">
        <f>IF(F68=0,0,G68/F68-1)</f>
        <v/>
      </c>
    </row>
    <row r="69">
      <c r="A69" s="6" t="inlineStr">
        <is>
          <t>1000.0000.2600.56011.040</t>
        </is>
      </c>
      <c r="B69" s="6" t="inlineStr">
        <is>
          <t>Material Repair</t>
        </is>
      </c>
      <c r="C69" s="24" t="n">
        <v>3181.87</v>
      </c>
      <c r="D69" s="24" t="n">
        <v>1859.19</v>
      </c>
      <c r="E69" s="24" t="n">
        <v>1528.62</v>
      </c>
      <c r="F69" s="24" t="n">
        <v>4500</v>
      </c>
      <c r="G69" s="24" t="n">
        <v>4500</v>
      </c>
      <c r="H69" s="24">
        <f>G69-F69</f>
        <v/>
      </c>
      <c r="I69" s="8">
        <f>IF(F69=0,0,G69/F69-1)</f>
        <v/>
      </c>
    </row>
    <row r="70">
      <c r="A70" s="6" t="inlineStr">
        <is>
          <t>1000.0000.2600.56013.040</t>
        </is>
      </c>
      <c r="B70" s="6" t="inlineStr">
        <is>
          <t>Major Maintenance</t>
        </is>
      </c>
      <c r="C70" s="24" t="n">
        <v>21630.55</v>
      </c>
      <c r="D70" s="24" t="n">
        <v>3500</v>
      </c>
      <c r="E70" s="24" t="n">
        <v>6555</v>
      </c>
      <c r="F70" s="24" t="n">
        <v>5000</v>
      </c>
      <c r="G70" s="24" t="n">
        <v>5000</v>
      </c>
      <c r="H70" s="24">
        <f>G70-F70</f>
        <v/>
      </c>
      <c r="I70" s="8">
        <f>IF(F70=0,0,G70/F70-1)</f>
        <v/>
      </c>
    </row>
    <row r="71">
      <c r="A71" s="6" t="inlineStr">
        <is>
          <t>1000.0000.2600.56050.040</t>
        </is>
      </c>
      <c r="B71" s="6" t="inlineStr">
        <is>
          <t>Furniture &amp; Equipment - Non Instructional MLS$0.00</t>
        </is>
      </c>
      <c r="C71" s="24" t="n">
        <v>0</v>
      </c>
      <c r="D71" s="24" t="n">
        <v>5594.47</v>
      </c>
      <c r="E71" s="24" t="n">
        <v>0</v>
      </c>
      <c r="F71" s="24" t="n">
        <v>0</v>
      </c>
      <c r="G71" s="24" t="n">
        <v>0</v>
      </c>
      <c r="H71" s="24">
        <f>G71-F71</f>
        <v/>
      </c>
      <c r="I71" s="8">
        <f>IF(F71=0,0,G71/F71-1)</f>
        <v/>
      </c>
    </row>
    <row r="72">
      <c r="A72" s="6" t="inlineStr">
        <is>
          <t>1000.0000.2600.56220.040</t>
        </is>
      </c>
      <c r="B72" s="6" t="inlineStr">
        <is>
          <t>Electricity</t>
        </is>
      </c>
      <c r="C72" s="24" t="n">
        <v>23244.19</v>
      </c>
      <c r="D72" s="24" t="n">
        <v>22943.22</v>
      </c>
      <c r="E72" s="24" t="n">
        <v>27522.43</v>
      </c>
      <c r="F72" s="24" t="n">
        <v>26366</v>
      </c>
      <c r="G72" s="24" t="n">
        <v>18773</v>
      </c>
      <c r="H72" s="24">
        <f>G72-F72</f>
        <v/>
      </c>
      <c r="I72" s="8">
        <f>IF(F72=0,0,G72/F72-1)</f>
        <v/>
      </c>
    </row>
    <row r="73">
      <c r="A73" s="6" t="inlineStr">
        <is>
          <t>1000.0000.2600.56240.040</t>
        </is>
      </c>
      <c r="B73" s="6" t="inlineStr">
        <is>
          <t>Heating Fuel</t>
        </is>
      </c>
      <c r="C73" s="24" t="n">
        <v>24589.56</v>
      </c>
      <c r="D73" s="24" t="n">
        <v>27889.41</v>
      </c>
      <c r="E73" s="24" t="n">
        <v>34594.86</v>
      </c>
      <c r="F73" s="24" t="n">
        <v>39500</v>
      </c>
      <c r="G73" s="24" t="n">
        <v>41500</v>
      </c>
      <c r="H73" s="24">
        <f>G73-F73</f>
        <v/>
      </c>
      <c r="I73" s="8">
        <f>IF(F73=0,0,G73/F73-1)</f>
        <v/>
      </c>
    </row>
    <row r="74">
      <c r="A74" s="14" t="n"/>
      <c r="B74" s="28" t="inlineStr">
        <is>
          <t>Program 0000 Total</t>
        </is>
      </c>
      <c r="C74" s="29">
        <f>SUM(C59:C73)</f>
        <v/>
      </c>
      <c r="D74" s="29">
        <f>SUM(D59:D73)</f>
        <v/>
      </c>
      <c r="E74" s="29">
        <f>SUM(E59:E73)</f>
        <v/>
      </c>
      <c r="F74" s="29">
        <f>SUM(F59:F73)</f>
        <v/>
      </c>
      <c r="G74" s="29">
        <f>SUM(G59:G73)</f>
        <v/>
      </c>
      <c r="H74" s="29">
        <f>SUM(H59:H73)</f>
        <v/>
      </c>
      <c r="I74" s="29">
        <f>SUM(I59:I73)</f>
        <v/>
      </c>
    </row>
    <row r="75">
      <c r="A75" s="14" t="n"/>
      <c r="B75" s="17" t="inlineStr">
        <is>
          <t>Cost Center ('040',) Total</t>
        </is>
      </c>
      <c r="C75" s="32">
        <f>C74</f>
        <v/>
      </c>
      <c r="D75" s="32">
        <f>D74</f>
        <v/>
      </c>
      <c r="E75" s="32">
        <f>E74</f>
        <v/>
      </c>
      <c r="F75" s="32">
        <f>F74</f>
        <v/>
      </c>
      <c r="G75" s="32">
        <f>G74</f>
        <v/>
      </c>
      <c r="H75" s="32">
        <f>H74</f>
        <v/>
      </c>
      <c r="I75" s="32">
        <f>I74</f>
        <v/>
      </c>
    </row>
    <row r="77">
      <c r="A77" s="3" t="inlineStr">
        <is>
          <t>Cost Center: ('050',)</t>
        </is>
      </c>
    </row>
    <row r="78">
      <c r="A78" s="6" t="inlineStr">
        <is>
          <t>1000.0000.2600.51180.050</t>
        </is>
      </c>
      <c r="B78" s="6" t="inlineStr">
        <is>
          <t>Custodian Salaries</t>
        </is>
      </c>
      <c r="C78" s="24" t="n">
        <v>207259.58</v>
      </c>
      <c r="D78" s="24" t="n">
        <v>191265.79</v>
      </c>
      <c r="E78" s="24" t="n">
        <v>165466.65</v>
      </c>
      <c r="F78" s="24" t="n">
        <v>184047</v>
      </c>
      <c r="G78" s="24" t="n">
        <v>244475</v>
      </c>
      <c r="H78" s="24">
        <f>G78-F78</f>
        <v/>
      </c>
      <c r="I78" s="8">
        <f>IF(F78=0,0,G78/F78-1)</f>
        <v/>
      </c>
    </row>
    <row r="79">
      <c r="A79" s="6" t="inlineStr">
        <is>
          <t>1000.0000.2600.52080.050</t>
        </is>
      </c>
      <c r="B79" s="6" t="inlineStr">
        <is>
          <t>Custodian Benefits</t>
        </is>
      </c>
      <c r="C79" s="24" t="n">
        <v>99482.53</v>
      </c>
      <c r="D79" s="24" t="n">
        <v>54202.41</v>
      </c>
      <c r="E79" s="24" t="n">
        <v>59466.72</v>
      </c>
      <c r="F79" s="24" t="n">
        <v>83095</v>
      </c>
      <c r="G79" s="24" t="n">
        <v>152838</v>
      </c>
      <c r="H79" s="24">
        <f>G79-F79</f>
        <v/>
      </c>
      <c r="I79" s="8">
        <f>IF(F79=0,0,G79/F79-1)</f>
        <v/>
      </c>
    </row>
    <row r="80">
      <c r="A80" s="6" t="inlineStr">
        <is>
          <t>1000.0000.2600.52380.050</t>
        </is>
      </c>
      <c r="B80" s="6" t="inlineStr">
        <is>
          <t>Retirement</t>
        </is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2542</v>
      </c>
      <c r="H80" s="24">
        <f>G80-F80</f>
        <v/>
      </c>
      <c r="I80" s="8">
        <f>IF(F80=0,0,G80/F80-1)</f>
        <v/>
      </c>
    </row>
    <row r="81">
      <c r="A81" s="6" t="inlineStr">
        <is>
          <t>1000.0000.2600.54100.050</t>
        </is>
      </c>
      <c r="B81" s="6" t="inlineStr">
        <is>
          <t>Water/Sewage</t>
        </is>
      </c>
      <c r="C81" s="24" t="n">
        <v>11963.12</v>
      </c>
      <c r="D81" s="24" t="n">
        <v>9356.74</v>
      </c>
      <c r="E81" s="24" t="n">
        <v>11648.56</v>
      </c>
      <c r="F81" s="24" t="n">
        <v>14008</v>
      </c>
      <c r="G81" s="24" t="n">
        <v>13000</v>
      </c>
      <c r="H81" s="24">
        <f>G81-F81</f>
        <v/>
      </c>
      <c r="I81" s="8">
        <f>IF(F81=0,0,G81/F81-1)</f>
        <v/>
      </c>
    </row>
    <row r="82">
      <c r="A82" s="6" t="inlineStr">
        <is>
          <t>1000.0000.2600.54300.050</t>
        </is>
      </c>
      <c r="B82" s="6" t="inlineStr">
        <is>
          <t>Purchased Repair</t>
        </is>
      </c>
      <c r="C82" s="24" t="n">
        <v>52483.87</v>
      </c>
      <c r="D82" s="24" t="n">
        <v>51401.85</v>
      </c>
      <c r="E82" s="24" t="n">
        <v>43684.24</v>
      </c>
      <c r="F82" s="24" t="n">
        <v>53258.57</v>
      </c>
      <c r="G82" s="24" t="n">
        <v>54279</v>
      </c>
      <c r="H82" s="24">
        <f>G82-F82</f>
        <v/>
      </c>
      <c r="I82" s="8">
        <f>IF(F82=0,0,G82/F82-1)</f>
        <v/>
      </c>
    </row>
    <row r="83">
      <c r="A83" s="6" t="inlineStr">
        <is>
          <t>1000.0000.2600.55200.050</t>
        </is>
      </c>
      <c r="B83" s="6" t="inlineStr">
        <is>
          <t>Insurance</t>
        </is>
      </c>
      <c r="C83" s="24" t="n">
        <v>11125.1</v>
      </c>
      <c r="D83" s="24" t="n">
        <v>12171.79</v>
      </c>
      <c r="E83" s="24" t="n">
        <v>14179.9</v>
      </c>
      <c r="F83" s="24" t="n">
        <v>16358.89</v>
      </c>
      <c r="G83" s="24" t="n">
        <v>22746</v>
      </c>
      <c r="H83" s="24">
        <f>G83-F83</f>
        <v/>
      </c>
      <c r="I83" s="8">
        <f>IF(F83=0,0,G83/F83-1)</f>
        <v/>
      </c>
    </row>
    <row r="84">
      <c r="A84" s="6" t="inlineStr">
        <is>
          <t>1000.0000.2600.55320.050</t>
        </is>
      </c>
      <c r="B84" s="6" t="inlineStr">
        <is>
          <t>Telephone</t>
        </is>
      </c>
      <c r="C84" s="24" t="n">
        <v>4206.42</v>
      </c>
      <c r="D84" s="24" t="n">
        <v>4452.5</v>
      </c>
      <c r="E84" s="24" t="n">
        <v>4691.02</v>
      </c>
      <c r="F84" s="24" t="n">
        <v>5000</v>
      </c>
      <c r="G84" s="24" t="n">
        <v>5200</v>
      </c>
      <c r="H84" s="24">
        <f>G84-F84</f>
        <v/>
      </c>
      <c r="I84" s="8">
        <f>IF(F84=0,0,G84/F84-1)</f>
        <v/>
      </c>
    </row>
    <row r="85">
      <c r="A85" s="6" t="inlineStr">
        <is>
          <t>1000.0000.2600.56000.050</t>
        </is>
      </c>
      <c r="B85" s="6" t="inlineStr">
        <is>
          <t>Supplies</t>
        </is>
      </c>
      <c r="C85" s="24" t="n">
        <v>13230.91</v>
      </c>
      <c r="D85" s="24" t="n">
        <v>26527.42</v>
      </c>
      <c r="E85" s="24" t="n">
        <v>16830.26</v>
      </c>
      <c r="F85" s="24" t="n">
        <v>21800</v>
      </c>
      <c r="G85" s="24" t="n">
        <v>22800</v>
      </c>
      <c r="H85" s="24">
        <f>G85-F85</f>
        <v/>
      </c>
      <c r="I85" s="8">
        <f>IF(F85=0,0,G85/F85-1)</f>
        <v/>
      </c>
    </row>
    <row r="86">
      <c r="A86" s="6" t="inlineStr">
        <is>
          <t>1000.0000.2600.56011.050</t>
        </is>
      </c>
      <c r="B86" s="6" t="inlineStr">
        <is>
          <t>Materials for Repair</t>
        </is>
      </c>
      <c r="C86" s="24" t="n">
        <v>5530.91</v>
      </c>
      <c r="D86" s="24" t="n">
        <v>3453.88</v>
      </c>
      <c r="E86" s="24" t="n">
        <v>3003.75</v>
      </c>
      <c r="F86" s="24" t="n">
        <v>6000</v>
      </c>
      <c r="G86" s="24" t="n">
        <v>6000</v>
      </c>
      <c r="H86" s="24">
        <f>G86-F86</f>
        <v/>
      </c>
      <c r="I86" s="8">
        <f>IF(F86=0,0,G86/F86-1)</f>
        <v/>
      </c>
    </row>
    <row r="87">
      <c r="A87" s="6" t="inlineStr">
        <is>
          <t>1000.0000.2600.56013.050</t>
        </is>
      </c>
      <c r="B87" s="6" t="inlineStr">
        <is>
          <t>Major Maintenance</t>
        </is>
      </c>
      <c r="C87" s="24" t="n">
        <v>19635.78</v>
      </c>
      <c r="D87" s="24" t="n">
        <v>7764</v>
      </c>
      <c r="E87" s="24" t="n">
        <v>16375.43</v>
      </c>
      <c r="F87" s="24" t="n">
        <v>10200</v>
      </c>
      <c r="G87" s="24" t="n">
        <v>14200</v>
      </c>
      <c r="H87" s="24">
        <f>G87-F87</f>
        <v/>
      </c>
      <c r="I87" s="8">
        <f>IF(F87=0,0,G87/F87-1)</f>
        <v/>
      </c>
    </row>
    <row r="88">
      <c r="A88" s="6" t="inlineStr">
        <is>
          <t>1000.0000.2600.56050.050</t>
        </is>
      </c>
      <c r="B88" s="6" t="inlineStr">
        <is>
          <t>Furniture &amp; Equipment - Non Instructional FMS$0.00</t>
        </is>
      </c>
      <c r="C88" s="24" t="n">
        <v>0</v>
      </c>
      <c r="D88" s="24" t="n">
        <v>4174.32</v>
      </c>
      <c r="E88" s="24" t="n">
        <v>7200</v>
      </c>
      <c r="F88" s="24" t="n">
        <v>0</v>
      </c>
      <c r="G88" s="24" t="n">
        <v>-7200</v>
      </c>
      <c r="H88" s="24">
        <f>G88-F88</f>
        <v/>
      </c>
      <c r="I88" s="8">
        <f>IF(F88=0,0,G88/F88-1)</f>
        <v/>
      </c>
    </row>
    <row r="89">
      <c r="A89" s="6" t="inlineStr">
        <is>
          <t>1000.0000.2600.56220.050</t>
        </is>
      </c>
      <c r="B89" s="6" t="inlineStr">
        <is>
          <t>Electricity</t>
        </is>
      </c>
      <c r="C89" s="24" t="n">
        <v>33636.02</v>
      </c>
      <c r="D89" s="24" t="n">
        <v>30451.98</v>
      </c>
      <c r="E89" s="24" t="n">
        <v>40969.23</v>
      </c>
      <c r="F89" s="24" t="n">
        <v>33300</v>
      </c>
      <c r="G89" s="24" t="n">
        <v>25000</v>
      </c>
      <c r="H89" s="24">
        <f>G89-F89</f>
        <v/>
      </c>
      <c r="I89" s="8">
        <f>IF(F89=0,0,G89/F89-1)</f>
        <v/>
      </c>
    </row>
    <row r="90">
      <c r="A90" s="6" t="inlineStr">
        <is>
          <t>1000.0000.2600.56240.050</t>
        </is>
      </c>
      <c r="B90" s="6" t="inlineStr">
        <is>
          <t>Heating Fuel</t>
        </is>
      </c>
      <c r="C90" s="24" t="n">
        <v>29172.08</v>
      </c>
      <c r="D90" s="24" t="n">
        <v>40868.29</v>
      </c>
      <c r="E90" s="24" t="n">
        <v>48303.8</v>
      </c>
      <c r="F90" s="24" t="n">
        <v>50802</v>
      </c>
      <c r="G90" s="24" t="n">
        <v>53302</v>
      </c>
      <c r="H90" s="24">
        <f>G90-F90</f>
        <v/>
      </c>
      <c r="I90" s="8">
        <f>IF(F90=0,0,G90/F90-1)</f>
        <v/>
      </c>
    </row>
    <row r="91">
      <c r="A91" s="14" t="n"/>
      <c r="B91" s="28" t="inlineStr">
        <is>
          <t>Program 0000 Total</t>
        </is>
      </c>
      <c r="C91" s="29">
        <f>SUM(C78:C90)</f>
        <v/>
      </c>
      <c r="D91" s="29">
        <f>SUM(D78:D90)</f>
        <v/>
      </c>
      <c r="E91" s="29">
        <f>SUM(E78:E90)</f>
        <v/>
      </c>
      <c r="F91" s="29">
        <f>SUM(F78:F90)</f>
        <v/>
      </c>
      <c r="G91" s="29">
        <f>SUM(G78:G90)</f>
        <v/>
      </c>
      <c r="H91" s="29">
        <f>SUM(H78:H90)</f>
        <v/>
      </c>
      <c r="I91" s="29">
        <f>SUM(I78:I90)</f>
        <v/>
      </c>
    </row>
    <row r="92">
      <c r="A92" s="14" t="n"/>
      <c r="B92" s="17" t="inlineStr">
        <is>
          <t>Cost Center ('050',) Total</t>
        </is>
      </c>
      <c r="C92" s="32">
        <f>C91</f>
        <v/>
      </c>
      <c r="D92" s="32">
        <f>D91</f>
        <v/>
      </c>
      <c r="E92" s="32">
        <f>E91</f>
        <v/>
      </c>
      <c r="F92" s="32">
        <f>F91</f>
        <v/>
      </c>
      <c r="G92" s="32">
        <f>G91</f>
        <v/>
      </c>
      <c r="H92" s="32">
        <f>H91</f>
        <v/>
      </c>
      <c r="I92" s="32">
        <f>I91</f>
        <v/>
      </c>
    </row>
    <row r="94">
      <c r="A94" s="3" t="inlineStr">
        <is>
          <t>Cost Center: ('300',)</t>
        </is>
      </c>
    </row>
    <row r="95">
      <c r="A95" s="6" t="inlineStr">
        <is>
          <t>1000.0000.2600.51180.300</t>
        </is>
      </c>
      <c r="B95" s="6" t="inlineStr">
        <is>
          <t>Custodian Salaries</t>
        </is>
      </c>
      <c r="C95" s="24" t="n">
        <v>290708.72</v>
      </c>
      <c r="D95" s="24" t="n">
        <v>287887.3</v>
      </c>
      <c r="E95" s="24" t="n">
        <v>211961.6</v>
      </c>
      <c r="F95" s="24" t="n">
        <v>230214</v>
      </c>
      <c r="G95" s="24" t="n">
        <v>192205</v>
      </c>
      <c r="H95" s="24">
        <f>G95-F95</f>
        <v/>
      </c>
      <c r="I95" s="8">
        <f>IF(F95=0,0,G95/F95-1)</f>
        <v/>
      </c>
    </row>
    <row r="96">
      <c r="A96" s="6" t="inlineStr">
        <is>
          <t>1000.0000.2600.51200.300</t>
        </is>
      </c>
      <c r="B96" s="6" t="inlineStr">
        <is>
          <t>Salaries of Temporary Employees</t>
        </is>
      </c>
      <c r="C96" s="24" t="n">
        <v>0</v>
      </c>
      <c r="D96" s="24" t="n">
        <v>0</v>
      </c>
      <c r="E96" s="24" t="n">
        <v>4122.01</v>
      </c>
      <c r="F96" s="24" t="n">
        <v>0</v>
      </c>
      <c r="G96" s="24" t="n">
        <v>0</v>
      </c>
      <c r="H96" s="24">
        <f>G96-F96</f>
        <v/>
      </c>
      <c r="I96" s="8">
        <f>IF(F96=0,0,G96/F96-1)</f>
        <v/>
      </c>
    </row>
    <row r="97">
      <c r="A97" s="6" t="inlineStr">
        <is>
          <t>1000.0000.2600.52000.300</t>
        </is>
      </c>
      <c r="B97" s="6" t="inlineStr">
        <is>
          <t>Employee Benefits</t>
        </is>
      </c>
      <c r="C97" s="24" t="n">
        <v>0</v>
      </c>
      <c r="D97" s="24" t="n">
        <v>0</v>
      </c>
      <c r="E97" s="24" t="n">
        <v>337.98</v>
      </c>
      <c r="F97" s="24" t="n">
        <v>0</v>
      </c>
      <c r="G97" s="24" t="n">
        <v>0</v>
      </c>
      <c r="H97" s="24">
        <f>G97-F97</f>
        <v/>
      </c>
      <c r="I97" s="8">
        <f>IF(F97=0,0,G97/F97-1)</f>
        <v/>
      </c>
    </row>
    <row r="98">
      <c r="A98" s="6" t="inlineStr">
        <is>
          <t>1000.0000.2600.52080.300</t>
        </is>
      </c>
      <c r="B98" s="6" t="inlineStr">
        <is>
          <t>Custodian Benefits</t>
        </is>
      </c>
      <c r="C98" s="24" t="n">
        <v>114252.47</v>
      </c>
      <c r="D98" s="24" t="n">
        <v>80240.71000000001</v>
      </c>
      <c r="E98" s="24" t="n">
        <v>72610.42999999999</v>
      </c>
      <c r="F98" s="24" t="n">
        <v>123232</v>
      </c>
      <c r="G98" s="24" t="n">
        <v>81555</v>
      </c>
      <c r="H98" s="24">
        <f>G98-F98</f>
        <v/>
      </c>
      <c r="I98" s="8">
        <f>IF(F98=0,0,G98/F98-1)</f>
        <v/>
      </c>
    </row>
    <row r="99">
      <c r="A99" s="6" t="inlineStr">
        <is>
          <t>1000.0000.2600.52380.300</t>
        </is>
      </c>
      <c r="B99" s="6" t="inlineStr">
        <is>
          <t>Retirement</t>
        </is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2418</v>
      </c>
      <c r="H99" s="24">
        <f>G99-F99</f>
        <v/>
      </c>
      <c r="I99" s="8">
        <f>IF(F99=0,0,G99/F99-1)</f>
        <v/>
      </c>
    </row>
    <row r="100">
      <c r="A100" s="6" t="inlineStr">
        <is>
          <t>1000.0000.2600.53300.300</t>
        </is>
      </c>
      <c r="B100" s="6" t="inlineStr">
        <is>
          <t>Employee Training</t>
        </is>
      </c>
      <c r="C100" s="24" t="n">
        <v>0</v>
      </c>
      <c r="D100" s="24" t="n">
        <v>0</v>
      </c>
      <c r="E100" s="24" t="n">
        <v>0</v>
      </c>
      <c r="F100" s="24" t="n">
        <v>125</v>
      </c>
      <c r="G100" s="24" t="n">
        <v>125</v>
      </c>
      <c r="H100" s="24">
        <f>G100-F100</f>
        <v/>
      </c>
      <c r="I100" s="8">
        <f>IF(F100=0,0,G100/F100-1)</f>
        <v/>
      </c>
    </row>
    <row r="101">
      <c r="A101" s="6" t="inlineStr">
        <is>
          <t>1000.0000.2600.54100.300</t>
        </is>
      </c>
      <c r="B101" s="6" t="inlineStr">
        <is>
          <t>Water/Sewage</t>
        </is>
      </c>
      <c r="C101" s="24" t="n">
        <v>11650.09</v>
      </c>
      <c r="D101" s="24" t="n">
        <v>8699.959999999999</v>
      </c>
      <c r="E101" s="24" t="n">
        <v>13510.07</v>
      </c>
      <c r="F101" s="24" t="n">
        <v>14550</v>
      </c>
      <c r="G101" s="24" t="n">
        <v>15050</v>
      </c>
      <c r="H101" s="24">
        <f>G101-F101</f>
        <v/>
      </c>
      <c r="I101" s="8">
        <f>IF(F101=0,0,G101/F101-1)</f>
        <v/>
      </c>
    </row>
    <row r="102">
      <c r="A102" s="6" t="inlineStr">
        <is>
          <t>1000.0000.2600.54300.300</t>
        </is>
      </c>
      <c r="B102" s="6" t="inlineStr">
        <is>
          <t>Purchased Repair</t>
        </is>
      </c>
      <c r="C102" s="24" t="n">
        <v>59612.54</v>
      </c>
      <c r="D102" s="24" t="n">
        <v>60324.94</v>
      </c>
      <c r="E102" s="24" t="n">
        <v>60127.46</v>
      </c>
      <c r="F102" s="24" t="n">
        <v>79770.03999999999</v>
      </c>
      <c r="G102" s="24" t="n">
        <v>82790</v>
      </c>
      <c r="H102" s="24">
        <f>G102-F102</f>
        <v/>
      </c>
      <c r="I102" s="8">
        <f>IF(F102=0,0,G102/F102-1)</f>
        <v/>
      </c>
    </row>
    <row r="103">
      <c r="A103" s="6" t="inlineStr">
        <is>
          <t>1000.0000.2600.55200.300</t>
        </is>
      </c>
      <c r="B103" s="6" t="inlineStr">
        <is>
          <t>Insurance</t>
        </is>
      </c>
      <c r="C103" s="24" t="n">
        <v>13350.12</v>
      </c>
      <c r="D103" s="24" t="n">
        <v>14047.73</v>
      </c>
      <c r="E103" s="24" t="n">
        <v>15192.75</v>
      </c>
      <c r="F103" s="24" t="n">
        <v>18880.15</v>
      </c>
      <c r="G103" s="24" t="n">
        <v>22746</v>
      </c>
      <c r="H103" s="24">
        <f>G103-F103</f>
        <v/>
      </c>
      <c r="I103" s="8">
        <f>IF(F103=0,0,G103/F103-1)</f>
        <v/>
      </c>
    </row>
    <row r="104">
      <c r="A104" s="6" t="inlineStr">
        <is>
          <t>1000.0000.2600.55320.300</t>
        </is>
      </c>
      <c r="B104" s="6" t="inlineStr">
        <is>
          <t>Telephone</t>
        </is>
      </c>
      <c r="C104" s="24" t="n">
        <v>5095.21</v>
      </c>
      <c r="D104" s="24" t="n">
        <v>5232.02</v>
      </c>
      <c r="E104" s="24" t="n">
        <v>5839</v>
      </c>
      <c r="F104" s="24" t="n">
        <v>8300</v>
      </c>
      <c r="G104" s="24" t="n">
        <v>6400</v>
      </c>
      <c r="H104" s="24">
        <f>G104-F104</f>
        <v/>
      </c>
      <c r="I104" s="8">
        <f>IF(F104=0,0,G104/F104-1)</f>
        <v/>
      </c>
    </row>
    <row r="105">
      <c r="A105" s="6" t="inlineStr">
        <is>
          <t>1000.0000.2600.56000.300</t>
        </is>
      </c>
      <c r="B105" s="6" t="inlineStr">
        <is>
          <t>Supplies</t>
        </is>
      </c>
      <c r="C105" s="24" t="n">
        <v>33860.33</v>
      </c>
      <c r="D105" s="24" t="n">
        <v>24265.23</v>
      </c>
      <c r="E105" s="24" t="n">
        <v>28822.65</v>
      </c>
      <c r="F105" s="24" t="n">
        <v>40500</v>
      </c>
      <c r="G105" s="24" t="n">
        <v>40500</v>
      </c>
      <c r="H105" s="24">
        <f>G105-F105</f>
        <v/>
      </c>
      <c r="I105" s="8">
        <f>IF(F105=0,0,G105/F105-1)</f>
        <v/>
      </c>
    </row>
    <row r="106">
      <c r="A106" s="6" t="inlineStr">
        <is>
          <t>1000.0000.2600.56011.300</t>
        </is>
      </c>
      <c r="B106" s="6" t="inlineStr">
        <is>
          <t>Materials for Repair</t>
        </is>
      </c>
      <c r="C106" s="24" t="n">
        <v>5918.71</v>
      </c>
      <c r="D106" s="24" t="n">
        <v>6271.26</v>
      </c>
      <c r="E106" s="24" t="n">
        <v>4748.62</v>
      </c>
      <c r="F106" s="24" t="n">
        <v>7000</v>
      </c>
      <c r="G106" s="24" t="n">
        <v>7000</v>
      </c>
      <c r="H106" s="24">
        <f>G106-F106</f>
        <v/>
      </c>
      <c r="I106" s="8">
        <f>IF(F106=0,0,G106/F106-1)</f>
        <v/>
      </c>
    </row>
    <row r="107">
      <c r="A107" s="6" t="inlineStr">
        <is>
          <t>1000.0000.2600.56013.300</t>
        </is>
      </c>
      <c r="B107" s="6" t="inlineStr">
        <is>
          <t>Major Maintenance</t>
        </is>
      </c>
      <c r="C107" s="24" t="n">
        <v>1802.5</v>
      </c>
      <c r="D107" s="24" t="n">
        <v>2054.86</v>
      </c>
      <c r="E107" s="24" t="n">
        <v>26101.37</v>
      </c>
      <c r="F107" s="24" t="n">
        <v>11600</v>
      </c>
      <c r="G107" s="24" t="n">
        <v>11600</v>
      </c>
      <c r="H107" s="24">
        <f>G107-F107</f>
        <v/>
      </c>
      <c r="I107" s="8">
        <f>IF(F107=0,0,G107/F107-1)</f>
        <v/>
      </c>
    </row>
    <row r="108">
      <c r="A108" s="6" t="inlineStr">
        <is>
          <t>1000.0000.2600.56220.300</t>
        </is>
      </c>
      <c r="B108" s="6" t="inlineStr">
        <is>
          <t>Electricity</t>
        </is>
      </c>
      <c r="C108" s="24" t="n">
        <v>58541.32</v>
      </c>
      <c r="D108" s="24" t="n">
        <v>51987.76</v>
      </c>
      <c r="E108" s="24" t="n">
        <v>67410.97</v>
      </c>
      <c r="F108" s="24" t="n">
        <v>60642</v>
      </c>
      <c r="G108" s="24" t="n">
        <v>58390</v>
      </c>
      <c r="H108" s="24">
        <f>G108-F108</f>
        <v/>
      </c>
      <c r="I108" s="8">
        <f>IF(F108=0,0,G108/F108-1)</f>
        <v/>
      </c>
    </row>
    <row r="109">
      <c r="A109" s="6" t="inlineStr">
        <is>
          <t>1000.0000.2600.56240.300</t>
        </is>
      </c>
      <c r="B109" s="6" t="inlineStr">
        <is>
          <t>Heating Fuel</t>
        </is>
      </c>
      <c r="C109" s="24" t="n">
        <v>55844.9</v>
      </c>
      <c r="D109" s="24" t="n">
        <v>68213.16</v>
      </c>
      <c r="E109" s="24" t="n">
        <v>84503.55</v>
      </c>
      <c r="F109" s="24" t="n">
        <v>92000</v>
      </c>
      <c r="G109" s="24" t="n">
        <v>93600</v>
      </c>
      <c r="H109" s="24">
        <f>G109-F109</f>
        <v/>
      </c>
      <c r="I109" s="8">
        <f>IF(F109=0,0,G109/F109-1)</f>
        <v/>
      </c>
    </row>
    <row r="110">
      <c r="A110" s="14" t="n"/>
      <c r="B110" s="28" t="inlineStr">
        <is>
          <t>Program 0000 Total</t>
        </is>
      </c>
      <c r="C110" s="29">
        <f>SUM(C95:C109)</f>
        <v/>
      </c>
      <c r="D110" s="29">
        <f>SUM(D95:D109)</f>
        <v/>
      </c>
      <c r="E110" s="29">
        <f>SUM(E95:E109)</f>
        <v/>
      </c>
      <c r="F110" s="29">
        <f>SUM(F95:F109)</f>
        <v/>
      </c>
      <c r="G110" s="29">
        <f>SUM(G95:G109)</f>
        <v/>
      </c>
      <c r="H110" s="29">
        <f>SUM(H95:H109)</f>
        <v/>
      </c>
      <c r="I110" s="29">
        <f>SUM(I95:I109)</f>
        <v/>
      </c>
    </row>
    <row r="111">
      <c r="A111" s="6" t="inlineStr">
        <is>
          <t>1000.0000.2680.58310.300</t>
        </is>
      </c>
      <c r="B111" s="6" t="inlineStr">
        <is>
          <t>Principal-High School Renovation</t>
        </is>
      </c>
      <c r="C111" s="24" t="n">
        <v>905000</v>
      </c>
      <c r="D111" s="24" t="n">
        <v>905000</v>
      </c>
      <c r="E111" s="24" t="n">
        <v>905000</v>
      </c>
      <c r="F111" s="24" t="n">
        <v>900000</v>
      </c>
      <c r="G111" s="24" t="n">
        <v>680000</v>
      </c>
      <c r="H111" s="24">
        <f>G111-F111</f>
        <v/>
      </c>
      <c r="I111" s="8">
        <f>IF(F111=0,0,G111/F111-1)</f>
        <v/>
      </c>
    </row>
    <row r="112">
      <c r="A112" s="6" t="inlineStr">
        <is>
          <t>1000.0000.2680.58320.300</t>
        </is>
      </c>
      <c r="B112" s="6" t="inlineStr">
        <is>
          <t>Interest-High School Renovation</t>
        </is>
      </c>
      <c r="C112" s="24" t="n">
        <v>461975.01</v>
      </c>
      <c r="D112" s="24" t="n">
        <v>416745</v>
      </c>
      <c r="E112" s="24" t="n">
        <v>367175</v>
      </c>
      <c r="F112" s="24" t="n">
        <v>327425</v>
      </c>
      <c r="G112" s="24" t="n">
        <v>289000</v>
      </c>
      <c r="H112" s="24">
        <f>G112-F112</f>
        <v/>
      </c>
      <c r="I112" s="8">
        <f>IF(F112=0,0,G112/F112-1)</f>
        <v/>
      </c>
    </row>
    <row r="113">
      <c r="A113" s="14" t="n"/>
      <c r="B113" s="28" t="inlineStr">
        <is>
          <t>Program 0000 Total</t>
        </is>
      </c>
      <c r="C113" s="29">
        <f>SUM(C111:C112)</f>
        <v/>
      </c>
      <c r="D113" s="29">
        <f>SUM(D111:D112)</f>
        <v/>
      </c>
      <c r="E113" s="29">
        <f>SUM(E111:E112)</f>
        <v/>
      </c>
      <c r="F113" s="29">
        <f>SUM(F111:F112)</f>
        <v/>
      </c>
      <c r="G113" s="29">
        <f>SUM(G111:G112)</f>
        <v/>
      </c>
      <c r="H113" s="29">
        <f>SUM(H111:H112)</f>
        <v/>
      </c>
      <c r="I113" s="29">
        <f>SUM(I111:I112)</f>
        <v/>
      </c>
    </row>
    <row r="114">
      <c r="A114" s="14" t="n"/>
      <c r="B114" s="17" t="inlineStr">
        <is>
          <t>Cost Center ('300',) Total</t>
        </is>
      </c>
      <c r="C114" s="32">
        <f>C110+C113</f>
        <v/>
      </c>
      <c r="D114" s="32">
        <f>D110+D113</f>
        <v/>
      </c>
      <c r="E114" s="32">
        <f>E110+E113</f>
        <v/>
      </c>
      <c r="F114" s="32">
        <f>F110+F113</f>
        <v/>
      </c>
      <c r="G114" s="32">
        <f>G110+G113</f>
        <v/>
      </c>
      <c r="H114" s="32">
        <f>H110+H113</f>
        <v/>
      </c>
      <c r="I114" s="32">
        <f>I110+I113</f>
        <v/>
      </c>
    </row>
    <row r="116">
      <c r="A116" s="3" t="inlineStr">
        <is>
          <t>Cost Center: ('900',)</t>
        </is>
      </c>
    </row>
    <row r="117">
      <c r="A117" s="6" t="inlineStr">
        <is>
          <t>1000.0000.2600.54300.900</t>
        </is>
      </c>
      <c r="B117" s="6" t="inlineStr">
        <is>
          <t>Purchaed Repairs</t>
        </is>
      </c>
      <c r="C117" s="24" t="n">
        <v>1054.8</v>
      </c>
      <c r="D117" s="24" t="n">
        <v>441.9</v>
      </c>
      <c r="E117" s="24" t="n">
        <v>21661.44</v>
      </c>
      <c r="F117" s="24" t="n">
        <v>0</v>
      </c>
      <c r="G117" s="24" t="n">
        <v>0</v>
      </c>
      <c r="H117" s="24">
        <f>G117-F117</f>
        <v/>
      </c>
      <c r="I117" s="8">
        <f>IF(F117=0,0,G117/F117-1)</f>
        <v/>
      </c>
    </row>
    <row r="118">
      <c r="A118" s="6" t="inlineStr">
        <is>
          <t>1000.0000.2600.55000.900</t>
        </is>
      </c>
      <c r="B118" s="6" t="inlineStr">
        <is>
          <t>Other Purchased Services</t>
        </is>
      </c>
      <c r="C118" s="24" t="n">
        <v>5000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>
        <f>G118-F118</f>
        <v/>
      </c>
      <c r="I118" s="8">
        <f>IF(F118=0,0,G118/F118-1)</f>
        <v/>
      </c>
    </row>
    <row r="119">
      <c r="A119" s="6" t="inlineStr">
        <is>
          <t>1000.0000.2600.56000.900</t>
        </is>
      </c>
      <c r="B119" s="6" t="inlineStr">
        <is>
          <t>Supplies</t>
        </is>
      </c>
      <c r="C119" s="24" t="n">
        <v>1849.42</v>
      </c>
      <c r="D119" s="24" t="n">
        <v>0</v>
      </c>
      <c r="E119" s="24" t="n">
        <v>11219.74</v>
      </c>
      <c r="F119" s="24" t="n">
        <v>0</v>
      </c>
      <c r="G119" s="24" t="n">
        <v>0</v>
      </c>
      <c r="H119" s="24">
        <f>G119-F119</f>
        <v/>
      </c>
      <c r="I119" s="8">
        <f>IF(F119=0,0,G119/F119-1)</f>
        <v/>
      </c>
    </row>
    <row r="120">
      <c r="A120" s="6" t="inlineStr">
        <is>
          <t>1000.0000.2600.56011.900</t>
        </is>
      </c>
      <c r="B120" s="6" t="inlineStr">
        <is>
          <t>Materials for Repair</t>
        </is>
      </c>
      <c r="C120" s="24" t="n">
        <v>400</v>
      </c>
      <c r="D120" s="24" t="n">
        <v>24.55</v>
      </c>
      <c r="E120" s="24" t="n">
        <v>2081.87</v>
      </c>
      <c r="F120" s="24" t="n">
        <v>0</v>
      </c>
      <c r="G120" s="24" t="n">
        <v>0</v>
      </c>
      <c r="H120" s="24">
        <f>G120-F120</f>
        <v/>
      </c>
      <c r="I120" s="8">
        <f>IF(F120=0,0,G120/F120-1)</f>
        <v/>
      </c>
    </row>
    <row r="121">
      <c r="A121" s="6" t="inlineStr">
        <is>
          <t>1000.0000.2600.56013.900</t>
        </is>
      </c>
      <c r="B121" s="6" t="inlineStr">
        <is>
          <t>Major Maintenance</t>
        </is>
      </c>
      <c r="C121" s="24" t="n">
        <v>0</v>
      </c>
      <c r="D121" s="24" t="n">
        <v>0</v>
      </c>
      <c r="E121" s="24" t="n">
        <v>2447</v>
      </c>
      <c r="F121" s="24" t="n">
        <v>0</v>
      </c>
      <c r="G121" s="24" t="n">
        <v>0</v>
      </c>
      <c r="H121" s="24">
        <f>G121-F121</f>
        <v/>
      </c>
      <c r="I121" s="8">
        <f>IF(F121=0,0,G121/F121-1)</f>
        <v/>
      </c>
    </row>
    <row r="122">
      <c r="A122" s="14" t="n"/>
      <c r="B122" s="28" t="inlineStr">
        <is>
          <t>Program 0000 Total</t>
        </is>
      </c>
      <c r="C122" s="29">
        <f>SUM(C117:C121)</f>
        <v/>
      </c>
      <c r="D122" s="29">
        <f>SUM(D117:D121)</f>
        <v/>
      </c>
      <c r="E122" s="29">
        <f>SUM(E117:E121)</f>
        <v/>
      </c>
      <c r="F122" s="29">
        <f>SUM(F117:F121)</f>
        <v/>
      </c>
      <c r="G122" s="29">
        <f>SUM(G117:G121)</f>
        <v/>
      </c>
      <c r="H122" s="29">
        <f>SUM(H117:H121)</f>
        <v/>
      </c>
      <c r="I122" s="29">
        <f>SUM(I117:I121)</f>
        <v/>
      </c>
    </row>
    <row r="123">
      <c r="A123" s="6" t="inlineStr">
        <is>
          <t>1000.0000.2620.51040.900</t>
        </is>
      </c>
      <c r="B123" s="6" t="inlineStr">
        <is>
          <t>Administrator Salary</t>
        </is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60000</v>
      </c>
      <c r="H123" s="24">
        <f>G123-F123</f>
        <v/>
      </c>
      <c r="I123" s="8">
        <f>IF(F123=0,0,G123/F123-1)</f>
        <v/>
      </c>
    </row>
    <row r="124">
      <c r="A124" s="6" t="inlineStr">
        <is>
          <t>1000.0000.2620.51060.900</t>
        </is>
      </c>
      <c r="B124" s="6" t="inlineStr">
        <is>
          <t>Facilities Office Clerical Support Salary</t>
        </is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20842</v>
      </c>
      <c r="H124" s="24">
        <f>G124-F124</f>
        <v/>
      </c>
      <c r="I124" s="8">
        <f>IF(F124=0,0,G124/F124-1)</f>
        <v/>
      </c>
    </row>
    <row r="125">
      <c r="A125" s="6" t="inlineStr">
        <is>
          <t>1000.0000.2620.51180.900</t>
        </is>
      </c>
      <c r="B125" s="6" t="inlineStr">
        <is>
          <t>Salaries</t>
        </is>
      </c>
      <c r="C125" s="24" t="n">
        <v>301356.13</v>
      </c>
      <c r="D125" s="24" t="n">
        <v>347667.45</v>
      </c>
      <c r="E125" s="24" t="n">
        <v>283420.57</v>
      </c>
      <c r="F125" s="24" t="n">
        <v>317304</v>
      </c>
      <c r="G125" s="24" t="n">
        <v>239262</v>
      </c>
      <c r="H125" s="24">
        <f>G125-F125</f>
        <v/>
      </c>
      <c r="I125" s="8">
        <f>IF(F125=0,0,G125/F125-1)</f>
        <v/>
      </c>
    </row>
    <row r="126">
      <c r="A126" s="6" t="inlineStr">
        <is>
          <t>1000.0000.2620.52000.900</t>
        </is>
      </c>
      <c r="B126" s="6" t="inlineStr">
        <is>
          <t>Maintenance Benefits</t>
        </is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89805</v>
      </c>
      <c r="H126" s="24">
        <f>G126-F126</f>
        <v/>
      </c>
      <c r="I126" s="8">
        <f>IF(F126=0,0,G126/F126-1)</f>
        <v/>
      </c>
    </row>
    <row r="127">
      <c r="A127" s="6" t="inlineStr">
        <is>
          <t>1000.0000.2620.52040.900</t>
        </is>
      </c>
      <c r="B127" s="6" t="inlineStr">
        <is>
          <t>Administrator Benefits</t>
        </is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20245</v>
      </c>
      <c r="H127" s="24">
        <f>G127-F127</f>
        <v/>
      </c>
      <c r="I127" s="8">
        <f>IF(F127=0,0,G127/F127-1)</f>
        <v/>
      </c>
    </row>
    <row r="128">
      <c r="A128" s="6" t="inlineStr">
        <is>
          <t>1000.0000.2620.52060.900</t>
        </is>
      </c>
      <c r="B128" s="6" t="inlineStr">
        <is>
          <t>Facilities Office Clerical Support Benefits</t>
        </is>
      </c>
      <c r="C128" s="24" t="n">
        <v>0</v>
      </c>
      <c r="D128" s="24" t="n">
        <v>0</v>
      </c>
      <c r="E128" s="24" t="n">
        <v>0</v>
      </c>
      <c r="F128" s="24" t="n">
        <v>0</v>
      </c>
      <c r="G128" s="24" t="n">
        <v>8900</v>
      </c>
      <c r="H128" s="24">
        <f>G128-F128</f>
        <v/>
      </c>
      <c r="I128" s="8">
        <f>IF(F128=0,0,G128/F128-1)</f>
        <v/>
      </c>
    </row>
    <row r="129">
      <c r="A129" s="6" t="inlineStr">
        <is>
          <t>1000.0000.2620.52080.900</t>
        </is>
      </c>
      <c r="B129" s="6" t="inlineStr">
        <is>
          <t>Benefits</t>
        </is>
      </c>
      <c r="C129" s="24" t="n">
        <v>131509.62</v>
      </c>
      <c r="D129" s="24" t="n">
        <v>109229.52</v>
      </c>
      <c r="E129" s="24" t="n">
        <v>85380.39</v>
      </c>
      <c r="F129" s="24" t="n">
        <v>120339</v>
      </c>
      <c r="G129" s="24" t="n">
        <v>138259</v>
      </c>
      <c r="H129" s="24">
        <f>G129-F129</f>
        <v/>
      </c>
      <c r="I129" s="8">
        <f>IF(F129=0,0,G129/F129-1)</f>
        <v/>
      </c>
    </row>
    <row r="130">
      <c r="A130" s="6" t="inlineStr">
        <is>
          <t>1000.0000.2620.52340.900</t>
        </is>
      </c>
      <c r="B130" s="6" t="inlineStr">
        <is>
          <t>Administrator Retirement</t>
        </is>
      </c>
      <c r="C130" s="24" t="n">
        <v>0</v>
      </c>
      <c r="D130" s="24" t="n">
        <v>0</v>
      </c>
      <c r="E130" s="24" t="n">
        <v>0</v>
      </c>
      <c r="F130" s="24" t="n">
        <v>0</v>
      </c>
      <c r="G130" s="24" t="n">
        <v>3120</v>
      </c>
      <c r="H130" s="24">
        <f>G130-F130</f>
        <v/>
      </c>
      <c r="I130" s="8">
        <f>IF(F130=0,0,G130/F130-1)</f>
        <v/>
      </c>
    </row>
    <row r="131">
      <c r="A131" s="6" t="inlineStr">
        <is>
          <t>1000.0000.2620.52380.900</t>
        </is>
      </c>
      <c r="B131" s="6" t="inlineStr">
        <is>
          <t>Retirement</t>
        </is>
      </c>
      <c r="C131" s="24" t="n">
        <v>0</v>
      </c>
      <c r="D131" s="24" t="n">
        <v>0</v>
      </c>
      <c r="E131" s="24" t="n">
        <v>0</v>
      </c>
      <c r="F131" s="24" t="n">
        <v>0</v>
      </c>
      <c r="G131" s="24" t="n">
        <v>7912</v>
      </c>
      <c r="H131" s="24">
        <f>G131-F131</f>
        <v/>
      </c>
      <c r="I131" s="8">
        <f>IF(F131=0,0,G131/F131-1)</f>
        <v/>
      </c>
    </row>
    <row r="132">
      <c r="A132" s="6" t="inlineStr">
        <is>
          <t>1000.0000.2620.53000.900</t>
        </is>
      </c>
      <c r="B132" s="6" t="inlineStr">
        <is>
          <t>Purchased Professional</t>
        </is>
      </c>
      <c r="C132" s="24" t="n">
        <v>15658.69</v>
      </c>
      <c r="D132" s="24" t="n">
        <v>4213.52</v>
      </c>
      <c r="E132" s="24" t="n">
        <v>32740.33</v>
      </c>
      <c r="F132" s="24" t="n">
        <v>5140</v>
      </c>
      <c r="G132" s="24" t="n">
        <v>5140</v>
      </c>
      <c r="H132" s="24">
        <f>G132-F132</f>
        <v/>
      </c>
      <c r="I132" s="8">
        <f>IF(F132=0,0,G132/F132-1)</f>
        <v/>
      </c>
    </row>
    <row r="133">
      <c r="A133" s="6" t="inlineStr">
        <is>
          <t>1000.0000.2620.53300.900</t>
        </is>
      </c>
      <c r="B133" s="6" t="inlineStr">
        <is>
          <t>Training &amp; Development</t>
        </is>
      </c>
      <c r="C133" s="24" t="n">
        <v>0</v>
      </c>
      <c r="D133" s="24" t="n">
        <v>0</v>
      </c>
      <c r="E133" s="24" t="n">
        <v>0</v>
      </c>
      <c r="F133" s="24" t="n">
        <v>0</v>
      </c>
      <c r="G133" s="24" t="n">
        <v>1000</v>
      </c>
      <c r="H133" s="24">
        <f>G133-F133</f>
        <v/>
      </c>
      <c r="I133" s="8">
        <f>IF(F133=0,0,G133/F133-1)</f>
        <v/>
      </c>
    </row>
    <row r="134">
      <c r="A134" s="6" t="inlineStr">
        <is>
          <t>1000.0000.2620.54300.900</t>
        </is>
      </c>
      <c r="B134" s="6" t="inlineStr">
        <is>
          <t>Purchased Repair</t>
        </is>
      </c>
      <c r="C134" s="24" t="n">
        <v>35399.78</v>
      </c>
      <c r="D134" s="24" t="n">
        <v>45998.89</v>
      </c>
      <c r="E134" s="24" t="n">
        <v>32975.88</v>
      </c>
      <c r="F134" s="24" t="n">
        <v>37950</v>
      </c>
      <c r="G134" s="24" t="n">
        <v>38000</v>
      </c>
      <c r="H134" s="24">
        <f>G134-F134</f>
        <v/>
      </c>
      <c r="I134" s="8">
        <f>IF(F134=0,0,G134/F134-1)</f>
        <v/>
      </c>
    </row>
    <row r="135">
      <c r="A135" s="6" t="inlineStr">
        <is>
          <t>1000.0000.2620.55800.900</t>
        </is>
      </c>
      <c r="B135" s="6" t="inlineStr">
        <is>
          <t>Travel</t>
        </is>
      </c>
      <c r="C135" s="24" t="n">
        <v>4849.64</v>
      </c>
      <c r="D135" s="24" t="n">
        <v>2592.53</v>
      </c>
      <c r="E135" s="24" t="n">
        <v>3518.13</v>
      </c>
      <c r="F135" s="24" t="n">
        <v>8050</v>
      </c>
      <c r="G135" s="24" t="n">
        <v>5000</v>
      </c>
      <c r="H135" s="24">
        <f>G135-F135</f>
        <v/>
      </c>
      <c r="I135" s="8">
        <f>IF(F135=0,0,G135/F135-1)</f>
        <v/>
      </c>
    </row>
    <row r="136">
      <c r="A136" s="6" t="inlineStr">
        <is>
          <t>1000.0000.2620.56000.900</t>
        </is>
      </c>
      <c r="B136" s="6" t="inlineStr">
        <is>
          <t>Supplies</t>
        </is>
      </c>
      <c r="C136" s="24" t="n">
        <v>45065.62</v>
      </c>
      <c r="D136" s="24" t="n">
        <v>43156.22</v>
      </c>
      <c r="E136" s="24" t="n">
        <v>59698.24</v>
      </c>
      <c r="F136" s="24" t="n">
        <v>55981</v>
      </c>
      <c r="G136" s="24" t="n">
        <v>55787</v>
      </c>
      <c r="H136" s="24">
        <f>G136-F136</f>
        <v/>
      </c>
      <c r="I136" s="8">
        <f>IF(F136=0,0,G136/F136-1)</f>
        <v/>
      </c>
    </row>
    <row r="137">
      <c r="A137" s="6" t="inlineStr">
        <is>
          <t>1000.0000.2620.57300.900</t>
        </is>
      </c>
      <c r="B137" s="6" t="inlineStr">
        <is>
          <t>Equipment</t>
        </is>
      </c>
      <c r="C137" s="24" t="n">
        <v>1557.7</v>
      </c>
      <c r="D137" s="24" t="n">
        <v>880.22</v>
      </c>
      <c r="E137" s="24" t="n">
        <v>11215.01</v>
      </c>
      <c r="F137" s="24" t="n">
        <v>37000</v>
      </c>
      <c r="G137" s="24" t="n">
        <v>37000</v>
      </c>
      <c r="H137" s="24">
        <f>G137-F137</f>
        <v/>
      </c>
      <c r="I137" s="8">
        <f>IF(F137=0,0,G137/F137-1)</f>
        <v/>
      </c>
    </row>
    <row r="138">
      <c r="A138" s="6" t="inlineStr">
        <is>
          <t>1000.0000.2620.58100.900</t>
        </is>
      </c>
      <c r="B138" s="6" t="inlineStr">
        <is>
          <t>Dues &amp; Fees</t>
        </is>
      </c>
      <c r="C138" s="24" t="n">
        <v>0</v>
      </c>
      <c r="D138" s="24" t="n">
        <v>0</v>
      </c>
      <c r="E138" s="24" t="n">
        <v>0</v>
      </c>
      <c r="F138" s="24" t="n">
        <v>0</v>
      </c>
      <c r="G138" s="24" t="n">
        <v>110</v>
      </c>
      <c r="H138" s="24">
        <f>G138-F138</f>
        <v/>
      </c>
      <c r="I138" s="8">
        <f>IF(F138=0,0,G138/F138-1)</f>
        <v/>
      </c>
    </row>
    <row r="139">
      <c r="A139" s="14" t="n"/>
      <c r="B139" s="28" t="inlineStr">
        <is>
          <t>Program 0000 Total</t>
        </is>
      </c>
      <c r="C139" s="29">
        <f>SUM(C123:C138)</f>
        <v/>
      </c>
      <c r="D139" s="29">
        <f>SUM(D123:D138)</f>
        <v/>
      </c>
      <c r="E139" s="29">
        <f>SUM(E123:E138)</f>
        <v/>
      </c>
      <c r="F139" s="29">
        <f>SUM(F123:F138)</f>
        <v/>
      </c>
      <c r="G139" s="29">
        <f>SUM(G123:G138)</f>
        <v/>
      </c>
      <c r="H139" s="29">
        <f>SUM(H123:H138)</f>
        <v/>
      </c>
      <c r="I139" s="29">
        <f>SUM(I123:I138)</f>
        <v/>
      </c>
    </row>
    <row r="140">
      <c r="A140" s="6" t="inlineStr">
        <is>
          <t>1000.0000.2670.55900.900</t>
        </is>
      </c>
      <c r="B140" s="6" t="inlineStr">
        <is>
          <t>Crossing Guards</t>
        </is>
      </c>
      <c r="C140" s="24" t="n">
        <v>0</v>
      </c>
      <c r="D140" s="24" t="n">
        <v>0</v>
      </c>
      <c r="E140" s="24" t="n">
        <v>0</v>
      </c>
      <c r="F140" s="24" t="n">
        <v>1400</v>
      </c>
      <c r="G140" s="24" t="n">
        <v>1400</v>
      </c>
      <c r="H140" s="24">
        <f>G140-F140</f>
        <v/>
      </c>
      <c r="I140" s="8">
        <f>IF(F140=0,0,G140/F140-1)</f>
        <v/>
      </c>
    </row>
    <row r="141">
      <c r="A141" s="6" t="inlineStr">
        <is>
          <t>1000.0000.2680.58310.900</t>
        </is>
      </c>
      <c r="B141" s="6" t="inlineStr">
        <is>
          <t>Prinicpal-Central Office Purchase</t>
        </is>
      </c>
      <c r="C141" s="24" t="n">
        <v>12500</v>
      </c>
      <c r="D141" s="24" t="n">
        <v>11250</v>
      </c>
      <c r="E141" s="24" t="n">
        <v>11250</v>
      </c>
      <c r="F141" s="24" t="n">
        <v>0</v>
      </c>
      <c r="G141" s="24" t="n">
        <v>0</v>
      </c>
      <c r="H141" s="24">
        <f>G141-F141</f>
        <v/>
      </c>
      <c r="I141" s="8">
        <f>IF(F141=0,0,G141/F141-1)</f>
        <v/>
      </c>
    </row>
    <row r="142">
      <c r="A142" s="6" t="inlineStr">
        <is>
          <t>1000.0000.2680.58320.900</t>
        </is>
      </c>
      <c r="B142" s="6" t="inlineStr">
        <is>
          <t>Interest-Central Office Purchase</t>
        </is>
      </c>
      <c r="C142" s="24" t="n">
        <v>1437.5</v>
      </c>
      <c r="D142" s="24" t="n">
        <v>843.75</v>
      </c>
      <c r="E142" s="24" t="n">
        <v>281.25</v>
      </c>
      <c r="F142" s="24" t="n">
        <v>0</v>
      </c>
      <c r="G142" s="24" t="n">
        <v>0</v>
      </c>
      <c r="H142" s="24">
        <f>G142-F142</f>
        <v/>
      </c>
      <c r="I142" s="8">
        <f>IF(F142=0,0,G142/F142-1)</f>
        <v/>
      </c>
    </row>
    <row r="143">
      <c r="A143" s="14" t="n"/>
      <c r="B143" s="28" t="inlineStr">
        <is>
          <t>Program 0000 Total</t>
        </is>
      </c>
      <c r="C143" s="29">
        <f>SUM(C141:C142)</f>
        <v/>
      </c>
      <c r="D143" s="29">
        <f>SUM(D141:D142)</f>
        <v/>
      </c>
      <c r="E143" s="29">
        <f>SUM(E141:E142)</f>
        <v/>
      </c>
      <c r="F143" s="29">
        <f>SUM(F141:F142)</f>
        <v/>
      </c>
      <c r="G143" s="29">
        <f>SUM(G141:G142)</f>
        <v/>
      </c>
      <c r="H143" s="29">
        <f>SUM(H141:H142)</f>
        <v/>
      </c>
      <c r="I143" s="29">
        <f>SUM(I141:I142)</f>
        <v/>
      </c>
    </row>
    <row r="144">
      <c r="A144" s="6" t="inlineStr">
        <is>
          <t>1000.0000.2690.54300.900</t>
        </is>
      </c>
      <c r="B144" s="6" t="inlineStr">
        <is>
          <t>Capital Renewal/Track Replacement</t>
        </is>
      </c>
      <c r="C144" s="24" t="n">
        <v>70000</v>
      </c>
      <c r="D144" s="24" t="n">
        <v>35000</v>
      </c>
      <c r="E144" s="24" t="n">
        <v>70000</v>
      </c>
      <c r="F144" s="24" t="n">
        <v>35000</v>
      </c>
      <c r="G144" s="24" t="n">
        <v>35000</v>
      </c>
      <c r="H144" s="24">
        <f>G144-F144</f>
        <v/>
      </c>
      <c r="I144" s="8">
        <f>IF(F144=0,0,G144/F144-1)</f>
        <v/>
      </c>
    </row>
    <row r="145">
      <c r="A145" s="6" t="inlineStr">
        <is>
          <t>1000.0000.2690.54500.900</t>
        </is>
      </c>
      <c r="B145" s="6" t="inlineStr">
        <is>
          <t>Capital Renewal/Tennis Courts Replacement$0.00</t>
        </is>
      </c>
      <c r="C145" s="24" t="n">
        <v>0</v>
      </c>
      <c r="D145" s="24" t="n">
        <v>60000</v>
      </c>
      <c r="E145" s="24" t="n">
        <v>40000</v>
      </c>
      <c r="F145" s="24" t="n">
        <v>40000</v>
      </c>
      <c r="G145" s="24" t="n">
        <v>0</v>
      </c>
      <c r="H145" s="24">
        <f>G145-F145</f>
        <v/>
      </c>
      <c r="I145" s="8">
        <f>IF(F145=0,0,G145/F145-1)</f>
        <v/>
      </c>
    </row>
    <row r="146">
      <c r="A146" s="6" t="inlineStr">
        <is>
          <t>1000.0000.2690.58310.900</t>
        </is>
      </c>
      <c r="B146" s="6" t="inlineStr">
        <is>
          <t>Capital Improvements</t>
        </is>
      </c>
      <c r="C146" s="24" t="n">
        <v>350314.73</v>
      </c>
      <c r="D146" s="24" t="n">
        <v>399802</v>
      </c>
      <c r="E146" s="24" t="n">
        <v>442330</v>
      </c>
      <c r="F146" s="24" t="n">
        <v>400000</v>
      </c>
      <c r="G146" s="24" t="n">
        <v>400000</v>
      </c>
      <c r="H146" s="24">
        <f>G146-F146</f>
        <v/>
      </c>
      <c r="I146" s="8">
        <f>IF(F146=0,0,G146/F146-1)</f>
        <v/>
      </c>
    </row>
    <row r="147">
      <c r="A147" s="14" t="n"/>
      <c r="B147" s="28" t="inlineStr">
        <is>
          <t>Program 0000 Total</t>
        </is>
      </c>
      <c r="C147" s="29">
        <f>SUM(C144:C146)</f>
        <v/>
      </c>
      <c r="D147" s="29">
        <f>SUM(D144:D146)</f>
        <v/>
      </c>
      <c r="E147" s="29">
        <f>SUM(E144:E146)</f>
        <v/>
      </c>
      <c r="F147" s="29">
        <f>SUM(F144:F146)</f>
        <v/>
      </c>
      <c r="G147" s="29">
        <f>SUM(G144:G146)</f>
        <v/>
      </c>
      <c r="H147" s="29">
        <f>SUM(H144:H146)</f>
        <v/>
      </c>
      <c r="I147" s="29">
        <f>SUM(I144:I146)</f>
        <v/>
      </c>
    </row>
    <row r="148">
      <c r="A148" s="14" t="n"/>
      <c r="B148" s="17" t="inlineStr">
        <is>
          <t>Cost Center ('900',) Total</t>
        </is>
      </c>
      <c r="C148" s="32">
        <f>C122+C139+C143+C147</f>
        <v/>
      </c>
      <c r="D148" s="32">
        <f>D122+D139+D143+D147</f>
        <v/>
      </c>
      <c r="E148" s="32">
        <f>E122+E139+E143+E147</f>
        <v/>
      </c>
      <c r="F148" s="32">
        <f>F122+F139+F143+F147</f>
        <v/>
      </c>
      <c r="G148" s="32">
        <f>G122+G139+G143+G147</f>
        <v/>
      </c>
      <c r="H148" s="32">
        <f>H122+H139+H143+H147</f>
        <v/>
      </c>
      <c r="I148" s="32">
        <f>I122+I139+I143+I147</f>
        <v/>
      </c>
    </row>
    <row r="150">
      <c r="A150" s="3" t="inlineStr">
        <is>
          <t>Cost Center: ('941',)</t>
        </is>
      </c>
    </row>
    <row r="151">
      <c r="A151" s="6" t="inlineStr">
        <is>
          <t>1000.0000.2600.51180.941</t>
        </is>
      </c>
      <c r="B151" s="6" t="inlineStr">
        <is>
          <t>Support Salary</t>
        </is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7110</v>
      </c>
      <c r="H151" s="24">
        <f>G151-F151</f>
        <v/>
      </c>
      <c r="I151" s="8">
        <f>IF(F151=0,0,G151/F151-1)</f>
        <v/>
      </c>
    </row>
    <row r="152">
      <c r="A152" s="6" t="inlineStr">
        <is>
          <t>1000.0000.2600.52080.941</t>
        </is>
      </c>
      <c r="B152" s="6" t="inlineStr">
        <is>
          <t>Support Benefits</t>
        </is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450</v>
      </c>
      <c r="H152" s="24">
        <f>G152-F152</f>
        <v/>
      </c>
      <c r="I152" s="8">
        <f>IF(F152=0,0,G152/F152-1)</f>
        <v/>
      </c>
    </row>
    <row r="153">
      <c r="A153" s="6" t="inlineStr">
        <is>
          <t>1000.0000.2600.52380.941</t>
        </is>
      </c>
      <c r="B153" s="6" t="inlineStr">
        <is>
          <t>Custodian Retirement</t>
        </is>
      </c>
      <c r="C153" s="24" t="n">
        <v>0</v>
      </c>
      <c r="D153" s="24" t="n">
        <v>0</v>
      </c>
      <c r="E153" s="24" t="n">
        <v>0</v>
      </c>
      <c r="F153" s="24" t="n">
        <v>0</v>
      </c>
      <c r="G153" s="24" t="n">
        <v>380</v>
      </c>
      <c r="H153" s="24">
        <f>G153-F153</f>
        <v/>
      </c>
      <c r="I153" s="8">
        <f>IF(F153=0,0,G153/F153-1)</f>
        <v/>
      </c>
    </row>
    <row r="154">
      <c r="A154" s="6" t="inlineStr">
        <is>
          <t>1000.0000.2600.54100.941</t>
        </is>
      </c>
      <c r="B154" s="6" t="inlineStr">
        <is>
          <t>Water/Sewage</t>
        </is>
      </c>
      <c r="C154" s="24" t="n">
        <v>1082.6</v>
      </c>
      <c r="D154" s="24" t="n">
        <v>1071.15</v>
      </c>
      <c r="E154" s="24" t="n">
        <v>956.36</v>
      </c>
      <c r="F154" s="24" t="n">
        <v>2004</v>
      </c>
      <c r="G154" s="24" t="n">
        <v>1500</v>
      </c>
      <c r="H154" s="24">
        <f>G154-F154</f>
        <v/>
      </c>
      <c r="I154" s="8">
        <f>IF(F154=0,0,G154/F154-1)</f>
        <v/>
      </c>
    </row>
    <row r="155">
      <c r="A155" s="6" t="inlineStr">
        <is>
          <t>1000.0000.2600.54300.941</t>
        </is>
      </c>
      <c r="B155" s="6" t="inlineStr">
        <is>
          <t>Purchaed Repairs</t>
        </is>
      </c>
      <c r="C155" s="24" t="n">
        <v>0</v>
      </c>
      <c r="D155" s="24" t="n">
        <v>1603.84</v>
      </c>
      <c r="E155" s="24" t="n">
        <v>1032.15</v>
      </c>
      <c r="F155" s="24" t="n">
        <v>1500</v>
      </c>
      <c r="G155" s="24" t="n">
        <v>1500</v>
      </c>
      <c r="H155" s="24">
        <f>G155-F155</f>
        <v/>
      </c>
      <c r="I155" s="8">
        <f>IF(F155=0,0,G155/F155-1)</f>
        <v/>
      </c>
    </row>
    <row r="156">
      <c r="A156" s="6" t="inlineStr">
        <is>
          <t>1000.0000.2600.55320.941</t>
        </is>
      </c>
      <c r="B156" s="6" t="inlineStr">
        <is>
          <t>Telephone</t>
        </is>
      </c>
      <c r="C156" s="24" t="n">
        <v>5723.18</v>
      </c>
      <c r="D156" s="24" t="n">
        <v>4601.41</v>
      </c>
      <c r="E156" s="24" t="n">
        <v>5300.24</v>
      </c>
      <c r="F156" s="24" t="n">
        <v>6800</v>
      </c>
      <c r="G156" s="24" t="n">
        <v>6000</v>
      </c>
      <c r="H156" s="24">
        <f>G156-F156</f>
        <v/>
      </c>
      <c r="I156" s="8">
        <f>IF(F156=0,0,G156/F156-1)</f>
        <v/>
      </c>
    </row>
    <row r="157">
      <c r="A157" s="6" t="inlineStr">
        <is>
          <t>1000.0000.2600.56000.941</t>
        </is>
      </c>
      <c r="B157" s="6" t="inlineStr">
        <is>
          <t>Supplies</t>
        </is>
      </c>
      <c r="C157" s="24" t="n">
        <v>0</v>
      </c>
      <c r="D157" s="24" t="n">
        <v>157.12</v>
      </c>
      <c r="E157" s="24" t="n">
        <v>1080.78</v>
      </c>
      <c r="F157" s="24" t="n">
        <v>1500</v>
      </c>
      <c r="G157" s="24" t="n">
        <v>1500</v>
      </c>
      <c r="H157" s="24">
        <f>G157-F157</f>
        <v/>
      </c>
      <c r="I157" s="8">
        <f>IF(F157=0,0,G157/F157-1)</f>
        <v/>
      </c>
    </row>
    <row r="158">
      <c r="A158" s="6" t="inlineStr">
        <is>
          <t>1000.0000.2600.56011.941</t>
        </is>
      </c>
      <c r="B158" s="6" t="inlineStr">
        <is>
          <t>Materials for Repair</t>
        </is>
      </c>
      <c r="C158" s="24" t="n">
        <v>7254.27</v>
      </c>
      <c r="D158" s="24" t="n">
        <v>641.6</v>
      </c>
      <c r="E158" s="24" t="n">
        <v>729.89</v>
      </c>
      <c r="F158" s="24" t="n">
        <v>3000</v>
      </c>
      <c r="G158" s="24" t="n">
        <v>3000</v>
      </c>
      <c r="H158" s="24">
        <f>G158-F158</f>
        <v/>
      </c>
      <c r="I158" s="8">
        <f>IF(F158=0,0,G158/F158-1)</f>
        <v/>
      </c>
    </row>
    <row r="159">
      <c r="A159" s="6" t="inlineStr">
        <is>
          <t>1000.0000.2600.56013.941</t>
        </is>
      </c>
      <c r="B159" s="6" t="inlineStr">
        <is>
          <t>Major Maintenance</t>
        </is>
      </c>
      <c r="C159" s="24" t="n">
        <v>0</v>
      </c>
      <c r="D159" s="24" t="n">
        <v>8561</v>
      </c>
      <c r="E159" s="24" t="n">
        <v>5418</v>
      </c>
      <c r="F159" s="24" t="n">
        <v>5000</v>
      </c>
      <c r="G159" s="24" t="n">
        <v>5000</v>
      </c>
      <c r="H159" s="24">
        <f>G159-F159</f>
        <v/>
      </c>
      <c r="I159" s="8">
        <f>IF(F159=0,0,G159/F159-1)</f>
        <v/>
      </c>
    </row>
    <row r="160">
      <c r="A160" s="6" t="inlineStr">
        <is>
          <t>1000.0000.2600.56220.941</t>
        </is>
      </c>
      <c r="B160" s="6" t="inlineStr">
        <is>
          <t>Electricity</t>
        </is>
      </c>
      <c r="C160" s="24" t="n">
        <v>2652.57</v>
      </c>
      <c r="D160" s="24" t="n">
        <v>2775.08</v>
      </c>
      <c r="E160" s="24" t="n">
        <v>3527.14</v>
      </c>
      <c r="F160" s="24" t="n">
        <v>3000</v>
      </c>
      <c r="G160" s="24" t="n">
        <v>3000</v>
      </c>
      <c r="H160" s="24">
        <f>G160-F160</f>
        <v/>
      </c>
      <c r="I160" s="8">
        <f>IF(F160=0,0,G160/F160-1)</f>
        <v/>
      </c>
    </row>
    <row r="161">
      <c r="A161" s="6" t="inlineStr">
        <is>
          <t>1000.0000.2600.56240.941</t>
        </is>
      </c>
      <c r="B161" s="6" t="inlineStr">
        <is>
          <t>Heating Fuel</t>
        </is>
      </c>
      <c r="C161" s="24" t="n">
        <v>3064.69</v>
      </c>
      <c r="D161" s="24" t="n">
        <v>3216.72</v>
      </c>
      <c r="E161" s="24" t="n">
        <v>4369.77</v>
      </c>
      <c r="F161" s="24" t="n">
        <v>5000</v>
      </c>
      <c r="G161" s="24" t="n">
        <v>5900</v>
      </c>
      <c r="H161" s="24">
        <f>G161-F161</f>
        <v/>
      </c>
      <c r="I161" s="8">
        <f>IF(F161=0,0,G161/F161-1)</f>
        <v/>
      </c>
    </row>
    <row r="162">
      <c r="A162" s="14" t="n"/>
      <c r="B162" s="28" t="inlineStr">
        <is>
          <t>Program 0000 Total</t>
        </is>
      </c>
      <c r="C162" s="29">
        <f>SUM(C151:C161)</f>
        <v/>
      </c>
      <c r="D162" s="29">
        <f>SUM(D151:D161)</f>
        <v/>
      </c>
      <c r="E162" s="29">
        <f>SUM(E151:E161)</f>
        <v/>
      </c>
      <c r="F162" s="29">
        <f>SUM(F151:F161)</f>
        <v/>
      </c>
      <c r="G162" s="29">
        <f>SUM(G151:G161)</f>
        <v/>
      </c>
      <c r="H162" s="29">
        <f>SUM(H151:H161)</f>
        <v/>
      </c>
      <c r="I162" s="29">
        <f>SUM(I151:I161)</f>
        <v/>
      </c>
    </row>
    <row r="163">
      <c r="A163" s="14" t="n"/>
      <c r="B163" s="17" t="inlineStr">
        <is>
          <t>Cost Center ('941',) Total</t>
        </is>
      </c>
      <c r="C163" s="32">
        <f>C162</f>
        <v/>
      </c>
      <c r="D163" s="32">
        <f>D162</f>
        <v/>
      </c>
      <c r="E163" s="32">
        <f>E162</f>
        <v/>
      </c>
      <c r="F163" s="32">
        <f>F162</f>
        <v/>
      </c>
      <c r="G163" s="32">
        <f>G162</f>
        <v/>
      </c>
      <c r="H163" s="32">
        <f>H162</f>
        <v/>
      </c>
      <c r="I163" s="32">
        <f>I162</f>
        <v/>
      </c>
    </row>
    <row r="165">
      <c r="A165" s="14" t="n"/>
      <c r="B165" s="33" t="inlineStr">
        <is>
          <t>ARTICLE 9 TOTAL</t>
        </is>
      </c>
      <c r="C165" s="34">
        <f>C21+C40+C56+C75+C92+C114+C148+C163</f>
        <v/>
      </c>
      <c r="D165" s="34">
        <f>D21+D40+D56+D75+D92+D114+D148+D163</f>
        <v/>
      </c>
      <c r="E165" s="34">
        <f>E21+E40+E56+E75+E92+E114+E148+E163</f>
        <v/>
      </c>
      <c r="F165" s="34">
        <f>F21+F40+F56+F75+F92+F114+F148+F163</f>
        <v/>
      </c>
      <c r="G165" s="34">
        <f>G21+G40+G56+G75+G92+G114+G148+G163</f>
        <v/>
      </c>
      <c r="H165" s="34">
        <f>H21+H40+H56+H75+H92+H114+H148+H163</f>
        <v/>
      </c>
      <c r="I165" s="34">
        <f>I21+I40+I56+I75+I92+I114+I148+I163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472C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10 - Debt Service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1000.0000.5100.58310.900</t>
        </is>
      </c>
      <c r="B7" s="6" t="inlineStr">
        <is>
          <t>Principal Payments-State Supported$ D1e,1b3t9,733.73</t>
        </is>
      </c>
      <c r="C7" s="24" t="n">
        <v>1139733.82</v>
      </c>
      <c r="D7" s="24" t="n">
        <v>995302</v>
      </c>
      <c r="E7" s="24" t="n">
        <v>995302</v>
      </c>
      <c r="F7" s="24" t="n">
        <v>995302</v>
      </c>
      <c r="G7" s="24" t="n">
        <v>0</v>
      </c>
      <c r="H7" s="24">
        <f>G7-F7</f>
        <v/>
      </c>
      <c r="I7" s="8">
        <f>IF(F7=0,0,G7/F7-1)</f>
        <v/>
      </c>
    </row>
    <row r="8">
      <c r="A8" s="6" t="inlineStr">
        <is>
          <t>1000.0000.5100.58320.900</t>
        </is>
      </c>
      <c r="B8" s="6" t="inlineStr">
        <is>
          <t>Interest Payments-State Supported De$b4t42,022.08</t>
        </is>
      </c>
      <c r="C8" s="24" t="n">
        <v>287512.44</v>
      </c>
      <c r="D8" s="24" t="n">
        <v>213647.22</v>
      </c>
      <c r="E8" s="24" t="n">
        <v>186301</v>
      </c>
      <c r="F8" s="24" t="n">
        <v>144093</v>
      </c>
      <c r="G8" s="24" t="n">
        <v>-42208</v>
      </c>
      <c r="H8" s="24">
        <f>G8-F8</f>
        <v/>
      </c>
      <c r="I8" s="8">
        <f>IF(F8=0,0,G8/F8-1)</f>
        <v/>
      </c>
    </row>
    <row r="9">
      <c r="A9" s="14" t="n"/>
      <c r="B9" s="28" t="inlineStr">
        <is>
          <t>Program 0000 Total</t>
        </is>
      </c>
      <c r="C9" s="29">
        <f>SUM(C7:C8)</f>
        <v/>
      </c>
      <c r="D9" s="29">
        <f>SUM(D7:D8)</f>
        <v/>
      </c>
      <c r="E9" s="29">
        <f>SUM(E7:E8)</f>
        <v/>
      </c>
      <c r="F9" s="29">
        <f>SUM(F7:F8)</f>
        <v/>
      </c>
      <c r="G9" s="29">
        <f>SUM(G7:G8)</f>
        <v/>
      </c>
      <c r="H9" s="29">
        <f>SUM(H7:H8)</f>
        <v/>
      </c>
      <c r="I9" s="29">
        <f>SUM(I7:I8)</f>
        <v/>
      </c>
    </row>
    <row r="10">
      <c r="A10" s="14" t="n"/>
      <c r="B10" s="17" t="inlineStr">
        <is>
          <t>Cost Center ('900',) Total</t>
        </is>
      </c>
      <c r="C10" s="32">
        <f>C9</f>
        <v/>
      </c>
      <c r="D10" s="32">
        <f>D9</f>
        <v/>
      </c>
      <c r="E10" s="32">
        <f>E9</f>
        <v/>
      </c>
      <c r="F10" s="32">
        <f>F9</f>
        <v/>
      </c>
      <c r="G10" s="32">
        <f>G9</f>
        <v/>
      </c>
      <c r="H10" s="32">
        <f>H9</f>
        <v/>
      </c>
      <c r="I10" s="32">
        <f>I9</f>
        <v/>
      </c>
    </row>
    <row r="12">
      <c r="A12" s="14" t="n"/>
      <c r="B12" s="33" t="inlineStr">
        <is>
          <t>ARTICLE 10 TOTAL</t>
        </is>
      </c>
      <c r="C12" s="34">
        <f>C10</f>
        <v/>
      </c>
      <c r="D12" s="34">
        <f>D10</f>
        <v/>
      </c>
      <c r="E12" s="34">
        <f>E10</f>
        <v/>
      </c>
      <c r="F12" s="34">
        <f>F10</f>
        <v/>
      </c>
      <c r="G12" s="34">
        <f>G10</f>
        <v/>
      </c>
      <c r="H12" s="34">
        <f>H10</f>
        <v/>
      </c>
      <c r="I12" s="34">
        <f>I10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4472C4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</cols>
  <sheetData>
    <row r="1">
      <c r="A1" s="1" t="inlineStr">
        <is>
          <t>Article 11 - All Other Expenses</t>
        </is>
      </c>
    </row>
    <row r="2">
      <c r="A2" s="13" t="inlineStr">
        <is>
          <t>Source: FY24 Adopted Budget, RSU 5</t>
        </is>
      </c>
    </row>
    <row r="3">
      <c r="A3" s="13" t="inlineStr">
        <is>
          <t>Verification: UNRECONCILED -- see Summary tab</t>
        </is>
      </c>
    </row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FY20 Actual</t>
        </is>
      </c>
      <c r="D5" s="5" t="inlineStr">
        <is>
          <t>FY21 Actual</t>
        </is>
      </c>
      <c r="E5" s="5" t="inlineStr">
        <is>
          <t>FY22 Actual</t>
        </is>
      </c>
      <c r="F5" s="5" t="inlineStr">
        <is>
          <t>FY23 Adopted</t>
        </is>
      </c>
      <c r="G5" s="5" t="inlineStr">
        <is>
          <t>FY24 Adopted</t>
        </is>
      </c>
      <c r="H5" s="5" t="inlineStr">
        <is>
          <t>$ Diff</t>
        </is>
      </c>
      <c r="I5" s="5" t="inlineStr">
        <is>
          <t>% Diff</t>
        </is>
      </c>
    </row>
    <row r="6">
      <c r="A6" s="3" t="inlineStr">
        <is>
          <t>Cost Center: ('900',)</t>
        </is>
      </c>
    </row>
    <row r="7">
      <c r="A7" s="6" t="inlineStr">
        <is>
          <t>1000.0000.3100.59100.900</t>
        </is>
      </c>
      <c r="B7" s="6" t="inlineStr">
        <is>
          <t>Fund Transfer Out $310,225.68 $73,311.24</t>
        </is>
      </c>
      <c r="C7" s="24" t="n">
        <v>0</v>
      </c>
      <c r="D7" s="24" t="n">
        <v>293245</v>
      </c>
      <c r="E7" s="24" t="n">
        <v>0</v>
      </c>
      <c r="F7" s="6" t="n"/>
      <c r="G7" s="6" t="n"/>
      <c r="H7" s="24">
        <f>G7-F7</f>
        <v/>
      </c>
      <c r="I7" s="8">
        <f>IF(F7=0,0,G7/F7-1)</f>
        <v/>
      </c>
    </row>
  </sheetData>
  <mergeCells count="2">
    <mergeCell ref="A3:F3"/>
    <mergeCell ref="A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0" customWidth="1" min="5" max="5"/>
    <col width="30" customWidth="1" min="6" max="6"/>
  </cols>
  <sheetData>
    <row r="1">
      <c r="A1" s="1" t="inlineStr">
        <is>
          <t>VERIFICATION: FY24 Budget Tie-Out</t>
        </is>
      </c>
    </row>
    <row r="3">
      <c r="A3" s="2" t="inlineStr">
        <is>
          <t>Compares parsed line-item totals against RSU stated figures.</t>
        </is>
      </c>
    </row>
    <row r="4">
      <c r="A4" s="2" t="inlineStr">
        <is>
          <t>A clean tie-out means our data matches the district's numbers exactly.</t>
        </is>
      </c>
    </row>
    <row r="6">
      <c r="A6" s="3" t="inlineStr">
        <is>
          <t>Per-Article Comparison</t>
        </is>
      </c>
    </row>
    <row r="7">
      <c r="A7" s="5" t="inlineStr">
        <is>
          <t>Article</t>
        </is>
      </c>
      <c r="B7" s="5" t="inlineStr">
        <is>
          <t>Parsed Total</t>
        </is>
      </c>
      <c r="C7" s="5" t="inlineStr">
        <is>
          <t>RSU Stated</t>
        </is>
      </c>
      <c r="D7" s="5" t="inlineStr">
        <is>
          <t>Difference</t>
        </is>
      </c>
      <c r="E7" s="5" t="inlineStr">
        <is>
          <t>Match?</t>
        </is>
      </c>
      <c r="F7" s="5" t="inlineStr">
        <is>
          <t>Notes</t>
        </is>
      </c>
    </row>
    <row r="8">
      <c r="A8" s="35" t="inlineStr">
        <is>
          <t>Art 1 - Regular Instruction</t>
        </is>
      </c>
      <c r="B8" s="36" t="n">
        <v>13951192.62</v>
      </c>
      <c r="C8" s="35" t="inlineStr">
        <is>
          <t>N/A</t>
        </is>
      </c>
      <c r="D8" s="35" t="inlineStr"/>
      <c r="E8" s="35" t="inlineStr">
        <is>
          <t>N/A</t>
        </is>
      </c>
      <c r="F8" s="35" t="inlineStr">
        <is>
          <t>No stated total available</t>
        </is>
      </c>
    </row>
    <row r="9">
      <c r="A9" s="35" t="inlineStr">
        <is>
          <t>Art 2 - Special Education</t>
        </is>
      </c>
      <c r="B9" s="36" t="n">
        <v>4176773.09</v>
      </c>
      <c r="C9" s="35" t="inlineStr">
        <is>
          <t>N/A</t>
        </is>
      </c>
      <c r="D9" s="35" t="inlineStr"/>
      <c r="E9" s="35" t="inlineStr">
        <is>
          <t>N/A</t>
        </is>
      </c>
      <c r="F9" s="35" t="inlineStr">
        <is>
          <t>No stated total available</t>
        </is>
      </c>
    </row>
    <row r="10">
      <c r="A10" s="35" t="inlineStr">
        <is>
          <t>Art 3 - Career &amp; Technical Education</t>
        </is>
      </c>
      <c r="B10" s="36" t="n">
        <v>142979.04</v>
      </c>
      <c r="C10" s="35" t="inlineStr">
        <is>
          <t>N/A</t>
        </is>
      </c>
      <c r="D10" s="35" t="inlineStr"/>
      <c r="E10" s="35" t="inlineStr">
        <is>
          <t>N/A</t>
        </is>
      </c>
      <c r="F10" s="35" t="inlineStr">
        <is>
          <t>No stated total available</t>
        </is>
      </c>
    </row>
    <row r="11">
      <c r="A11" s="35" t="inlineStr">
        <is>
          <t>Art 4 - Other Instruction</t>
        </is>
      </c>
      <c r="B11" s="36" t="n">
        <v>657864.27</v>
      </c>
      <c r="C11" s="35" t="inlineStr">
        <is>
          <t>N/A</t>
        </is>
      </c>
      <c r="D11" s="35" t="inlineStr"/>
      <c r="E11" s="35" t="inlineStr">
        <is>
          <t>N/A</t>
        </is>
      </c>
      <c r="F11" s="35" t="inlineStr">
        <is>
          <t>No stated total available</t>
        </is>
      </c>
    </row>
    <row r="12">
      <c r="A12" s="35" t="inlineStr">
        <is>
          <t>Art 5 - Student &amp; Staff Support</t>
        </is>
      </c>
      <c r="B12" s="36" t="n">
        <v>3289782.99</v>
      </c>
      <c r="C12" s="35" t="inlineStr">
        <is>
          <t>N/A</t>
        </is>
      </c>
      <c r="D12" s="35" t="inlineStr"/>
      <c r="E12" s="35" t="inlineStr">
        <is>
          <t>N/A</t>
        </is>
      </c>
      <c r="F12" s="35" t="inlineStr">
        <is>
          <t>No stated total available</t>
        </is>
      </c>
    </row>
    <row r="13">
      <c r="A13" s="35" t="inlineStr">
        <is>
          <t>Art 6 - System Administration</t>
        </is>
      </c>
      <c r="B13" s="36" t="n">
        <v>917821.6899999999</v>
      </c>
      <c r="C13" s="35" t="inlineStr">
        <is>
          <t>N/A</t>
        </is>
      </c>
      <c r="D13" s="35" t="inlineStr"/>
      <c r="E13" s="35" t="inlineStr">
        <is>
          <t>N/A</t>
        </is>
      </c>
      <c r="F13" s="35" t="inlineStr">
        <is>
          <t>No stated total available</t>
        </is>
      </c>
    </row>
    <row r="14">
      <c r="A14" s="35" t="inlineStr">
        <is>
          <t>Art 7 - School Administration</t>
        </is>
      </c>
      <c r="B14" s="36" t="n">
        <v>1636101.48</v>
      </c>
      <c r="C14" s="35" t="inlineStr">
        <is>
          <t>N/A</t>
        </is>
      </c>
      <c r="D14" s="35" t="inlineStr"/>
      <c r="E14" s="35" t="inlineStr">
        <is>
          <t>N/A</t>
        </is>
      </c>
      <c r="F14" s="35" t="inlineStr">
        <is>
          <t>No stated total available</t>
        </is>
      </c>
    </row>
    <row r="15">
      <c r="A15" s="35" t="inlineStr">
        <is>
          <t>Art 8 - Transportation &amp; Buses</t>
        </is>
      </c>
      <c r="B15" s="36" t="n">
        <v>1356013.25</v>
      </c>
      <c r="C15" s="35" t="inlineStr">
        <is>
          <t>N/A</t>
        </is>
      </c>
      <c r="D15" s="35" t="inlineStr"/>
      <c r="E15" s="35" t="inlineStr">
        <is>
          <t>N/A</t>
        </is>
      </c>
      <c r="F15" s="35" t="inlineStr">
        <is>
          <t>No stated total available</t>
        </is>
      </c>
    </row>
    <row r="16">
      <c r="A16" s="35" t="inlineStr">
        <is>
          <t>Art 9 - Facilities &amp; Maintenance</t>
        </is>
      </c>
      <c r="B16" s="36" t="n">
        <v>4837273.8</v>
      </c>
      <c r="C16" s="35" t="inlineStr">
        <is>
          <t>N/A</t>
        </is>
      </c>
      <c r="D16" s="35" t="inlineStr"/>
      <c r="E16" s="35" t="inlineStr">
        <is>
          <t>N/A</t>
        </is>
      </c>
      <c r="F16" s="35" t="inlineStr">
        <is>
          <t>No stated total available</t>
        </is>
      </c>
    </row>
    <row r="17">
      <c r="A17" s="35" t="inlineStr">
        <is>
          <t>Art 10 - Debt Service</t>
        </is>
      </c>
      <c r="B17" s="36" t="n">
        <v>1427246.26</v>
      </c>
      <c r="C17" s="35" t="inlineStr">
        <is>
          <t>N/A</t>
        </is>
      </c>
      <c r="D17" s="35" t="inlineStr"/>
      <c r="E17" s="35" t="inlineStr">
        <is>
          <t>N/A</t>
        </is>
      </c>
      <c r="F17" s="35" t="inlineStr">
        <is>
          <t>No stated total available</t>
        </is>
      </c>
    </row>
    <row r="18">
      <c r="A18" s="35" t="inlineStr">
        <is>
          <t>Art 11 - All Other Expenses</t>
        </is>
      </c>
      <c r="B18" s="36" t="n">
        <v>0</v>
      </c>
      <c r="C18" s="35" t="inlineStr">
        <is>
          <t>N/A</t>
        </is>
      </c>
      <c r="D18" s="35" t="inlineStr"/>
      <c r="E18" s="35" t="inlineStr">
        <is>
          <t>N/A</t>
        </is>
      </c>
      <c r="F18" s="35" t="inlineStr">
        <is>
          <t>No stated total available</t>
        </is>
      </c>
    </row>
    <row r="20">
      <c r="A20" s="9" t="inlineStr">
        <is>
          <t>TOTAL</t>
        </is>
      </c>
      <c r="B20" s="37" t="n">
        <v>32393048.49</v>
      </c>
    </row>
    <row r="22">
      <c r="A22" s="3" t="inlineStr">
        <is>
          <t>Verification Status</t>
        </is>
      </c>
    </row>
    <row r="23">
      <c r="A23" s="4" t="inlineStr">
        <is>
          <t>NO VERIFICATION TARGETS -- Cannot verify this FY</t>
        </is>
      </c>
    </row>
    <row r="25">
      <c r="A25" s="13" t="inlineStr">
        <is>
          <t>Parsed from: FY20 Actual column in budget CSV data</t>
        </is>
      </c>
    </row>
    <row r="26">
      <c r="A26" s="13" t="inlineStr">
        <is>
          <t>RSU stated totals from: budget_config.yaml verification_targets.FY24</t>
        </is>
      </c>
    </row>
    <row r="27">
      <c r="A27" s="13" t="inlineStr">
        <is>
          <t>Handbook sources: FY24-superintendent-handbook-p02.csv, FY24-superintendent-handbook-p03.csv, FY24-superintendent-handbook-p04.csv</t>
        </is>
      </c>
    </row>
  </sheetData>
  <mergeCells count="3">
    <mergeCell ref="A26:F26"/>
    <mergeCell ref="A25:F25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2026-03-13T03:04:53Z</dcterms:created>
  <dcterms:modified xmlns:dcterms="http://purl.org/dc/terms/" xmlns:xsi="http://www.w3.org/2001/XMLSchema-instance" xsi:type="dcterms:W3CDTF">2026-03-13T03:04:53Z</dcterms:modified>
</cp:coreProperties>
</file>